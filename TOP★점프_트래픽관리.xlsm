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SS_Korea2\쿠팡SKU리스트\"/>
    </mc:Choice>
  </mc:AlternateContent>
  <xr:revisionPtr revIDLastSave="0" documentId="13_ncr:1_{BE375C9C-D366-4351-B29E-E7D18A870383}" xr6:coauthVersionLast="47" xr6:coauthVersionMax="47" xr10:uidLastSave="{00000000-0000-0000-0000-000000000000}"/>
  <bookViews>
    <workbookView xWindow="3900" yWindow="795" windowWidth="28350" windowHeight="20805" xr2:uid="{6EA38979-E65D-417D-9956-6E3C1E5F5DCC}"/>
  </bookViews>
  <sheets>
    <sheet name="데이터" sheetId="1" r:id="rId1"/>
    <sheet name="비고" sheetId="2" r:id="rId2"/>
  </sheets>
  <externalReferences>
    <externalReference r:id="rId3"/>
    <externalReference r:id="rId4"/>
  </externalReferences>
  <definedNames>
    <definedName name="_xlnm._FilterDatabase" localSheetId="0" hidden="1">데이터!$A$6:$BZ$374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X217" i="1" l="1"/>
  <c r="BX313" i="1"/>
  <c r="BX247" i="1"/>
  <c r="BX299" i="1"/>
  <c r="BX306" i="1"/>
  <c r="BX278" i="1"/>
  <c r="BX272" i="1"/>
  <c r="BX231" i="1"/>
  <c r="BX239" i="1"/>
  <c r="BX211" i="1"/>
  <c r="BX224" i="1"/>
  <c r="BX292" i="1"/>
  <c r="BX252" i="1"/>
  <c r="BX258" i="1"/>
  <c r="BX265" i="1"/>
  <c r="BX286" i="1"/>
  <c r="BX91" i="1"/>
  <c r="BX104" i="1"/>
  <c r="BX117" i="1"/>
  <c r="BX7" i="1"/>
  <c r="BX15" i="1"/>
  <c r="BX56" i="1"/>
  <c r="BX146" i="1"/>
  <c r="BX151" i="1"/>
  <c r="BX325" i="1"/>
  <c r="BX40" i="1"/>
  <c r="BX48" i="1"/>
  <c r="BX351" i="1"/>
  <c r="BX30" i="1"/>
  <c r="BX23" i="1"/>
  <c r="BX35" i="1"/>
  <c r="BX363" i="1"/>
  <c r="BX77" i="1"/>
  <c r="BX86" i="1"/>
  <c r="BX69" i="1"/>
  <c r="BX335" i="1"/>
  <c r="BX343" i="1"/>
  <c r="BX139" i="1"/>
  <c r="BX131" i="1"/>
  <c r="BX62" i="1"/>
  <c r="BX321" i="1"/>
  <c r="BX195" i="1"/>
  <c r="BX204" i="1"/>
  <c r="BX170" i="1"/>
  <c r="BX178" i="1"/>
  <c r="BX188" i="1"/>
  <c r="BX156" i="1"/>
  <c r="BX164" i="1"/>
  <c r="BU315" i="1" l="1"/>
  <c r="BT315" i="1"/>
  <c r="BS315" i="1"/>
  <c r="BR315" i="1"/>
  <c r="BQ315" i="1"/>
  <c r="BP315" i="1"/>
  <c r="BO315" i="1"/>
  <c r="BN315" i="1"/>
  <c r="BM315" i="1"/>
  <c r="BL315" i="1"/>
  <c r="BK315" i="1"/>
  <c r="BJ315" i="1"/>
  <c r="BI315" i="1"/>
  <c r="BH315" i="1"/>
  <c r="BG315" i="1"/>
  <c r="BF315" i="1"/>
  <c r="BE315" i="1"/>
  <c r="BD315" i="1"/>
  <c r="BC315" i="1"/>
  <c r="BB315" i="1"/>
  <c r="BA315" i="1"/>
  <c r="AZ315" i="1"/>
  <c r="AY315" i="1"/>
  <c r="AX315" i="1"/>
  <c r="AW315" i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BU308" i="1"/>
  <c r="BT308" i="1"/>
  <c r="BS308" i="1"/>
  <c r="BR308" i="1"/>
  <c r="BQ308" i="1"/>
  <c r="BP308" i="1"/>
  <c r="BO308" i="1"/>
  <c r="BN308" i="1"/>
  <c r="BM308" i="1"/>
  <c r="BL308" i="1"/>
  <c r="BK308" i="1"/>
  <c r="BJ308" i="1"/>
  <c r="BI308" i="1"/>
  <c r="BH308" i="1"/>
  <c r="BG308" i="1"/>
  <c r="BF308" i="1"/>
  <c r="BE308" i="1"/>
  <c r="BD308" i="1"/>
  <c r="BC308" i="1"/>
  <c r="BB308" i="1"/>
  <c r="BA308" i="1"/>
  <c r="AZ308" i="1"/>
  <c r="AY308" i="1"/>
  <c r="AX308" i="1"/>
  <c r="AW308" i="1"/>
  <c r="AV308" i="1"/>
  <c r="AU308" i="1"/>
  <c r="AT308" i="1"/>
  <c r="AS308" i="1"/>
  <c r="AR308" i="1"/>
  <c r="AQ308" i="1"/>
  <c r="AP308" i="1"/>
  <c r="AO308" i="1"/>
  <c r="AN308" i="1"/>
  <c r="AM308" i="1"/>
  <c r="AL308" i="1"/>
  <c r="AK308" i="1"/>
  <c r="AJ308" i="1"/>
  <c r="BU301" i="1"/>
  <c r="BT301" i="1"/>
  <c r="BS301" i="1"/>
  <c r="BR301" i="1"/>
  <c r="BQ301" i="1"/>
  <c r="BP301" i="1"/>
  <c r="BO301" i="1"/>
  <c r="BN301" i="1"/>
  <c r="BM301" i="1"/>
  <c r="BL301" i="1"/>
  <c r="BK301" i="1"/>
  <c r="BJ301" i="1"/>
  <c r="BI301" i="1"/>
  <c r="BH301" i="1"/>
  <c r="BG301" i="1"/>
  <c r="BF301" i="1"/>
  <c r="BE301" i="1"/>
  <c r="BD301" i="1"/>
  <c r="BC301" i="1"/>
  <c r="BB301" i="1"/>
  <c r="BA301" i="1"/>
  <c r="AZ301" i="1"/>
  <c r="AY301" i="1"/>
  <c r="AX301" i="1"/>
  <c r="AW301" i="1"/>
  <c r="AV301" i="1"/>
  <c r="AU301" i="1"/>
  <c r="AT301" i="1"/>
  <c r="AS301" i="1"/>
  <c r="AR301" i="1"/>
  <c r="AQ301" i="1"/>
  <c r="AP301" i="1"/>
  <c r="AO301" i="1"/>
  <c r="AN301" i="1"/>
  <c r="AM301" i="1"/>
  <c r="AL301" i="1"/>
  <c r="AK301" i="1"/>
  <c r="AJ301" i="1"/>
  <c r="BU294" i="1"/>
  <c r="BT294" i="1"/>
  <c r="BS294" i="1"/>
  <c r="BR294" i="1"/>
  <c r="BQ294" i="1"/>
  <c r="BP294" i="1"/>
  <c r="BO294" i="1"/>
  <c r="BN294" i="1"/>
  <c r="BM294" i="1"/>
  <c r="BL294" i="1"/>
  <c r="BK294" i="1"/>
  <c r="BJ294" i="1"/>
  <c r="BI294" i="1"/>
  <c r="BH294" i="1"/>
  <c r="BG294" i="1"/>
  <c r="BF294" i="1"/>
  <c r="BE294" i="1"/>
  <c r="BD294" i="1"/>
  <c r="BC294" i="1"/>
  <c r="BB294" i="1"/>
  <c r="BA294" i="1"/>
  <c r="AZ294" i="1"/>
  <c r="AY294" i="1"/>
  <c r="AX294" i="1"/>
  <c r="AW294" i="1"/>
  <c r="AV294" i="1"/>
  <c r="AU294" i="1"/>
  <c r="AT294" i="1"/>
  <c r="AS294" i="1"/>
  <c r="AR294" i="1"/>
  <c r="AQ294" i="1"/>
  <c r="AP294" i="1"/>
  <c r="AO294" i="1"/>
  <c r="AN294" i="1"/>
  <c r="AM294" i="1"/>
  <c r="AL294" i="1"/>
  <c r="AK294" i="1"/>
  <c r="AJ294" i="1"/>
  <c r="BU288" i="1"/>
  <c r="BT288" i="1"/>
  <c r="BS288" i="1"/>
  <c r="BR288" i="1"/>
  <c r="BQ288" i="1"/>
  <c r="BP288" i="1"/>
  <c r="BO288" i="1"/>
  <c r="BN288" i="1"/>
  <c r="BM288" i="1"/>
  <c r="BL288" i="1"/>
  <c r="BK288" i="1"/>
  <c r="BJ288" i="1"/>
  <c r="BI288" i="1"/>
  <c r="BH288" i="1"/>
  <c r="BG288" i="1"/>
  <c r="BF288" i="1"/>
  <c r="BE288" i="1"/>
  <c r="BD288" i="1"/>
  <c r="BC288" i="1"/>
  <c r="BB288" i="1"/>
  <c r="BA288" i="1"/>
  <c r="AZ288" i="1"/>
  <c r="AY288" i="1"/>
  <c r="AX288" i="1"/>
  <c r="AW288" i="1"/>
  <c r="AV288" i="1"/>
  <c r="AU288" i="1"/>
  <c r="AT288" i="1"/>
  <c r="AS288" i="1"/>
  <c r="AR288" i="1"/>
  <c r="AQ288" i="1"/>
  <c r="AP288" i="1"/>
  <c r="AO288" i="1"/>
  <c r="AN288" i="1"/>
  <c r="AM288" i="1"/>
  <c r="AL288" i="1"/>
  <c r="AK288" i="1"/>
  <c r="AJ288" i="1"/>
  <c r="BU280" i="1"/>
  <c r="BT280" i="1"/>
  <c r="BS280" i="1"/>
  <c r="BR280" i="1"/>
  <c r="BQ280" i="1"/>
  <c r="BP280" i="1"/>
  <c r="BO280" i="1"/>
  <c r="BN280" i="1"/>
  <c r="BM280" i="1"/>
  <c r="BL280" i="1"/>
  <c r="BK280" i="1"/>
  <c r="BJ280" i="1"/>
  <c r="BI280" i="1"/>
  <c r="BH280" i="1"/>
  <c r="BG280" i="1"/>
  <c r="BF280" i="1"/>
  <c r="BE280" i="1"/>
  <c r="BD280" i="1"/>
  <c r="BC280" i="1"/>
  <c r="BB280" i="1"/>
  <c r="BA280" i="1"/>
  <c r="AZ280" i="1"/>
  <c r="AY280" i="1"/>
  <c r="AX280" i="1"/>
  <c r="AW280" i="1"/>
  <c r="AV280" i="1"/>
  <c r="AU280" i="1"/>
  <c r="AT280" i="1"/>
  <c r="AS280" i="1"/>
  <c r="AR280" i="1"/>
  <c r="AQ280" i="1"/>
  <c r="AP280" i="1"/>
  <c r="AO280" i="1"/>
  <c r="AN280" i="1"/>
  <c r="AM280" i="1"/>
  <c r="AL280" i="1"/>
  <c r="AK280" i="1"/>
  <c r="AJ280" i="1"/>
  <c r="BU274" i="1"/>
  <c r="BT274" i="1"/>
  <c r="BS274" i="1"/>
  <c r="BR274" i="1"/>
  <c r="BQ274" i="1"/>
  <c r="BP274" i="1"/>
  <c r="BO274" i="1"/>
  <c r="BN274" i="1"/>
  <c r="BM274" i="1"/>
  <c r="BL274" i="1"/>
  <c r="BK274" i="1"/>
  <c r="BJ274" i="1"/>
  <c r="BI274" i="1"/>
  <c r="BH274" i="1"/>
  <c r="BG274" i="1"/>
  <c r="BF274" i="1"/>
  <c r="BE274" i="1"/>
  <c r="BD274" i="1"/>
  <c r="BC274" i="1"/>
  <c r="BB274" i="1"/>
  <c r="BA274" i="1"/>
  <c r="AZ274" i="1"/>
  <c r="AY274" i="1"/>
  <c r="AX274" i="1"/>
  <c r="AW274" i="1"/>
  <c r="AV274" i="1"/>
  <c r="AU274" i="1"/>
  <c r="AT274" i="1"/>
  <c r="AS274" i="1"/>
  <c r="AR274" i="1"/>
  <c r="AQ274" i="1"/>
  <c r="AP274" i="1"/>
  <c r="AO274" i="1"/>
  <c r="AN274" i="1"/>
  <c r="AM274" i="1"/>
  <c r="AL274" i="1"/>
  <c r="AK274" i="1"/>
  <c r="AJ274" i="1"/>
  <c r="BU267" i="1"/>
  <c r="BT267" i="1"/>
  <c r="BS267" i="1"/>
  <c r="BR267" i="1"/>
  <c r="BQ267" i="1"/>
  <c r="BP267" i="1"/>
  <c r="BO267" i="1"/>
  <c r="BN267" i="1"/>
  <c r="BM267" i="1"/>
  <c r="BL267" i="1"/>
  <c r="BK267" i="1"/>
  <c r="BJ267" i="1"/>
  <c r="BI267" i="1"/>
  <c r="BH267" i="1"/>
  <c r="BG267" i="1"/>
  <c r="BF267" i="1"/>
  <c r="BE267" i="1"/>
  <c r="BD267" i="1"/>
  <c r="BC267" i="1"/>
  <c r="BB267" i="1"/>
  <c r="BA267" i="1"/>
  <c r="AZ267" i="1"/>
  <c r="AY267" i="1"/>
  <c r="AX267" i="1"/>
  <c r="AW267" i="1"/>
  <c r="AV267" i="1"/>
  <c r="AU267" i="1"/>
  <c r="AT267" i="1"/>
  <c r="AS267" i="1"/>
  <c r="AR267" i="1"/>
  <c r="AQ267" i="1"/>
  <c r="AP267" i="1"/>
  <c r="AO267" i="1"/>
  <c r="AN267" i="1"/>
  <c r="AM267" i="1"/>
  <c r="AL267" i="1"/>
  <c r="AK267" i="1"/>
  <c r="AJ267" i="1"/>
  <c r="BU260" i="1"/>
  <c r="BT260" i="1"/>
  <c r="BS260" i="1"/>
  <c r="BR260" i="1"/>
  <c r="BQ260" i="1"/>
  <c r="BP260" i="1"/>
  <c r="BO260" i="1"/>
  <c r="BN260" i="1"/>
  <c r="BM260" i="1"/>
  <c r="BL260" i="1"/>
  <c r="BK260" i="1"/>
  <c r="BJ260" i="1"/>
  <c r="BI260" i="1"/>
  <c r="BH260" i="1"/>
  <c r="BG260" i="1"/>
  <c r="BF260" i="1"/>
  <c r="BE260" i="1"/>
  <c r="BD260" i="1"/>
  <c r="BC260" i="1"/>
  <c r="BB260" i="1"/>
  <c r="BA260" i="1"/>
  <c r="AZ260" i="1"/>
  <c r="AY260" i="1"/>
  <c r="AX260" i="1"/>
  <c r="AW260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BU254" i="1"/>
  <c r="BT254" i="1"/>
  <c r="BS254" i="1"/>
  <c r="BR254" i="1"/>
  <c r="BQ254" i="1"/>
  <c r="BP254" i="1"/>
  <c r="BO254" i="1"/>
  <c r="BN254" i="1"/>
  <c r="BM254" i="1"/>
  <c r="BL254" i="1"/>
  <c r="BK254" i="1"/>
  <c r="BJ254" i="1"/>
  <c r="BI254" i="1"/>
  <c r="BH254" i="1"/>
  <c r="BG254" i="1"/>
  <c r="BF254" i="1"/>
  <c r="BE254" i="1"/>
  <c r="BD254" i="1"/>
  <c r="BC254" i="1"/>
  <c r="BB254" i="1"/>
  <c r="BA254" i="1"/>
  <c r="AZ254" i="1"/>
  <c r="AY254" i="1"/>
  <c r="AX254" i="1"/>
  <c r="AW254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BU249" i="1"/>
  <c r="BT249" i="1"/>
  <c r="BS249" i="1"/>
  <c r="BR249" i="1"/>
  <c r="BQ249" i="1"/>
  <c r="BP249" i="1"/>
  <c r="BO249" i="1"/>
  <c r="BN249" i="1"/>
  <c r="BM249" i="1"/>
  <c r="BL249" i="1"/>
  <c r="BK249" i="1"/>
  <c r="BJ249" i="1"/>
  <c r="BI249" i="1"/>
  <c r="BH249" i="1"/>
  <c r="BG249" i="1"/>
  <c r="BF249" i="1"/>
  <c r="BE249" i="1"/>
  <c r="BD249" i="1"/>
  <c r="BC249" i="1"/>
  <c r="BB249" i="1"/>
  <c r="BA249" i="1"/>
  <c r="AZ249" i="1"/>
  <c r="AY249" i="1"/>
  <c r="AX249" i="1"/>
  <c r="AW249" i="1"/>
  <c r="AV249" i="1"/>
  <c r="AU249" i="1"/>
  <c r="AT249" i="1"/>
  <c r="AS249" i="1"/>
  <c r="AR249" i="1"/>
  <c r="AQ249" i="1"/>
  <c r="AP249" i="1"/>
  <c r="AO249" i="1"/>
  <c r="AN249" i="1"/>
  <c r="AM249" i="1"/>
  <c r="AL249" i="1"/>
  <c r="AK249" i="1"/>
  <c r="AJ249" i="1"/>
  <c r="BU241" i="1"/>
  <c r="BT241" i="1"/>
  <c r="BS241" i="1"/>
  <c r="BR241" i="1"/>
  <c r="BQ241" i="1"/>
  <c r="BP241" i="1"/>
  <c r="BO241" i="1"/>
  <c r="BN241" i="1"/>
  <c r="BM241" i="1"/>
  <c r="BL241" i="1"/>
  <c r="BK241" i="1"/>
  <c r="BJ241" i="1"/>
  <c r="BI241" i="1"/>
  <c r="BH241" i="1"/>
  <c r="BG241" i="1"/>
  <c r="BF241" i="1"/>
  <c r="BE241" i="1"/>
  <c r="BD241" i="1"/>
  <c r="BC241" i="1"/>
  <c r="BB241" i="1"/>
  <c r="BA241" i="1"/>
  <c r="AZ241" i="1"/>
  <c r="AY241" i="1"/>
  <c r="AX241" i="1"/>
  <c r="AW241" i="1"/>
  <c r="AV241" i="1"/>
  <c r="AU241" i="1"/>
  <c r="AT241" i="1"/>
  <c r="AS241" i="1"/>
  <c r="AR241" i="1"/>
  <c r="AQ241" i="1"/>
  <c r="AP241" i="1"/>
  <c r="AO241" i="1"/>
  <c r="AN241" i="1"/>
  <c r="AM241" i="1"/>
  <c r="AL241" i="1"/>
  <c r="AK241" i="1"/>
  <c r="AJ241" i="1"/>
  <c r="BU233" i="1"/>
  <c r="BT233" i="1"/>
  <c r="BS233" i="1"/>
  <c r="BR233" i="1"/>
  <c r="BQ233" i="1"/>
  <c r="BP233" i="1"/>
  <c r="BO233" i="1"/>
  <c r="BN233" i="1"/>
  <c r="BM233" i="1"/>
  <c r="BL233" i="1"/>
  <c r="BK233" i="1"/>
  <c r="BJ233" i="1"/>
  <c r="BI233" i="1"/>
  <c r="BH233" i="1"/>
  <c r="BG233" i="1"/>
  <c r="BF233" i="1"/>
  <c r="BE233" i="1"/>
  <c r="BD233" i="1"/>
  <c r="BC233" i="1"/>
  <c r="BB233" i="1"/>
  <c r="BA233" i="1"/>
  <c r="AZ233" i="1"/>
  <c r="AY233" i="1"/>
  <c r="AX233" i="1"/>
  <c r="AW233" i="1"/>
  <c r="AV233" i="1"/>
  <c r="AU233" i="1"/>
  <c r="AT233" i="1"/>
  <c r="AS233" i="1"/>
  <c r="AR233" i="1"/>
  <c r="AQ233" i="1"/>
  <c r="AP233" i="1"/>
  <c r="AO233" i="1"/>
  <c r="AN233" i="1"/>
  <c r="AM233" i="1"/>
  <c r="AL233" i="1"/>
  <c r="AK233" i="1"/>
  <c r="AJ233" i="1"/>
  <c r="BU226" i="1"/>
  <c r="BT226" i="1"/>
  <c r="BS226" i="1"/>
  <c r="BR226" i="1"/>
  <c r="BQ226" i="1"/>
  <c r="BP226" i="1"/>
  <c r="BO226" i="1"/>
  <c r="BN226" i="1"/>
  <c r="BM226" i="1"/>
  <c r="BL226" i="1"/>
  <c r="BK226" i="1"/>
  <c r="BJ226" i="1"/>
  <c r="BI226" i="1"/>
  <c r="BH226" i="1"/>
  <c r="BG226" i="1"/>
  <c r="BF226" i="1"/>
  <c r="BE226" i="1"/>
  <c r="BD226" i="1"/>
  <c r="BC226" i="1"/>
  <c r="BB226" i="1"/>
  <c r="BA226" i="1"/>
  <c r="AZ226" i="1"/>
  <c r="AY226" i="1"/>
  <c r="AX226" i="1"/>
  <c r="AW226" i="1"/>
  <c r="AV226" i="1"/>
  <c r="AU226" i="1"/>
  <c r="AT226" i="1"/>
  <c r="AS226" i="1"/>
  <c r="AR226" i="1"/>
  <c r="AQ226" i="1"/>
  <c r="AP226" i="1"/>
  <c r="AO226" i="1"/>
  <c r="AN226" i="1"/>
  <c r="AM226" i="1"/>
  <c r="AL226" i="1"/>
  <c r="AK226" i="1"/>
  <c r="AJ226" i="1"/>
  <c r="BU219" i="1"/>
  <c r="BT219" i="1"/>
  <c r="BS219" i="1"/>
  <c r="BR219" i="1"/>
  <c r="BQ219" i="1"/>
  <c r="BP219" i="1"/>
  <c r="BO219" i="1"/>
  <c r="BN219" i="1"/>
  <c r="BM219" i="1"/>
  <c r="BL219" i="1"/>
  <c r="BK219" i="1"/>
  <c r="BJ219" i="1"/>
  <c r="BI219" i="1"/>
  <c r="BH219" i="1"/>
  <c r="BG219" i="1"/>
  <c r="BF219" i="1"/>
  <c r="BE219" i="1"/>
  <c r="BD219" i="1"/>
  <c r="BC219" i="1"/>
  <c r="BB219" i="1"/>
  <c r="BA219" i="1"/>
  <c r="AZ219" i="1"/>
  <c r="AY219" i="1"/>
  <c r="AX219" i="1"/>
  <c r="AW219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BU213" i="1"/>
  <c r="BT213" i="1"/>
  <c r="BS213" i="1"/>
  <c r="BR213" i="1"/>
  <c r="BQ213" i="1"/>
  <c r="BP213" i="1"/>
  <c r="BO213" i="1"/>
  <c r="BN213" i="1"/>
  <c r="BM213" i="1"/>
  <c r="BL213" i="1"/>
  <c r="BK213" i="1"/>
  <c r="BJ213" i="1"/>
  <c r="BI213" i="1"/>
  <c r="BH213" i="1"/>
  <c r="BG213" i="1"/>
  <c r="BF213" i="1"/>
  <c r="BE213" i="1"/>
  <c r="BD213" i="1"/>
  <c r="BC213" i="1"/>
  <c r="BB213" i="1"/>
  <c r="BA213" i="1"/>
  <c r="AZ213" i="1"/>
  <c r="AY213" i="1"/>
  <c r="AX213" i="1"/>
  <c r="AW213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BU206" i="1"/>
  <c r="BT206" i="1"/>
  <c r="BS206" i="1"/>
  <c r="BR206" i="1"/>
  <c r="BQ206" i="1"/>
  <c r="BP206" i="1"/>
  <c r="BO206" i="1"/>
  <c r="BN206" i="1"/>
  <c r="BM206" i="1"/>
  <c r="BL206" i="1"/>
  <c r="BK206" i="1"/>
  <c r="BJ206" i="1"/>
  <c r="BI206" i="1"/>
  <c r="BH206" i="1"/>
  <c r="BG206" i="1"/>
  <c r="BF206" i="1"/>
  <c r="BE206" i="1"/>
  <c r="BD206" i="1"/>
  <c r="BC206" i="1"/>
  <c r="BB206" i="1"/>
  <c r="BA206" i="1"/>
  <c r="AZ206" i="1"/>
  <c r="AY206" i="1"/>
  <c r="AX206" i="1"/>
  <c r="AW206" i="1"/>
  <c r="AV206" i="1"/>
  <c r="AU206" i="1"/>
  <c r="AT206" i="1"/>
  <c r="AS206" i="1"/>
  <c r="AR206" i="1"/>
  <c r="AQ206" i="1"/>
  <c r="AP206" i="1"/>
  <c r="AO206" i="1"/>
  <c r="AN206" i="1"/>
  <c r="AM206" i="1"/>
  <c r="AL206" i="1"/>
  <c r="AK206" i="1"/>
  <c r="AJ206" i="1"/>
  <c r="BU197" i="1"/>
  <c r="BT197" i="1"/>
  <c r="BS197" i="1"/>
  <c r="BR197" i="1"/>
  <c r="BQ197" i="1"/>
  <c r="BP197" i="1"/>
  <c r="BO197" i="1"/>
  <c r="BN197" i="1"/>
  <c r="BM197" i="1"/>
  <c r="BL197" i="1"/>
  <c r="BK197" i="1"/>
  <c r="BJ197" i="1"/>
  <c r="BI197" i="1"/>
  <c r="BH197" i="1"/>
  <c r="BG197" i="1"/>
  <c r="BF197" i="1"/>
  <c r="BE197" i="1"/>
  <c r="BD197" i="1"/>
  <c r="BC197" i="1"/>
  <c r="BB197" i="1"/>
  <c r="BA197" i="1"/>
  <c r="AZ197" i="1"/>
  <c r="AY197" i="1"/>
  <c r="AX197" i="1"/>
  <c r="AW197" i="1"/>
  <c r="AV197" i="1"/>
  <c r="AU197" i="1"/>
  <c r="AT197" i="1"/>
  <c r="AS197" i="1"/>
  <c r="AR197" i="1"/>
  <c r="AQ197" i="1"/>
  <c r="AP197" i="1"/>
  <c r="AO197" i="1"/>
  <c r="AN197" i="1"/>
  <c r="AM197" i="1"/>
  <c r="AL197" i="1"/>
  <c r="AK197" i="1"/>
  <c r="AJ197" i="1"/>
  <c r="BU190" i="1"/>
  <c r="BT190" i="1"/>
  <c r="BS190" i="1"/>
  <c r="BR190" i="1"/>
  <c r="BQ190" i="1"/>
  <c r="BP190" i="1"/>
  <c r="BO190" i="1"/>
  <c r="BN190" i="1"/>
  <c r="BM190" i="1"/>
  <c r="BL190" i="1"/>
  <c r="BK190" i="1"/>
  <c r="BJ190" i="1"/>
  <c r="BI190" i="1"/>
  <c r="BH190" i="1"/>
  <c r="BG190" i="1"/>
  <c r="BF190" i="1"/>
  <c r="BE190" i="1"/>
  <c r="BD190" i="1"/>
  <c r="BC190" i="1"/>
  <c r="BB190" i="1"/>
  <c r="BA190" i="1"/>
  <c r="AZ190" i="1"/>
  <c r="AY190" i="1"/>
  <c r="AX190" i="1"/>
  <c r="AW190" i="1"/>
  <c r="AV190" i="1"/>
  <c r="AU190" i="1"/>
  <c r="AT190" i="1"/>
  <c r="AS190" i="1"/>
  <c r="AR190" i="1"/>
  <c r="AQ190" i="1"/>
  <c r="AP190" i="1"/>
  <c r="AO190" i="1"/>
  <c r="AN190" i="1"/>
  <c r="AM190" i="1"/>
  <c r="AL190" i="1"/>
  <c r="AK190" i="1"/>
  <c r="AJ190" i="1"/>
  <c r="BU180" i="1"/>
  <c r="BT180" i="1"/>
  <c r="BS180" i="1"/>
  <c r="BR180" i="1"/>
  <c r="BQ180" i="1"/>
  <c r="BP180" i="1"/>
  <c r="BO180" i="1"/>
  <c r="BN180" i="1"/>
  <c r="BM180" i="1"/>
  <c r="BL180" i="1"/>
  <c r="BK180" i="1"/>
  <c r="BJ180" i="1"/>
  <c r="BI180" i="1"/>
  <c r="BH180" i="1"/>
  <c r="BG180" i="1"/>
  <c r="BF180" i="1"/>
  <c r="BE180" i="1"/>
  <c r="BD180" i="1"/>
  <c r="BC180" i="1"/>
  <c r="BB180" i="1"/>
  <c r="BA180" i="1"/>
  <c r="AZ180" i="1"/>
  <c r="AY180" i="1"/>
  <c r="AX180" i="1"/>
  <c r="AW180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BU172" i="1"/>
  <c r="BT172" i="1"/>
  <c r="BS172" i="1"/>
  <c r="BR172" i="1"/>
  <c r="BQ172" i="1"/>
  <c r="BP172" i="1"/>
  <c r="BO172" i="1"/>
  <c r="BN172" i="1"/>
  <c r="BM172" i="1"/>
  <c r="BL172" i="1"/>
  <c r="BK172" i="1"/>
  <c r="BJ172" i="1"/>
  <c r="BI172" i="1"/>
  <c r="BH172" i="1"/>
  <c r="BG172" i="1"/>
  <c r="BF172" i="1"/>
  <c r="BE172" i="1"/>
  <c r="BD172" i="1"/>
  <c r="BC172" i="1"/>
  <c r="BB172" i="1"/>
  <c r="BA172" i="1"/>
  <c r="AZ172" i="1"/>
  <c r="AY172" i="1"/>
  <c r="AX172" i="1"/>
  <c r="AW172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BU166" i="1"/>
  <c r="BT166" i="1"/>
  <c r="BS166" i="1"/>
  <c r="BR166" i="1"/>
  <c r="BQ166" i="1"/>
  <c r="BP166" i="1"/>
  <c r="BO166" i="1"/>
  <c r="BN166" i="1"/>
  <c r="BM166" i="1"/>
  <c r="BL166" i="1"/>
  <c r="BK166" i="1"/>
  <c r="BJ166" i="1"/>
  <c r="BI166" i="1"/>
  <c r="BH166" i="1"/>
  <c r="BG166" i="1"/>
  <c r="BF166" i="1"/>
  <c r="BE166" i="1"/>
  <c r="BD166" i="1"/>
  <c r="BC166" i="1"/>
  <c r="BB166" i="1"/>
  <c r="BA166" i="1"/>
  <c r="AZ166" i="1"/>
  <c r="AY166" i="1"/>
  <c r="AX166" i="1"/>
  <c r="AW166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BU153" i="1"/>
  <c r="BT153" i="1"/>
  <c r="BS153" i="1"/>
  <c r="BR153" i="1"/>
  <c r="BQ153" i="1"/>
  <c r="BP153" i="1"/>
  <c r="BO153" i="1"/>
  <c r="BN153" i="1"/>
  <c r="BM153" i="1"/>
  <c r="BL153" i="1"/>
  <c r="BK153" i="1"/>
  <c r="BJ153" i="1"/>
  <c r="BI153" i="1"/>
  <c r="BH153" i="1"/>
  <c r="BG153" i="1"/>
  <c r="BF153" i="1"/>
  <c r="BE153" i="1"/>
  <c r="BD153" i="1"/>
  <c r="BC153" i="1"/>
  <c r="BB153" i="1"/>
  <c r="BA153" i="1"/>
  <c r="AZ153" i="1"/>
  <c r="AY153" i="1"/>
  <c r="AX153" i="1"/>
  <c r="AW153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BU148" i="1"/>
  <c r="BT148" i="1"/>
  <c r="BS148" i="1"/>
  <c r="BR148" i="1"/>
  <c r="BQ148" i="1"/>
  <c r="BP148" i="1"/>
  <c r="BO148" i="1"/>
  <c r="BN148" i="1"/>
  <c r="BM148" i="1"/>
  <c r="BL148" i="1"/>
  <c r="BK148" i="1"/>
  <c r="BJ148" i="1"/>
  <c r="BI148" i="1"/>
  <c r="BH148" i="1"/>
  <c r="BG148" i="1"/>
  <c r="BF148" i="1"/>
  <c r="BE148" i="1"/>
  <c r="BD148" i="1"/>
  <c r="BC148" i="1"/>
  <c r="BB148" i="1"/>
  <c r="BA148" i="1"/>
  <c r="AZ148" i="1"/>
  <c r="AY148" i="1"/>
  <c r="AX148" i="1"/>
  <c r="AW148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BU141" i="1"/>
  <c r="BT141" i="1"/>
  <c r="BS141" i="1"/>
  <c r="BR141" i="1"/>
  <c r="BQ141" i="1"/>
  <c r="BP141" i="1"/>
  <c r="BO141" i="1"/>
  <c r="BN141" i="1"/>
  <c r="BM141" i="1"/>
  <c r="BL141" i="1"/>
  <c r="BK141" i="1"/>
  <c r="BJ141" i="1"/>
  <c r="BI141" i="1"/>
  <c r="BH141" i="1"/>
  <c r="BG141" i="1"/>
  <c r="BF141" i="1"/>
  <c r="BE141" i="1"/>
  <c r="BD141" i="1"/>
  <c r="BC141" i="1"/>
  <c r="BB141" i="1"/>
  <c r="BA141" i="1"/>
  <c r="AZ141" i="1"/>
  <c r="AY141" i="1"/>
  <c r="AX141" i="1"/>
  <c r="AW141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BU133" i="1"/>
  <c r="BT133" i="1"/>
  <c r="BS133" i="1"/>
  <c r="BR133" i="1"/>
  <c r="BQ133" i="1"/>
  <c r="BP133" i="1"/>
  <c r="BO133" i="1"/>
  <c r="BN133" i="1"/>
  <c r="BM133" i="1"/>
  <c r="BL133" i="1"/>
  <c r="BK133" i="1"/>
  <c r="BJ133" i="1"/>
  <c r="BI133" i="1"/>
  <c r="BH133" i="1"/>
  <c r="BG133" i="1"/>
  <c r="BF133" i="1"/>
  <c r="BE133" i="1"/>
  <c r="BD133" i="1"/>
  <c r="BC133" i="1"/>
  <c r="BB133" i="1"/>
  <c r="BA133" i="1"/>
  <c r="AZ133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BU119" i="1"/>
  <c r="BT119" i="1"/>
  <c r="BS119" i="1"/>
  <c r="BR119" i="1"/>
  <c r="BQ119" i="1"/>
  <c r="BP119" i="1"/>
  <c r="BO119" i="1"/>
  <c r="BN119" i="1"/>
  <c r="BM119" i="1"/>
  <c r="BL119" i="1"/>
  <c r="BK119" i="1"/>
  <c r="BJ119" i="1"/>
  <c r="BI119" i="1"/>
  <c r="BH119" i="1"/>
  <c r="BG119" i="1"/>
  <c r="BF119" i="1"/>
  <c r="BE119" i="1"/>
  <c r="BD119" i="1"/>
  <c r="BC119" i="1"/>
  <c r="BB119" i="1"/>
  <c r="BA119" i="1"/>
  <c r="AZ119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BU106" i="1"/>
  <c r="BT106" i="1"/>
  <c r="BS106" i="1"/>
  <c r="BR106" i="1"/>
  <c r="BQ106" i="1"/>
  <c r="BP106" i="1"/>
  <c r="BO106" i="1"/>
  <c r="BN106" i="1"/>
  <c r="BM106" i="1"/>
  <c r="BL106" i="1"/>
  <c r="BK106" i="1"/>
  <c r="BJ106" i="1"/>
  <c r="BI106" i="1"/>
  <c r="BH106" i="1"/>
  <c r="BG106" i="1"/>
  <c r="BF106" i="1"/>
  <c r="BE106" i="1"/>
  <c r="BD106" i="1"/>
  <c r="BC106" i="1"/>
  <c r="BB106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BU93" i="1"/>
  <c r="BT93" i="1"/>
  <c r="BS93" i="1"/>
  <c r="BR93" i="1"/>
  <c r="BQ93" i="1"/>
  <c r="BP93" i="1"/>
  <c r="BO93" i="1"/>
  <c r="BN93" i="1"/>
  <c r="BM93" i="1"/>
  <c r="BL93" i="1"/>
  <c r="BK93" i="1"/>
  <c r="BJ93" i="1"/>
  <c r="BI93" i="1"/>
  <c r="BH93" i="1"/>
  <c r="BG93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BU88" i="1"/>
  <c r="BT88" i="1"/>
  <c r="BS88" i="1"/>
  <c r="BR88" i="1"/>
  <c r="BQ88" i="1"/>
  <c r="BP88" i="1"/>
  <c r="BO88" i="1"/>
  <c r="BN88" i="1"/>
  <c r="BM88" i="1"/>
  <c r="BL88" i="1"/>
  <c r="BK88" i="1"/>
  <c r="BJ88" i="1"/>
  <c r="BI88" i="1"/>
  <c r="BH88" i="1"/>
  <c r="BG88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BU79" i="1"/>
  <c r="BT79" i="1"/>
  <c r="BS79" i="1"/>
  <c r="BR79" i="1"/>
  <c r="BQ79" i="1"/>
  <c r="BP79" i="1"/>
  <c r="BO79" i="1"/>
  <c r="BN79" i="1"/>
  <c r="BM79" i="1"/>
  <c r="BL79" i="1"/>
  <c r="BK79" i="1"/>
  <c r="BJ79" i="1"/>
  <c r="BI79" i="1"/>
  <c r="BH79" i="1"/>
  <c r="BG79" i="1"/>
  <c r="BF79" i="1"/>
  <c r="BE79" i="1"/>
  <c r="BD79" i="1"/>
  <c r="BC79" i="1"/>
  <c r="BB79" i="1"/>
  <c r="BA79" i="1"/>
  <c r="AZ79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BU71" i="1"/>
  <c r="BT71" i="1"/>
  <c r="BS71" i="1"/>
  <c r="BR71" i="1"/>
  <c r="BQ71" i="1"/>
  <c r="BP71" i="1"/>
  <c r="BO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BU64" i="1"/>
  <c r="BT64" i="1"/>
  <c r="BS64" i="1"/>
  <c r="BR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BU58" i="1"/>
  <c r="BT58" i="1"/>
  <c r="BS58" i="1"/>
  <c r="BR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BU50" i="1"/>
  <c r="BT50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I17" i="1"/>
  <c r="AI25" i="1"/>
  <c r="AI32" i="1"/>
  <c r="AI37" i="1"/>
  <c r="AI42" i="1"/>
  <c r="AI50" i="1"/>
  <c r="AI58" i="1"/>
  <c r="AI64" i="1"/>
  <c r="AI71" i="1"/>
  <c r="AI79" i="1"/>
  <c r="AI88" i="1"/>
  <c r="AI93" i="1"/>
  <c r="AI106" i="1"/>
  <c r="AI119" i="1"/>
  <c r="AI133" i="1"/>
  <c r="AI141" i="1"/>
  <c r="AI148" i="1"/>
  <c r="AI153" i="1"/>
  <c r="AI158" i="1"/>
  <c r="AI166" i="1"/>
  <c r="AI172" i="1"/>
  <c r="AI180" i="1"/>
  <c r="AI190" i="1"/>
  <c r="AI197" i="1"/>
  <c r="AI206" i="1"/>
  <c r="AI213" i="1"/>
  <c r="AI219" i="1"/>
  <c r="AI226" i="1"/>
  <c r="AI233" i="1"/>
  <c r="AI241" i="1"/>
  <c r="AI249" i="1"/>
  <c r="AI254" i="1"/>
  <c r="AI260" i="1"/>
  <c r="AI267" i="1"/>
  <c r="AI274" i="1"/>
  <c r="AI280" i="1"/>
  <c r="AI288" i="1"/>
  <c r="AI294" i="1"/>
  <c r="AI301" i="1"/>
  <c r="AI308" i="1"/>
  <c r="AI315" i="1"/>
  <c r="BW9" i="1"/>
  <c r="BV9" i="1"/>
  <c r="BZ148" i="1" l="1"/>
  <c r="BV148" i="1"/>
  <c r="D146" i="1"/>
  <c r="BZ153" i="1"/>
  <c r="BV153" i="1"/>
  <c r="D151" i="1"/>
  <c r="BW3" i="1" l="1" a="1"/>
  <c r="BW3" i="1" s="1"/>
  <c r="AH3" i="1" a="1"/>
  <c r="AH3" i="1" s="1"/>
  <c r="AG3" i="1" a="1"/>
  <c r="AG3" i="1" s="1"/>
  <c r="AF3" i="1" a="1"/>
  <c r="AF3" i="1" s="1"/>
  <c r="AE3" i="1" a="1"/>
  <c r="AE3" i="1" s="1"/>
  <c r="AD3" i="1" a="1"/>
  <c r="AD3" i="1" s="1"/>
  <c r="AC3" i="1" a="1"/>
  <c r="AC3" i="1" s="1"/>
  <c r="AB3" i="1" a="1"/>
  <c r="AB3" i="1" s="1"/>
  <c r="AA3" i="1" a="1"/>
  <c r="AA3" i="1" s="1"/>
  <c r="Z3" i="1" a="1"/>
  <c r="Z3" i="1" s="1"/>
  <c r="Y3" i="1" a="1"/>
  <c r="Y3" i="1" s="1"/>
  <c r="X3" i="1" a="1"/>
  <c r="X3" i="1" s="1"/>
  <c r="W3" i="1" a="1"/>
  <c r="W3" i="1" s="1"/>
  <c r="V3" i="1" a="1"/>
  <c r="V3" i="1" s="1"/>
  <c r="U3" i="1" a="1"/>
  <c r="U3" i="1" s="1"/>
  <c r="T3" i="1" a="1"/>
  <c r="T3" i="1" s="1"/>
  <c r="S3" i="1" a="1"/>
  <c r="S3" i="1" s="1"/>
  <c r="R3" i="1" a="1"/>
  <c r="R3" i="1" s="1"/>
  <c r="BW2" i="1" a="1"/>
  <c r="BW2" i="1" s="1"/>
  <c r="AH2" i="1" a="1"/>
  <c r="AH2" i="1" s="1"/>
  <c r="AG2" i="1" a="1"/>
  <c r="AG2" i="1" s="1"/>
  <c r="AF2" i="1" a="1"/>
  <c r="AF2" i="1" s="1"/>
  <c r="AE2" i="1" a="1"/>
  <c r="AE2" i="1" s="1"/>
  <c r="AD2" i="1" a="1"/>
  <c r="AD2" i="1" s="1"/>
  <c r="AC2" i="1" a="1"/>
  <c r="AC2" i="1" s="1"/>
  <c r="AB2" i="1" a="1"/>
  <c r="AB2" i="1" s="1"/>
  <c r="AA2" i="1" a="1"/>
  <c r="AA2" i="1" s="1"/>
  <c r="Z2" i="1" a="1"/>
  <c r="Z2" i="1" s="1"/>
  <c r="Y2" i="1" a="1"/>
  <c r="Y2" i="1" s="1"/>
  <c r="X2" i="1" a="1"/>
  <c r="X2" i="1" s="1"/>
  <c r="W2" i="1" a="1"/>
  <c r="W2" i="1" s="1"/>
  <c r="V2" i="1" a="1"/>
  <c r="V2" i="1" s="1"/>
  <c r="U2" i="1" a="1"/>
  <c r="U2" i="1" s="1"/>
  <c r="T2" i="1" a="1"/>
  <c r="T2" i="1" s="1"/>
  <c r="S2" i="1" a="1"/>
  <c r="S2" i="1" s="1"/>
  <c r="R2" i="1" a="1"/>
  <c r="R2" i="1" s="1"/>
  <c r="BV315" i="1"/>
  <c r="BQ8" i="1"/>
  <c r="BQ16" i="1" s="1"/>
  <c r="BQ24" i="1" s="1"/>
  <c r="BQ31" i="1" s="1"/>
  <c r="BV308" i="1"/>
  <c r="BV301" i="1"/>
  <c r="BV294" i="1"/>
  <c r="BV288" i="1"/>
  <c r="BV280" i="1"/>
  <c r="BV274" i="1"/>
  <c r="BV267" i="1"/>
  <c r="BV260" i="1"/>
  <c r="BV254" i="1"/>
  <c r="BV249" i="1"/>
  <c r="BV241" i="1"/>
  <c r="BV233" i="1"/>
  <c r="BV226" i="1"/>
  <c r="BV219" i="1"/>
  <c r="BV213" i="1"/>
  <c r="BV206" i="1"/>
  <c r="BV197" i="1"/>
  <c r="BV190" i="1"/>
  <c r="BV180" i="1"/>
  <c r="BV172" i="1"/>
  <c r="BV166" i="1"/>
  <c r="BV158" i="1"/>
  <c r="BV141" i="1"/>
  <c r="BV133" i="1"/>
  <c r="BV119" i="1"/>
  <c r="BV106" i="1"/>
  <c r="BV93" i="1"/>
  <c r="BV88" i="1"/>
  <c r="BV79" i="1"/>
  <c r="BV71" i="1"/>
  <c r="BV64" i="1"/>
  <c r="BV58" i="1"/>
  <c r="BV50" i="1"/>
  <c r="BV42" i="1"/>
  <c r="BV37" i="1"/>
  <c r="BV32" i="1"/>
  <c r="BV25" i="1"/>
  <c r="BV17" i="1"/>
  <c r="BZ315" i="1"/>
  <c r="BZ308" i="1"/>
  <c r="BZ301" i="1"/>
  <c r="BZ294" i="1"/>
  <c r="BZ288" i="1"/>
  <c r="BZ280" i="1"/>
  <c r="BZ274" i="1"/>
  <c r="BZ267" i="1"/>
  <c r="BZ260" i="1"/>
  <c r="BZ254" i="1"/>
  <c r="BZ249" i="1"/>
  <c r="BZ241" i="1"/>
  <c r="BZ233" i="1"/>
  <c r="BZ226" i="1"/>
  <c r="BZ219" i="1"/>
  <c r="BZ213" i="1"/>
  <c r="BZ206" i="1"/>
  <c r="BZ197" i="1"/>
  <c r="BZ190" i="1"/>
  <c r="BZ180" i="1"/>
  <c r="BZ172" i="1"/>
  <c r="BZ166" i="1"/>
  <c r="BZ158" i="1"/>
  <c r="BZ141" i="1"/>
  <c r="BZ133" i="1"/>
  <c r="BZ119" i="1"/>
  <c r="BZ106" i="1"/>
  <c r="BZ93" i="1"/>
  <c r="BZ88" i="1"/>
  <c r="BZ79" i="1"/>
  <c r="BZ71" i="1"/>
  <c r="BZ64" i="1"/>
  <c r="BZ58" i="1"/>
  <c r="BZ50" i="1"/>
  <c r="BZ42" i="1"/>
  <c r="BZ37" i="1"/>
  <c r="BZ32" i="1"/>
  <c r="BZ25" i="1"/>
  <c r="BZ17" i="1"/>
  <c r="BZ9" i="1"/>
  <c r="BQ36" i="1" l="1"/>
  <c r="BQ41" i="1" s="1"/>
  <c r="BQ49" i="1" s="1"/>
  <c r="BQ57" i="1" s="1"/>
  <c r="BQ63" i="1" s="1"/>
  <c r="BQ70" i="1" s="1"/>
  <c r="BQ78" i="1" s="1"/>
  <c r="BQ87" i="1" s="1"/>
  <c r="BQ92" i="1" s="1"/>
  <c r="BQ105" i="1" s="1"/>
  <c r="BQ118" i="1" s="1"/>
  <c r="BQ132" i="1" s="1"/>
  <c r="BQ140" i="1" s="1"/>
  <c r="BQ157" i="1" s="1"/>
  <c r="BQ165" i="1" s="1"/>
  <c r="BQ171" i="1" s="1"/>
  <c r="BQ179" i="1" s="1"/>
  <c r="BQ189" i="1" s="1"/>
  <c r="BQ196" i="1" s="1"/>
  <c r="BQ205" i="1" s="1"/>
  <c r="BQ212" i="1" s="1"/>
  <c r="BQ218" i="1" s="1"/>
  <c r="BQ225" i="1" s="1"/>
  <c r="BQ232" i="1" s="1"/>
  <c r="BQ240" i="1" s="1"/>
  <c r="BQ248" i="1" s="1"/>
  <c r="BQ253" i="1" s="1"/>
  <c r="BQ259" i="1" s="1"/>
  <c r="BQ266" i="1" s="1"/>
  <c r="BQ273" i="1" s="1"/>
  <c r="BQ279" i="1" s="1"/>
  <c r="BQ287" i="1" s="1"/>
  <c r="BQ293" i="1" s="1"/>
  <c r="BQ300" i="1" s="1"/>
  <c r="BQ307" i="1" s="1"/>
  <c r="BQ314" i="1" s="1"/>
  <c r="BQ322" i="1" s="1"/>
  <c r="BQ326" i="1" s="1"/>
  <c r="BQ336" i="1" s="1"/>
  <c r="BQ344" i="1" s="1"/>
  <c r="BQ352" i="1" s="1"/>
  <c r="BQ364" i="1" s="1"/>
  <c r="AQ3" i="1" a="1"/>
  <c r="AQ3" i="1" s="1"/>
  <c r="BQ4" i="1" a="1"/>
  <c r="BQ4" i="1" s="1"/>
  <c r="BD4" i="1" a="1"/>
  <c r="BD4" i="1" s="1"/>
  <c r="BR4" i="1" a="1"/>
  <c r="BR4" i="1" s="1"/>
  <c r="AP4" i="1" a="1"/>
  <c r="AP4" i="1" s="1"/>
  <c r="BK4" i="1" a="1"/>
  <c r="BK4" i="1" s="1"/>
  <c r="AW4" i="1" a="1"/>
  <c r="AW4" i="1" s="1"/>
  <c r="AY3" i="1" a="1"/>
  <c r="AY3" i="1" s="1"/>
  <c r="BO3" i="1" a="1"/>
  <c r="BO3" i="1" s="1"/>
  <c r="BG3" i="1" a="1"/>
  <c r="BG3" i="1" s="1"/>
  <c r="AI3" i="1" a="1"/>
  <c r="AI3" i="1" s="1"/>
  <c r="BJ8" i="1"/>
  <c r="AP3" i="1" a="1"/>
  <c r="AP3" i="1" s="1"/>
  <c r="AX3" i="1" a="1"/>
  <c r="AX3" i="1" s="1"/>
  <c r="BF3" i="1" a="1"/>
  <c r="BF3" i="1" s="1"/>
  <c r="BN3" i="1" a="1"/>
  <c r="BN3" i="1" s="1"/>
  <c r="BV3" i="1" a="1"/>
  <c r="BV3" i="1" s="1"/>
  <c r="AM3" i="1" a="1"/>
  <c r="AM3" i="1" s="1"/>
  <c r="AU3" i="1" a="1"/>
  <c r="AU3" i="1" s="1"/>
  <c r="BK3" i="1" a="1"/>
  <c r="BK3" i="1" s="1"/>
  <c r="BS3" i="1" a="1"/>
  <c r="BS3" i="1" s="1"/>
  <c r="AN3" i="1" a="1"/>
  <c r="AN3" i="1" s="1"/>
  <c r="BL3" i="1" a="1"/>
  <c r="BL3" i="1" s="1"/>
  <c r="AR2" i="1" a="1"/>
  <c r="AR2" i="1" s="1"/>
  <c r="BH2" i="1" a="1"/>
  <c r="BH2" i="1" s="1"/>
  <c r="AK2" i="1" a="1"/>
  <c r="AK2" i="1" s="1"/>
  <c r="AS2" i="1" a="1"/>
  <c r="AS2" i="1" s="1"/>
  <c r="BQ2" i="1" a="1"/>
  <c r="BQ2" i="1" s="1"/>
  <c r="AT3" i="1" a="1"/>
  <c r="AT3" i="1" s="1"/>
  <c r="BD3" i="1" a="1"/>
  <c r="BD3" i="1" s="1"/>
  <c r="AW3" i="1" a="1"/>
  <c r="AW3" i="1" s="1"/>
  <c r="BM3" i="1" a="1"/>
  <c r="BM3" i="1" s="1"/>
  <c r="BU3" i="1" a="1"/>
  <c r="BU3" i="1" s="1"/>
  <c r="AJ2" i="1" a="1"/>
  <c r="AJ2" i="1" s="1"/>
  <c r="AZ2" i="1" a="1"/>
  <c r="AZ2" i="1" s="1"/>
  <c r="BP2" i="1" a="1"/>
  <c r="BP2" i="1" s="1"/>
  <c r="BA2" i="1" a="1"/>
  <c r="BA2" i="1" s="1"/>
  <c r="BI2" i="1" a="1"/>
  <c r="BI2" i="1" s="1"/>
  <c r="AL3" i="1" a="1"/>
  <c r="AL3" i="1" s="1"/>
  <c r="BB3" i="1" a="1"/>
  <c r="BB3" i="1" s="1"/>
  <c r="BR3" i="1" a="1"/>
  <c r="BR3" i="1" s="1"/>
  <c r="BT3" i="1" a="1"/>
  <c r="BT3" i="1" s="1"/>
  <c r="BE3" i="1" a="1"/>
  <c r="BE3" i="1" s="1"/>
  <c r="AL2" i="1" a="1"/>
  <c r="AL2" i="1" s="1"/>
  <c r="AT2" i="1" a="1"/>
  <c r="AT2" i="1" s="1"/>
  <c r="BB2" i="1" a="1"/>
  <c r="BB2" i="1" s="1"/>
  <c r="BR2" i="1" a="1"/>
  <c r="BR2" i="1" s="1"/>
  <c r="AJ3" i="1" a="1"/>
  <c r="AJ3" i="1" s="1"/>
  <c r="AR3" i="1" a="1"/>
  <c r="AR3" i="1" s="1"/>
  <c r="AZ3" i="1" a="1"/>
  <c r="AZ3" i="1" s="1"/>
  <c r="BH3" i="1" a="1"/>
  <c r="BH3" i="1" s="1"/>
  <c r="BP3" i="1" a="1"/>
  <c r="BP3" i="1" s="1"/>
  <c r="AM2" i="1" a="1"/>
  <c r="AM2" i="1" s="1"/>
  <c r="AU2" i="1" a="1"/>
  <c r="AU2" i="1" s="1"/>
  <c r="BK2" i="1" a="1"/>
  <c r="BK2" i="1" s="1"/>
  <c r="BS2" i="1" a="1"/>
  <c r="BS2" i="1" s="1"/>
  <c r="AK3" i="1" a="1"/>
  <c r="AK3" i="1" s="1"/>
  <c r="AS3" i="1" a="1"/>
  <c r="AS3" i="1" s="1"/>
  <c r="BA3" i="1" a="1"/>
  <c r="BA3" i="1" s="1"/>
  <c r="BI3" i="1" a="1"/>
  <c r="BI3" i="1" s="1"/>
  <c r="BQ3" i="1" a="1"/>
  <c r="BQ3" i="1" s="1"/>
  <c r="AN2" i="1" a="1"/>
  <c r="AN2" i="1" s="1"/>
  <c r="BD2" i="1" a="1"/>
  <c r="BD2" i="1" s="1"/>
  <c r="BL2" i="1" a="1"/>
  <c r="BL2" i="1" s="1"/>
  <c r="BT2" i="1" a="1"/>
  <c r="BT2" i="1" s="1"/>
  <c r="AW2" i="1" a="1"/>
  <c r="AW2" i="1" s="1"/>
  <c r="BE2" i="1" a="1"/>
  <c r="BE2" i="1" s="1"/>
  <c r="BM2" i="1" a="1"/>
  <c r="BM2" i="1" s="1"/>
  <c r="BU2" i="1" a="1"/>
  <c r="BU2" i="1" s="1"/>
  <c r="AP2" i="1" a="1"/>
  <c r="AP2" i="1" s="1"/>
  <c r="AX2" i="1" a="1"/>
  <c r="AX2" i="1" s="1"/>
  <c r="BF2" i="1" a="1"/>
  <c r="BF2" i="1" s="1"/>
  <c r="BN2" i="1" a="1"/>
  <c r="BN2" i="1" s="1"/>
  <c r="BV2" i="1" a="1"/>
  <c r="BV2" i="1" s="1"/>
  <c r="AI2" i="1" a="1"/>
  <c r="AI2" i="1" s="1"/>
  <c r="AQ2" i="1" a="1"/>
  <c r="AQ2" i="1" s="1"/>
  <c r="AY2" i="1" a="1"/>
  <c r="AY2" i="1" s="1"/>
  <c r="BG2" i="1" a="1"/>
  <c r="BG2" i="1" s="1"/>
  <c r="BO2" i="1" a="1"/>
  <c r="BO2" i="1" s="1"/>
  <c r="BC8" i="1"/>
  <c r="BJ16" i="1" l="1"/>
  <c r="BC16" i="1"/>
  <c r="BC24" i="1" s="1"/>
  <c r="BC31" i="1" s="1"/>
  <c r="BC36" i="1" s="1"/>
  <c r="BC41" i="1" s="1"/>
  <c r="BC49" i="1" s="1"/>
  <c r="BC57" i="1" s="1"/>
  <c r="BC63" i="1" s="1"/>
  <c r="BC70" i="1" s="1"/>
  <c r="BC78" i="1" s="1"/>
  <c r="BC87" i="1" s="1"/>
  <c r="BC92" i="1" s="1"/>
  <c r="BC105" i="1" s="1"/>
  <c r="BC118" i="1" s="1"/>
  <c r="BC132" i="1" s="1"/>
  <c r="BC140" i="1" s="1"/>
  <c r="BC157" i="1" s="1"/>
  <c r="BC165" i="1" s="1"/>
  <c r="BC171" i="1" s="1"/>
  <c r="BC179" i="1" s="1"/>
  <c r="BC189" i="1" s="1"/>
  <c r="BC196" i="1" s="1"/>
  <c r="BC205" i="1" s="1"/>
  <c r="BC212" i="1" s="1"/>
  <c r="BC218" i="1" s="1"/>
  <c r="BC225" i="1" s="1"/>
  <c r="BC232" i="1" s="1"/>
  <c r="BC240" i="1" s="1"/>
  <c r="BC248" i="1" s="1"/>
  <c r="BC253" i="1" s="1"/>
  <c r="BC259" i="1" s="1"/>
  <c r="BC266" i="1" s="1"/>
  <c r="BC273" i="1" s="1"/>
  <c r="BC279" i="1" s="1"/>
  <c r="BC287" i="1" s="1"/>
  <c r="BC293" i="1" s="1"/>
  <c r="BC300" i="1" s="1"/>
  <c r="BC307" i="1" s="1"/>
  <c r="BC314" i="1" s="1"/>
  <c r="BC322" i="1" s="1"/>
  <c r="BC326" i="1" s="1"/>
  <c r="BC336" i="1" s="1"/>
  <c r="BC344" i="1" s="1"/>
  <c r="BC352" i="1" s="1"/>
  <c r="BC364" i="1" s="1"/>
  <c r="BC4" i="1" a="1"/>
  <c r="BC4" i="1" s="1"/>
  <c r="BC2" i="1" a="1"/>
  <c r="BC2" i="1" s="1"/>
  <c r="BC3" i="1" a="1"/>
  <c r="BC3" i="1" s="1"/>
  <c r="D35" i="1"/>
  <c r="D30" i="1"/>
  <c r="D23" i="1"/>
  <c r="BJ24" i="1" l="1"/>
  <c r="L5" i="1"/>
  <c r="AV8" i="1"/>
  <c r="D7" i="1"/>
  <c r="D15" i="1"/>
  <c r="BJ31" i="1" l="1"/>
  <c r="AV16" i="1"/>
  <c r="AO41" i="1"/>
  <c r="D363" i="1"/>
  <c r="D351" i="1"/>
  <c r="D343" i="1"/>
  <c r="D335" i="1"/>
  <c r="D325" i="1"/>
  <c r="D321" i="1"/>
  <c r="D313" i="1"/>
  <c r="D306" i="1"/>
  <c r="D299" i="1"/>
  <c r="D292" i="1"/>
  <c r="D286" i="1"/>
  <c r="D278" i="1"/>
  <c r="D272" i="1"/>
  <c r="D265" i="1"/>
  <c r="D258" i="1"/>
  <c r="D252" i="1"/>
  <c r="D247" i="1"/>
  <c r="D239" i="1"/>
  <c r="D231" i="1"/>
  <c r="D224" i="1"/>
  <c r="D217" i="1"/>
  <c r="D211" i="1"/>
  <c r="D204" i="1"/>
  <c r="D195" i="1"/>
  <c r="D188" i="1"/>
  <c r="D178" i="1"/>
  <c r="D170" i="1"/>
  <c r="D164" i="1"/>
  <c r="D156" i="1"/>
  <c r="D139" i="1"/>
  <c r="D131" i="1"/>
  <c r="D117" i="1"/>
  <c r="D104" i="1"/>
  <c r="D91" i="1"/>
  <c r="D86" i="1"/>
  <c r="D77" i="1"/>
  <c r="D69" i="1"/>
  <c r="D62" i="1"/>
  <c r="D56" i="1"/>
  <c r="D48" i="1"/>
  <c r="D40" i="1"/>
  <c r="E5" i="1"/>
  <c r="BJ36" i="1" l="1"/>
  <c r="AV24" i="1"/>
  <c r="AO49" i="1"/>
  <c r="I324" i="1"/>
  <c r="AV4" i="1" l="1" a="1"/>
  <c r="AV4" i="1" s="1"/>
  <c r="BJ41" i="1"/>
  <c r="AV3" i="1" a="1"/>
  <c r="AV3" i="1" s="1"/>
  <c r="AV2" i="1" a="1"/>
  <c r="AV2" i="1" s="1"/>
  <c r="AV31" i="1"/>
  <c r="AV36" i="1" s="1"/>
  <c r="AV41" i="1" s="1"/>
  <c r="AV49" i="1" s="1"/>
  <c r="AV57" i="1" s="1"/>
  <c r="AV63" i="1" s="1"/>
  <c r="AV70" i="1" s="1"/>
  <c r="AV78" i="1" s="1"/>
  <c r="AV87" i="1" s="1"/>
  <c r="AV92" i="1" s="1"/>
  <c r="AV105" i="1" s="1"/>
  <c r="AV118" i="1" s="1"/>
  <c r="AV132" i="1" s="1"/>
  <c r="AV140" i="1" s="1"/>
  <c r="AV157" i="1" s="1"/>
  <c r="AV165" i="1" s="1"/>
  <c r="AV171" i="1" s="1"/>
  <c r="AV179" i="1" s="1"/>
  <c r="AV189" i="1" s="1"/>
  <c r="AV196" i="1" s="1"/>
  <c r="AV205" i="1" s="1"/>
  <c r="AV212" i="1" s="1"/>
  <c r="AV218" i="1" s="1"/>
  <c r="AV225" i="1" s="1"/>
  <c r="AV232" i="1" s="1"/>
  <c r="AV240" i="1" s="1"/>
  <c r="AV248" i="1" s="1"/>
  <c r="AV253" i="1" s="1"/>
  <c r="AV259" i="1" s="1"/>
  <c r="AV266" i="1" s="1"/>
  <c r="AV273" i="1" s="1"/>
  <c r="AV279" i="1" s="1"/>
  <c r="AV287" i="1" s="1"/>
  <c r="AV293" i="1" s="1"/>
  <c r="AV300" i="1" s="1"/>
  <c r="AV307" i="1" s="1"/>
  <c r="AV314" i="1" s="1"/>
  <c r="AV322" i="1" s="1"/>
  <c r="AV326" i="1" s="1"/>
  <c r="AV336" i="1" s="1"/>
  <c r="AV344" i="1" s="1"/>
  <c r="AV352" i="1" s="1"/>
  <c r="AV364" i="1" s="1"/>
  <c r="AO57" i="1"/>
  <c r="BJ49" i="1" l="1"/>
  <c r="AO63" i="1"/>
  <c r="BJ57" i="1" l="1"/>
  <c r="AO70" i="1"/>
  <c r="BJ63" i="1" l="1"/>
  <c r="AO78" i="1"/>
  <c r="BJ70" i="1" l="1"/>
  <c r="AO87" i="1"/>
  <c r="BJ78" i="1" l="1"/>
  <c r="AO92" i="1"/>
  <c r="BJ87" i="1" l="1"/>
  <c r="AO105" i="1"/>
  <c r="BJ92" i="1" l="1"/>
  <c r="AO118" i="1"/>
  <c r="BJ105" i="1" l="1"/>
  <c r="AO132" i="1"/>
  <c r="BJ118" i="1" l="1"/>
  <c r="AO140" i="1"/>
  <c r="BJ132" i="1" l="1"/>
  <c r="AO157" i="1"/>
  <c r="BJ140" i="1" l="1"/>
  <c r="AO165" i="1"/>
  <c r="BJ157" i="1" l="1"/>
  <c r="AO171" i="1"/>
  <c r="AO4" i="1" l="1" a="1"/>
  <c r="AO4" i="1" s="1"/>
  <c r="BJ165" i="1"/>
  <c r="AO3" i="1" a="1"/>
  <c r="AO3" i="1" s="1"/>
  <c r="AO2" i="1" a="1"/>
  <c r="AO2" i="1" s="1"/>
  <c r="AO179" i="1"/>
  <c r="AO189" i="1" s="1"/>
  <c r="AO196" i="1" s="1"/>
  <c r="AO205" i="1" s="1"/>
  <c r="AO212" i="1" s="1"/>
  <c r="AO218" i="1" s="1"/>
  <c r="AO225" i="1" s="1"/>
  <c r="AO232" i="1" s="1"/>
  <c r="AO240" i="1" s="1"/>
  <c r="AO248" i="1" s="1"/>
  <c r="AO253" i="1" s="1"/>
  <c r="AO259" i="1" s="1"/>
  <c r="AO266" i="1" s="1"/>
  <c r="AO273" i="1" s="1"/>
  <c r="AO279" i="1" s="1"/>
  <c r="AO287" i="1" s="1"/>
  <c r="AO293" i="1" s="1"/>
  <c r="AO300" i="1" s="1"/>
  <c r="AO307" i="1" s="1"/>
  <c r="AO314" i="1" s="1"/>
  <c r="AO322" i="1" s="1"/>
  <c r="AO326" i="1" s="1"/>
  <c r="AO336" i="1" s="1"/>
  <c r="AO344" i="1" s="1"/>
  <c r="AO352" i="1" s="1"/>
  <c r="AO364" i="1" s="1"/>
  <c r="BJ171" i="1" l="1"/>
  <c r="BJ179" i="1" l="1"/>
  <c r="BJ189" i="1" l="1"/>
  <c r="BJ196" i="1" l="1"/>
  <c r="BJ205" i="1" l="1"/>
  <c r="BJ212" i="1" l="1"/>
  <c r="BJ218" i="1" l="1"/>
  <c r="BJ225" i="1" l="1"/>
  <c r="BJ232" i="1" l="1"/>
  <c r="BJ240" i="1" l="1"/>
  <c r="BJ248" i="1" l="1"/>
  <c r="BJ253" i="1" l="1"/>
  <c r="BJ259" i="1" l="1"/>
  <c r="BJ266" i="1" l="1"/>
  <c r="BJ273" i="1" l="1"/>
  <c r="BJ279" i="1" l="1"/>
  <c r="BJ287" i="1" l="1"/>
  <c r="BJ293" i="1" l="1"/>
  <c r="BJ300" i="1" l="1"/>
  <c r="BJ307" i="1" l="1"/>
  <c r="BJ314" i="1" l="1"/>
  <c r="BJ322" i="1" l="1"/>
  <c r="BJ326" i="1" l="1"/>
  <c r="BJ336" i="1" l="1"/>
  <c r="BJ344" i="1" l="1"/>
  <c r="BJ352" i="1" l="1"/>
  <c r="BJ364" i="1" l="1"/>
  <c r="BJ4" i="1" a="1"/>
  <c r="BJ4" i="1" s="1"/>
  <c r="BJ2" i="1" l="1" a="1"/>
  <c r="BJ2" i="1" s="1"/>
  <c r="BJ3" i="1" a="1"/>
  <c r="BJ3" i="1" s="1"/>
  <c r="E151" i="1" l="1"/>
  <c r="BX153" i="1" s="1"/>
  <c r="E146" i="1"/>
  <c r="BX148" i="1" s="1"/>
  <c r="E224" i="1" l="1"/>
  <c r="BX226" i="1" s="1"/>
  <c r="E239" i="1"/>
  <c r="BX241" i="1" s="1"/>
  <c r="E211" i="1"/>
  <c r="BX213" i="1" s="1"/>
  <c r="E217" i="1"/>
  <c r="BX219" i="1" s="1"/>
  <c r="E231" i="1" l="1"/>
  <c r="BX233" i="1" s="1"/>
  <c r="E56" i="1" l="1"/>
  <c r="BX58" i="1" s="1"/>
  <c r="E35" i="1"/>
  <c r="BX37" i="1" s="1"/>
  <c r="E30" i="1"/>
  <c r="BX32" i="1" s="1"/>
  <c r="E23" i="1"/>
  <c r="BX25" i="1" s="1"/>
  <c r="E7" i="1" l="1"/>
  <c r="BX9" i="1" s="1"/>
  <c r="E15" i="1"/>
  <c r="BX17" i="1" s="1"/>
  <c r="E286" i="1" l="1"/>
  <c r="BX288" i="1" s="1"/>
  <c r="E48" i="1" l="1"/>
  <c r="BX50" i="1" s="1"/>
  <c r="E40" i="1"/>
  <c r="BX42" i="1" s="1"/>
  <c r="E117" i="1" l="1"/>
  <c r="BX119" i="1" s="1"/>
  <c r="E104" i="1"/>
  <c r="BX106" i="1" s="1"/>
  <c r="E325" i="1" l="1"/>
  <c r="E351" i="1" l="1"/>
  <c r="E292" i="1" l="1"/>
  <c r="BX294" i="1" s="1"/>
  <c r="E363" i="1" l="1"/>
  <c r="E299" i="1" l="1"/>
  <c r="BX301" i="1" s="1"/>
  <c r="E265" i="1"/>
  <c r="BX267" i="1" s="1"/>
  <c r="E258" i="1"/>
  <c r="BX260" i="1" s="1"/>
  <c r="E278" i="1"/>
  <c r="BX280" i="1" s="1"/>
  <c r="E306" i="1"/>
  <c r="BX308" i="1" s="1"/>
  <c r="E195" i="1" l="1"/>
  <c r="BX197" i="1" s="1"/>
  <c r="E188" i="1"/>
  <c r="BX190" i="1" s="1"/>
  <c r="E178" i="1"/>
  <c r="BX180" i="1" s="1"/>
  <c r="E156" i="1"/>
  <c r="BX158" i="1" s="1"/>
  <c r="E204" i="1"/>
  <c r="BX206" i="1" s="1"/>
  <c r="E164" i="1"/>
  <c r="BX166" i="1" s="1"/>
  <c r="E170" i="1"/>
  <c r="BX172" i="1" s="1"/>
  <c r="E247" i="1" l="1"/>
  <c r="BX249" i="1" s="1"/>
  <c r="E86" i="1" l="1"/>
  <c r="BX88" i="1" s="1"/>
  <c r="E77" i="1" l="1"/>
  <c r="BX79" i="1" s="1"/>
  <c r="E313" i="1" l="1"/>
  <c r="BX315" i="1" s="1"/>
  <c r="E252" i="1"/>
  <c r="BX254" i="1" s="1"/>
  <c r="E272" i="1" l="1"/>
  <c r="BX274" i="1" s="1"/>
  <c r="E91" i="1" l="1"/>
  <c r="BX93" i="1" s="1"/>
  <c r="E131" i="1" l="1"/>
  <c r="BX133" i="1" s="1"/>
  <c r="E139" i="1"/>
  <c r="BX141" i="1" s="1"/>
  <c r="E343" i="1" l="1"/>
  <c r="E69" i="1"/>
  <c r="BX71" i="1" s="1"/>
  <c r="E335" i="1"/>
  <c r="E62" i="1"/>
  <c r="BX64" i="1" s="1"/>
  <c r="E321" i="1"/>
  <c r="BX2" i="1" l="1" a="1"/>
  <c r="BX2" i="1" s="1"/>
  <c r="BX4" i="1" a="1"/>
  <c r="BX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<sst xmlns="http://schemas.openxmlformats.org/spreadsheetml/2006/main" count="2570" uniqueCount="430">
  <si>
    <t>순위</t>
    <phoneticPr fontId="4" type="noConversion"/>
  </si>
  <si>
    <t>가구매</t>
    <phoneticPr fontId="4" type="noConversion"/>
  </si>
  <si>
    <t>순번</t>
    <phoneticPr fontId="4" type="noConversion"/>
  </si>
  <si>
    <t>등록</t>
    <phoneticPr fontId="4" type="noConversion"/>
  </si>
  <si>
    <t>VI ID</t>
    <phoneticPr fontId="4" type="noConversion"/>
  </si>
  <si>
    <t>키워드</t>
    <phoneticPr fontId="4" type="noConversion"/>
  </si>
  <si>
    <t>검색량</t>
    <phoneticPr fontId="4" type="noConversion"/>
  </si>
  <si>
    <t>공란</t>
    <phoneticPr fontId="4" type="noConversion"/>
  </si>
  <si>
    <t>필터</t>
    <phoneticPr fontId="4" type="noConversion"/>
  </si>
  <si>
    <t>뉴클 파워락 맥세이프 흡착 거치대 블랙</t>
  </si>
  <si>
    <t>뉴클 풀 마그네틱 65W CtoC타입 1.0m, 2개</t>
  </si>
  <si>
    <t>c타입보조배터리</t>
  </si>
  <si>
    <t>맥세이프그립톡</t>
  </si>
  <si>
    <t>핸드폰거치대</t>
  </si>
  <si>
    <t>뉴클 PD 65W USB-C 고속충전 우븐케이블 1m</t>
  </si>
  <si>
    <t>고속충전케이블</t>
  </si>
  <si>
    <t>아이폰c타입케이블</t>
  </si>
  <si>
    <t>ctoc타입케이블</t>
  </si>
  <si>
    <t>C타입고속충전기케이블</t>
  </si>
  <si>
    <t>충전케이블</t>
  </si>
  <si>
    <t>아이폰충전케이블</t>
  </si>
  <si>
    <t>C타입케이블</t>
  </si>
  <si>
    <t>뉴클 이어핏 8핀 오픈형 유선이어폰</t>
  </si>
  <si>
    <t>유선이어폰</t>
  </si>
  <si>
    <t>아이폰이어폰</t>
  </si>
  <si>
    <t>뉴클 이어핏 C타입 오픈형 유선이어폰</t>
  </si>
  <si>
    <t>C타입유선이어폰</t>
  </si>
  <si>
    <t>뉴클 프레임리스 케이스 아이폰15 블루</t>
  </si>
  <si>
    <t>아이폰15pro케이스</t>
  </si>
  <si>
    <t>아이폰16실리콘케이스</t>
  </si>
  <si>
    <t>아이폰16프로맥세이프케이스</t>
  </si>
  <si>
    <t>uv살균기</t>
  </si>
  <si>
    <t>X</t>
  </si>
  <si>
    <t>살균기</t>
  </si>
  <si>
    <t>수저살균기</t>
  </si>
  <si>
    <t>차량용충전기</t>
  </si>
  <si>
    <t>순위밖</t>
  </si>
  <si>
    <t>차량용고속충전기</t>
  </si>
  <si>
    <t>차량용충전기시거잭</t>
  </si>
  <si>
    <t>시거잭충전기</t>
  </si>
  <si>
    <t>시거잭고속충전기</t>
  </si>
  <si>
    <t>체크</t>
  </si>
  <si>
    <t>coupang.com/vp/products/9162123674?itemId=26989332801&amp;vendorItemId=93958083412</t>
  </si>
  <si>
    <t>흡착식 휴대폰 거치대</t>
  </si>
  <si>
    <t>맥세이프 거치대</t>
  </si>
  <si>
    <t>휴대폰 거치대</t>
  </si>
  <si>
    <t>멀티허브</t>
  </si>
  <si>
    <t>x</t>
  </si>
  <si>
    <t>C타입멀티허브</t>
  </si>
  <si>
    <t>USB멀티허브</t>
  </si>
  <si>
    <t>c타입허브</t>
  </si>
  <si>
    <t>뉴클 풀 마그네틱 65W CtoC타입 1.0m</t>
  </si>
  <si>
    <t>마그네틱케이블</t>
  </si>
  <si>
    <t>마그네틱충전케이블</t>
  </si>
  <si>
    <t>체크중</t>
  </si>
  <si>
    <t>품절상품</t>
  </si>
  <si>
    <t>뉴클 멀티 케이블 키트 화이트 1개 그로스</t>
  </si>
  <si>
    <t>멀티케이블</t>
  </si>
  <si>
    <t>멀티케이블키트</t>
  </si>
  <si>
    <t>여행용케이블</t>
  </si>
  <si>
    <t>뉴클 멀티 케이블 키트 블랙 1개 그로스</t>
  </si>
  <si>
    <t>폴리싱천</t>
  </si>
  <si>
    <t>극세사천</t>
  </si>
  <si>
    <t>안경닦이</t>
  </si>
  <si>
    <t>애플광택용천</t>
  </si>
  <si>
    <t>뉴클 슬림파워 보조배터리 그로스</t>
  </si>
  <si>
    <t>보조배터리</t>
  </si>
  <si>
    <t>10/23 판매량확인, 3위 내 진입 후 슬랏 축소</t>
  </si>
  <si>
    <t>보조배터리10000</t>
  </si>
  <si>
    <t>10/23 판매량확인, 3위 진입 목표</t>
  </si>
  <si>
    <t>보조밧데리</t>
  </si>
  <si>
    <t>이어폰</t>
  </si>
  <si>
    <t>블루투스이어폰</t>
  </si>
  <si>
    <t>실제 작업 안되는것으로 보임</t>
  </si>
  <si>
    <t>무선이어폰</t>
  </si>
  <si>
    <t>TWS</t>
  </si>
  <si>
    <t>노이즈캔슬링블루투스 이어폰</t>
  </si>
  <si>
    <t>아이폰충전기</t>
  </si>
  <si>
    <t>아이폰충전기8핀</t>
  </si>
  <si>
    <t>8핀충전기</t>
  </si>
  <si>
    <t>군대일체형충전기</t>
  </si>
  <si>
    <t>도킹형보조배터리</t>
  </si>
  <si>
    <t>미니보조배터리</t>
  </si>
  <si>
    <t>도킹보조배터리</t>
  </si>
  <si>
    <t>맥세이프링홀더</t>
  </si>
  <si>
    <t>마그네틱거치대</t>
  </si>
  <si>
    <t>맥세이프거치대</t>
  </si>
  <si>
    <t>자석거치대</t>
  </si>
  <si>
    <t>퍼플 판매자로켓</t>
  </si>
  <si>
    <t>순위 잡히는것들 5개씩 안 잡히는것들 1개씩</t>
  </si>
  <si>
    <t>아이폰케이블</t>
  </si>
  <si>
    <t>아이폰케이블정품</t>
  </si>
  <si>
    <t>아이폰충전케이블정품</t>
  </si>
  <si>
    <t>아이폰충전케이블2M</t>
  </si>
  <si>
    <t>애플이어폰</t>
  </si>
  <si>
    <t>8핀이어폰</t>
  </si>
  <si>
    <t>c타입이어폰</t>
  </si>
  <si>
    <t>삼성이어폰</t>
  </si>
  <si>
    <t>아이폰15케이스</t>
  </si>
  <si>
    <t>아이폰15맥세이프케이스</t>
  </si>
  <si>
    <t>아이폰15실리콘케이스</t>
  </si>
  <si>
    <t>아이폰15케이스맥세이프</t>
  </si>
  <si>
    <t>아이폰15폰케이스</t>
  </si>
  <si>
    <t>coupang.com/vp/products/8816879367?itemId=25690999360&amp;vendorItemId=92680186415</t>
  </si>
  <si>
    <t>아이폰15프로케이스</t>
  </si>
  <si>
    <t>아이폰15프로맥세이프케이스</t>
  </si>
  <si>
    <t>아이폰15프로실리콘케이스</t>
  </si>
  <si>
    <t>아이폰15프로케이스맥세이프</t>
  </si>
  <si>
    <t>아이폰16케이스</t>
  </si>
  <si>
    <t>아이폰16맥세이프케이스</t>
  </si>
  <si>
    <t>아이폰16케이스맥세이프</t>
  </si>
  <si>
    <t>아이폰16폰케이스</t>
  </si>
  <si>
    <t>아이폰16슬림케이스</t>
  </si>
  <si>
    <t>아이폰16핸드폰케이스</t>
  </si>
  <si>
    <t>뉴클 프레임리스 케이스 아이폰16PRO 화이트</t>
  </si>
  <si>
    <t>아이폰16프로케이스</t>
  </si>
  <si>
    <t>아이폰16pro케이스</t>
  </si>
  <si>
    <t>아이폰16프로케이스맥세이프</t>
  </si>
  <si>
    <t>아이폰16프로실리콘케이스</t>
  </si>
  <si>
    <t>아이폰16프로핸드폰케이스</t>
  </si>
  <si>
    <t>락스탠드 거치대</t>
  </si>
  <si>
    <t xml:space="preserve">태블릿거치대	</t>
  </si>
  <si>
    <t>아이패드거치대</t>
  </si>
  <si>
    <t>폰거치대</t>
  </si>
  <si>
    <t>휴대폰거치대</t>
  </si>
  <si>
    <t>판매수량</t>
    <phoneticPr fontId="4" type="noConversion"/>
  </si>
  <si>
    <t>슬랏ON</t>
    <phoneticPr fontId="4" type="noConversion"/>
  </si>
  <si>
    <t>coupang.com/vp/products/9036430179?itemId=26509795883&amp;vendorItemId=93484384971</t>
  </si>
  <si>
    <t>coupang.com/vp/products/8939341691?itemId=26140039308&amp;vendorItemId=93120151882</t>
  </si>
  <si>
    <t>coupang.com/vp/products/8707389650?itemId=25287149670&amp;vendorItemId=92868664391</t>
  </si>
  <si>
    <t>coupang.com/vp/products/8873194799?itemId=25890180880&amp;vendorItemId=92876166284</t>
  </si>
  <si>
    <t>coupang.com/vp/products/8715754702?itemId=25314213601&amp;vendorItemId=92242613471</t>
  </si>
  <si>
    <t>coupang.com/vp/products/8518266259?itemId=24675211201&amp;vendorItemId=92242613463</t>
  </si>
  <si>
    <t>coupang.com/vp/products/8871363775?itemId=25882523297&amp;vendorItemId=92868674350</t>
  </si>
  <si>
    <t>coupang.com/vp/products/8873196773?itemId=25890191268&amp;vendorItemId=92876152674</t>
  </si>
  <si>
    <t>coupang.com/vp/products/8399605043?itemId=24280063526&amp;vendorItemId=91774730750</t>
  </si>
  <si>
    <t>coupang.com/vp/products/8787908548?itemId=25575350653&amp;vendorItemId=92868646878</t>
  </si>
  <si>
    <t>coupang.com/vp/products/8054338072?itemId=22601311355&amp;vendorItemId=89642957370</t>
  </si>
  <si>
    <t>coupang.com/vp/products/8051780714?itemId=22584449089&amp;vendorItemId=89626202953</t>
  </si>
  <si>
    <t>coupang.com/vp/products/8708363985?itemId=25289214806&amp;vendorItemId=92284671220</t>
  </si>
  <si>
    <t>coupang.com/vp/products/8708363985?itemId=25289214808&amp;vendorItemId=92284671229</t>
  </si>
  <si>
    <t>coupang.com/vp/products/8489429913?itemId=24571011033&amp;vendorItemId=91650811318</t>
  </si>
  <si>
    <t>coupang.com/vp/products/9046838389?itemId=26551492749&amp;vendorItemId=93525364055</t>
  </si>
  <si>
    <t>coupang.com/vp/products/9046805281?itemId=26551359861&amp;vendorItemId=93525233993</t>
  </si>
  <si>
    <t>coupang.com/vp/products/8378542250?itemId=24210284274&amp;vendorItemId=91227676564</t>
  </si>
  <si>
    <t>coupang.com/vp/products/8365319040?itemId=24168979018&amp;vendorItemId=91227676572</t>
  </si>
  <si>
    <t>coupang.com/vp/products/8816879367?itemId=25690999362&amp;vendorItemId=92680186435</t>
  </si>
  <si>
    <t>coupang.com/vp/products/8816879367?itemId=25690999341&amp;vendorItemId=92680186297</t>
  </si>
  <si>
    <t>coupang.com/vp/products/8816321184?itemId=25689854802&amp;vendorItemId=92679069452</t>
  </si>
  <si>
    <t>coupang.com/vp/products/8816321184?itemId=25689854801&amp;vendorItemId=92679069436</t>
  </si>
  <si>
    <t>coupang.com/vp/products/8816321184?itemId=25689854795&amp;vendorItemId=92679069345</t>
  </si>
  <si>
    <t>coupang.com/vp/products/8816321184?itemId=25689854794&amp;vendorItemId=92679069328</t>
  </si>
  <si>
    <t>coupang.com/vp/products/9185697458?itemId=27096652877&amp;vendorItemId=94064844120</t>
  </si>
  <si>
    <t>coupang.com/vp/products/9185698199?itemId=27096645614&amp;vendorItemId=94064836776</t>
  </si>
  <si>
    <t>coupang.com/vp/products/9185698199?itemId=27096645617&amp;vendorItemId=94064836775</t>
  </si>
  <si>
    <t>coupang.com/vp/products/9185698311?itemId=27096637245&amp;vendorItemId=94064828660</t>
  </si>
  <si>
    <t>coupang.com/vp/products/9185698311?itemId=27096637243&amp;vendorItemId=94064828659</t>
  </si>
  <si>
    <t>coupang.com/vp/products/16414587?itemId=26842981511&amp;vendorItemId=93812857845</t>
    <phoneticPr fontId="4" type="noConversion"/>
  </si>
  <si>
    <t>coupang.com/vp/products/9036430179?itemId=26509795881&amp;vendorItemId=93484384970</t>
    <phoneticPr fontId="4" type="noConversion"/>
  </si>
  <si>
    <t>coupang.com/vp/products/8789822712?itemId=25582452351&amp;vendorItemId=92573412233</t>
    <phoneticPr fontId="4" type="noConversion"/>
  </si>
  <si>
    <t>PSG</t>
  </si>
  <si>
    <t>SS+</t>
  </si>
  <si>
    <t>한샘 멀티 수저 살균기 그로스</t>
  </si>
  <si>
    <t>뉴클 PD 50W 3포트 차량용 충전기 블랙</t>
  </si>
  <si>
    <t>뉴클 PD 50W 3포트 차량용 충전기 화이트</t>
  </si>
  <si>
    <t>맥로이드 멀티 허브 어댑터_그로스</t>
  </si>
  <si>
    <t>뉴클 NANO-TEXTURE 스크린 광택용천</t>
  </si>
  <si>
    <t>뉴클 NANO-TEXTURE 스크린 광택용천, 2P</t>
  </si>
  <si>
    <t>뉴클 노이즈캔슬링 이어폰PRO</t>
  </si>
  <si>
    <t>뉴클 2.1A 8핀 일체형 충전기</t>
  </si>
  <si>
    <t>뉴클 도킹형 보조배터리 C+C 화이트</t>
  </si>
  <si>
    <t>뉴클 맥세이프 마그네틱 링 거치대 블랙</t>
  </si>
  <si>
    <t>뉴클 맥세이프 마그네틱 링 거치대 퍼플</t>
  </si>
  <si>
    <t>뉴클 PD 65W USB-C 우븐케이블 1m 2개입</t>
  </si>
  <si>
    <t>뉴클 PD 65W USB-C 우븐케이블 2m</t>
  </si>
  <si>
    <t>뉴클 프레임리스 케이스 아이폰15 화이트</t>
  </si>
  <si>
    <t>뉴클 프레임리스 케이스 아이폰15PRO 그레이</t>
  </si>
  <si>
    <t>뉴클 프레임리스 케이스 아이폰16 화이트</t>
  </si>
  <si>
    <t>뉴클 프레임리스 케이스 아이폰16 핑크</t>
  </si>
  <si>
    <t>뉴클 프레임리스 케이스 아이폰16PRO 핑크</t>
  </si>
  <si>
    <t>락스탠드 3관절 마운트 대형 거치대 블랙</t>
  </si>
  <si>
    <t>락스탠드 3단 높이조절 거치대 블랙</t>
  </si>
  <si>
    <t>락스탠드 3단 높이조절 거치대 화이트</t>
  </si>
  <si>
    <t>락스탠드 맥세이프 360회전 거치대 블랙</t>
  </si>
  <si>
    <t>락스탠드 맥세이프 360회전 거치대 화이트</t>
  </si>
  <si>
    <t>종료</t>
    <phoneticPr fontId="4" type="noConversion"/>
  </si>
  <si>
    <t>93812857845S</t>
  </si>
  <si>
    <t>93484384970S</t>
  </si>
  <si>
    <t>93484384971S</t>
  </si>
  <si>
    <t>93958083412S</t>
  </si>
  <si>
    <t>93120151882S</t>
  </si>
  <si>
    <t>92868664391S</t>
  </si>
  <si>
    <t>92876166284S</t>
  </si>
  <si>
    <t>92242613471S</t>
  </si>
  <si>
    <t>92242613463S</t>
  </si>
  <si>
    <t>92868674350S</t>
  </si>
  <si>
    <t>92876152674S</t>
  </si>
  <si>
    <t>91774730750S</t>
  </si>
  <si>
    <t>92868646878S</t>
  </si>
  <si>
    <t>89642957370S</t>
  </si>
  <si>
    <t>89626202953S</t>
  </si>
  <si>
    <t>92284671220S</t>
  </si>
  <si>
    <t>92284671229S</t>
  </si>
  <si>
    <t>92573412233S</t>
  </si>
  <si>
    <t>91650811318S</t>
  </si>
  <si>
    <t>93525364055S</t>
  </si>
  <si>
    <t>93525233993S</t>
  </si>
  <si>
    <t>91227676564S</t>
  </si>
  <si>
    <t>91227676572S</t>
  </si>
  <si>
    <t>92680186435S</t>
  </si>
  <si>
    <t>92680186415S</t>
  </si>
  <si>
    <t>92680186297S</t>
  </si>
  <si>
    <t>92679069452S</t>
  </si>
  <si>
    <t>92679069436S</t>
  </si>
  <si>
    <t>92679069345S</t>
  </si>
  <si>
    <t>92679069328S</t>
  </si>
  <si>
    <t>94064844120S</t>
  </si>
  <si>
    <t>94064836776S</t>
  </si>
  <si>
    <t>94064836775S</t>
  </si>
  <si>
    <t>94064828660S</t>
  </si>
  <si>
    <t>94064828659S</t>
  </si>
  <si>
    <t>0</t>
  </si>
  <si>
    <t>SKU명</t>
    <phoneticPr fontId="4" type="noConversion"/>
  </si>
  <si>
    <t>쿠팡URL</t>
    <phoneticPr fontId="4" type="noConversion"/>
  </si>
  <si>
    <t>A점프</t>
  </si>
  <si>
    <t>A점프</t>
    <phoneticPr fontId="4" type="noConversion"/>
  </si>
  <si>
    <t>A점프(키)</t>
    <phoneticPr fontId="4" type="noConversion"/>
  </si>
  <si>
    <t>A점프id</t>
    <phoneticPr fontId="4" type="noConversion"/>
  </si>
  <si>
    <t>유심핀키트</t>
  </si>
  <si>
    <t>유심핀키트92242613471</t>
  </si>
  <si>
    <t>PSG</t>
    <phoneticPr fontId="4" type="noConversion"/>
  </si>
  <si>
    <t>뉴클 2.1A C타입 일체형 충전기</t>
  </si>
  <si>
    <t>coupang.com/vp/products/8054338052?itemId=22601311292&amp;vendorItemId=89642957308</t>
  </si>
  <si>
    <t>일체형충전기</t>
  </si>
  <si>
    <t>에러</t>
  </si>
  <si>
    <t>뉴클 PD 차량용 릴타입 시거잭 충전기 화이트</t>
  </si>
  <si>
    <t>93179130210S</t>
  </si>
  <si>
    <t>coupang.com/vp/products/8955577311?itemId=26199895390&amp;vendorItemId=93179130210</t>
  </si>
  <si>
    <t>차량용충전기시거잭93179130210</t>
  </si>
  <si>
    <t>차량용고속충전기93179130210</t>
  </si>
  <si>
    <t>차량용충전기릴타입</t>
  </si>
  <si>
    <t>차량용충전기릴타입93179130210</t>
  </si>
  <si>
    <t>차량용충전기93179130210</t>
  </si>
  <si>
    <t>SS+</t>
    <phoneticPr fontId="4" type="noConversion"/>
  </si>
  <si>
    <t>트래픽</t>
    <phoneticPr fontId="4" type="noConversion"/>
  </si>
  <si>
    <t>뉴클 도킹형 보조배터리 8핀 화이트</t>
  </si>
  <si>
    <t>86741299651S</t>
  </si>
  <si>
    <t>coupang.com/vp/products/8818873492?itemId=19634960559&amp;vendorItemId=86741299651</t>
  </si>
  <si>
    <t>미니보조배터리86741299651</t>
  </si>
  <si>
    <t>도킹형보조배터리86741299651</t>
  </si>
  <si>
    <t>보조배터리86741299651</t>
  </si>
  <si>
    <t>뉴클 도킹형 보조배터리 C핀 화이트</t>
  </si>
  <si>
    <t>86741299191S</t>
  </si>
  <si>
    <t>coupang.com/vp/products/7500927168?itemId=19634959974&amp;vendorItemId=86741299191</t>
  </si>
  <si>
    <t>도킹형보조배터리86741299191</t>
  </si>
  <si>
    <t>미니보조배터리86741299191</t>
  </si>
  <si>
    <t>보조배터리86741299191</t>
  </si>
  <si>
    <t>뉴클 마이핏 카드수납 맥세이프 보조배터리+스티커</t>
  </si>
  <si>
    <t>93227164587S</t>
  </si>
  <si>
    <t>coupang.com/vp/products/8969081211?itemId=26248605354&amp;vendorItemId=93227164587</t>
  </si>
  <si>
    <t>아이폰보조배터리</t>
  </si>
  <si>
    <t>아이폰보조배터리93227164587</t>
  </si>
  <si>
    <t>무선충전보조배터리</t>
  </si>
  <si>
    <t>무선충전보조배터리93227164587</t>
  </si>
  <si>
    <t>보조배터리93227164587</t>
  </si>
  <si>
    <t>맥세이프보조배터리5000</t>
  </si>
  <si>
    <t>맥세이프보조배터리500093227164587</t>
  </si>
  <si>
    <t>맥세이프 보조배터리</t>
  </si>
  <si>
    <t>맥세이프 보조배터리93227164587</t>
  </si>
  <si>
    <t>뉴클 맥세이프 젤리파워 퍼플</t>
  </si>
  <si>
    <t>92899729512S</t>
  </si>
  <si>
    <t>coupang.com/vp/products/8879795155?itemId=25914091445&amp;vendorItemId=92899729512</t>
  </si>
  <si>
    <t>맥세이프보조배터리</t>
  </si>
  <si>
    <t>보조배터리92899729512</t>
  </si>
  <si>
    <t>아이폰보조배터리92899729512</t>
  </si>
  <si>
    <t>무선충전보조배터리92899729512</t>
  </si>
  <si>
    <t>맥세이프보조배터리92899729512</t>
  </si>
  <si>
    <t>맥세이프보조배터리500092899729512</t>
  </si>
  <si>
    <t>89642957308S</t>
    <phoneticPr fontId="4" type="noConversion"/>
  </si>
  <si>
    <t>순위A</t>
    <phoneticPr fontId="4" type="noConversion"/>
  </si>
  <si>
    <t>end</t>
    <phoneticPr fontId="4" type="noConversion"/>
  </si>
  <si>
    <t>비고</t>
    <phoneticPr fontId="4" type="noConversion"/>
  </si>
  <si>
    <t>광고</t>
    <phoneticPr fontId="4" type="noConversion"/>
  </si>
  <si>
    <t>12/5 판매가 올림</t>
    <phoneticPr fontId="4" type="noConversion"/>
  </si>
  <si>
    <t>93484384970AD</t>
  </si>
  <si>
    <t>93484384971AD</t>
  </si>
  <si>
    <t>93958083412AD</t>
  </si>
  <si>
    <t>89642957370AD</t>
  </si>
  <si>
    <t>89626202953AD</t>
  </si>
  <si>
    <t>92284671220AD</t>
  </si>
  <si>
    <t>92284671229AD</t>
  </si>
  <si>
    <t>91650811318AD</t>
  </si>
  <si>
    <t>93525364055AD</t>
  </si>
  <si>
    <t>93525233993AD</t>
  </si>
  <si>
    <t>91227676564AD</t>
  </si>
  <si>
    <t>91227676572AD</t>
  </si>
  <si>
    <t>92680186435AD</t>
  </si>
  <si>
    <t>92680186415AD</t>
  </si>
  <si>
    <t>92680186297AD</t>
  </si>
  <si>
    <t>92679069452AD</t>
  </si>
  <si>
    <t>92679069436AD</t>
  </si>
  <si>
    <t>92679069345AD</t>
  </si>
  <si>
    <t>92679069328AD</t>
  </si>
  <si>
    <t>94064844120AD</t>
  </si>
  <si>
    <t>94064836776AD</t>
  </si>
  <si>
    <t>94064836775AD</t>
  </si>
  <si>
    <t>94064828660AD</t>
  </si>
  <si>
    <t>94064828659AD</t>
  </si>
  <si>
    <t>92573412233AD</t>
  </si>
  <si>
    <t>92242613463AD</t>
  </si>
  <si>
    <t>92868674350AD</t>
  </si>
  <si>
    <t>92876152674AD</t>
  </si>
  <si>
    <t>91774730750AD</t>
  </si>
  <si>
    <t>92868646878AD</t>
  </si>
  <si>
    <t>93812857845AD</t>
  </si>
  <si>
    <t>93120151882AD</t>
  </si>
  <si>
    <t>92868664391AD</t>
  </si>
  <si>
    <t>92876166284AD</t>
  </si>
  <si>
    <t>92242613471AD</t>
  </si>
  <si>
    <t>89642957308AD</t>
  </si>
  <si>
    <t>93179130210AD</t>
  </si>
  <si>
    <t>86741299651AD</t>
  </si>
  <si>
    <t>86741299191AD</t>
  </si>
  <si>
    <t>93227164587AD</t>
  </si>
  <si>
    <t>92899729512AD</t>
  </si>
  <si>
    <r>
      <rPr>
        <sz val="9"/>
        <color rgb="FFFF0000"/>
        <rFont val="맑은 고딕"/>
        <family val="3"/>
        <charset val="129"/>
        <scheme val="minor"/>
      </rPr>
      <t>판매</t>
    </r>
    <r>
      <rPr>
        <sz val="9"/>
        <color theme="1"/>
        <rFont val="맑은 고딕"/>
        <family val="3"/>
        <charset val="129"/>
        <scheme val="minor"/>
      </rPr>
      <t>/</t>
    </r>
    <r>
      <rPr>
        <sz val="9"/>
        <color theme="4"/>
        <rFont val="맑은 고딕"/>
        <family val="3"/>
        <charset val="129"/>
        <scheme val="minor"/>
      </rPr>
      <t>광고</t>
    </r>
    <phoneticPr fontId="4" type="noConversion"/>
  </si>
  <si>
    <t>상품
구분</t>
    <phoneticPr fontId="4" type="noConversion"/>
  </si>
  <si>
    <t>뉴클 3IN1 맥세이프 충전 스탠드 블랙</t>
  </si>
  <si>
    <t>뉴클 3IN1 맥세이프 충전 스탠드 화이트</t>
  </si>
  <si>
    <t>94001494441S</t>
    <phoneticPr fontId="4" type="noConversion"/>
  </si>
  <si>
    <t>94001494441AD</t>
    <phoneticPr fontId="4" type="noConversion"/>
  </si>
  <si>
    <t>coupang.com/vp/products/9172017807?itemId=27032960580&amp;vendorItemId=94001494441</t>
  </si>
  <si>
    <t>coupang.com/vp/products/9172017807?itemId=27032960584&amp;vendorItemId=94001494442</t>
  </si>
  <si>
    <t>94001494442S</t>
    <phoneticPr fontId="4" type="noConversion"/>
  </si>
  <si>
    <t>94001494442AD</t>
    <phoneticPr fontId="4" type="noConversion"/>
  </si>
  <si>
    <t>갤럭시워치충전기</t>
    <phoneticPr fontId="4" type="noConversion"/>
  </si>
  <si>
    <t>애플워치거치대</t>
    <phoneticPr fontId="4" type="noConversion"/>
  </si>
  <si>
    <t>맥세이프충전기</t>
    <phoneticPr fontId="4" type="noConversion"/>
  </si>
  <si>
    <t>무선충전기</t>
    <phoneticPr fontId="4" type="noConversion"/>
  </si>
  <si>
    <t>애플워치충전거치대</t>
    <phoneticPr fontId="4" type="noConversion"/>
  </si>
  <si>
    <t>뉴클 3in1 충전스탠드 거치대</t>
  </si>
  <si>
    <t>뉴클_차량용충전기_3포트헤드</t>
  </si>
  <si>
    <t>뉴클 파워락 흡착 거치대</t>
  </si>
  <si>
    <t>뉴클 충전기일체형</t>
  </si>
  <si>
    <t>뉴클 도킹1</t>
  </si>
  <si>
    <t>뉴클 링거치대</t>
  </si>
  <si>
    <t>뉴클 케이블_우븐</t>
  </si>
  <si>
    <t>뉴클 이어폰_이어핏</t>
  </si>
  <si>
    <t>뉴클 케이스_프레임리스_아이폰15.16</t>
  </si>
  <si>
    <t>락스탠드_태블릿_거치대</t>
  </si>
  <si>
    <t>락스탠드_높이조절_거치대</t>
  </si>
  <si>
    <t>락스탠드_맥세이프_거치대</t>
  </si>
  <si>
    <t>뉴클 링거치대G</t>
  </si>
  <si>
    <t>뉴클 기타_멀티키트G</t>
  </si>
  <si>
    <t>뉴클 기타_광택용천G</t>
  </si>
  <si>
    <t>뉴클 보조배터리_슬림파워G</t>
  </si>
  <si>
    <t>뉴클 이어폰_프로G</t>
  </si>
  <si>
    <t>한샘_수저살균기_G</t>
  </si>
  <si>
    <t>맥로이드_멀티허브G</t>
  </si>
  <si>
    <t>뉴클 케이블_풀마그네틱G</t>
  </si>
  <si>
    <t>뉴클_차량용충전기_릴타입</t>
  </si>
  <si>
    <t>뉴클 마이핏 맥세이프 보조배터리</t>
  </si>
  <si>
    <t>뉴클 젤리파워_맥세이프</t>
  </si>
  <si>
    <t>종료</t>
  </si>
  <si>
    <t>end</t>
  </si>
  <si>
    <t>쿠팡기준
11월</t>
    <phoneticPr fontId="4" type="noConversion"/>
  </si>
  <si>
    <t>순위
입력</t>
    <phoneticPr fontId="4" type="noConversion"/>
  </si>
  <si>
    <t>기록 25.10.14~</t>
    <phoneticPr fontId="4" type="noConversion"/>
  </si>
  <si>
    <t>X</t>
    <phoneticPr fontId="4" type="noConversion"/>
  </si>
  <si>
    <t>디폴트값</t>
    <phoneticPr fontId="4" type="noConversion"/>
  </si>
  <si>
    <t>TOP 순위입력시 버튼</t>
    <phoneticPr fontId="4" type="noConversion"/>
  </si>
  <si>
    <t>(데이터보기 편한 정렬)</t>
    <phoneticPr fontId="4" type="noConversion"/>
  </si>
  <si>
    <t>(입력하기 쉬운 정렬)</t>
    <phoneticPr fontId="4" type="noConversion"/>
  </si>
  <si>
    <t>TOP운영중인 슬랏수량</t>
    <phoneticPr fontId="4" type="noConversion"/>
  </si>
  <si>
    <t>일~토 광고 판매수량</t>
    <phoneticPr fontId="4" type="noConversion"/>
  </si>
  <si>
    <t>일~토 총 판매수량</t>
    <phoneticPr fontId="4" type="noConversion"/>
  </si>
  <si>
    <t>직전2주</t>
    <phoneticPr fontId="4" type="noConversion"/>
  </si>
  <si>
    <t>배경색 의미</t>
    <phoneticPr fontId="4" type="noConversion"/>
  </si>
  <si>
    <t>&lt;-- 슬랏 운영중</t>
    <phoneticPr fontId="4" type="noConversion"/>
  </si>
  <si>
    <t>&lt;-- 슬랏 운영 종료</t>
    <phoneticPr fontId="4" type="noConversion"/>
  </si>
  <si>
    <t>총 누적 가구매비용</t>
    <phoneticPr fontId="4" type="noConversion"/>
  </si>
  <si>
    <t>무선충전기</t>
  </si>
  <si>
    <t>맥세이프충전기</t>
  </si>
  <si>
    <t>애플워치충전거치대</t>
  </si>
  <si>
    <t>뉴클 에어볼트 보조배터리 20000mAh 화이트</t>
  </si>
  <si>
    <t>93993071598S</t>
    <phoneticPr fontId="4" type="noConversion"/>
  </si>
  <si>
    <t>93993071598AD</t>
    <phoneticPr fontId="4" type="noConversion"/>
  </si>
  <si>
    <t>coupang.com/vp/products/9170131636?itemId=27024491026&amp;vendorItemId=93993071598</t>
  </si>
  <si>
    <t>뉴클 에어볼트 보조배터리 20000</t>
  </si>
  <si>
    <t>보조배터리</t>
    <phoneticPr fontId="4" type="noConversion"/>
  </si>
  <si>
    <t>보조배터리 20000</t>
    <phoneticPr fontId="4" type="noConversion"/>
  </si>
  <si>
    <t>고속 보조배터리</t>
  </si>
  <si>
    <t>대용량 보조배터리</t>
  </si>
  <si>
    <t>뉴클 슬림엣지 보조배터리 10000</t>
  </si>
  <si>
    <t>뉴클 에어볼트 보조배터리 10000mAh 화이트</t>
  </si>
  <si>
    <t>뉴클 에어볼트 보조배터리 10000</t>
  </si>
  <si>
    <t>coupang.com/vp/products/9170131635?itemId=27024491025&amp;vendorItemId=93993071597</t>
  </si>
  <si>
    <t>보조배터리 10000</t>
  </si>
  <si>
    <t>뉴클 슬림엣지 보조배터리 10000mAh 화이트</t>
  </si>
  <si>
    <t>coupang.com/vp/products/9169684648?itemId=27022629794&amp;vendorItemId=93991231959</t>
  </si>
  <si>
    <t>93993071597S</t>
    <phoneticPr fontId="4" type="noConversion"/>
  </si>
  <si>
    <t>93993071597AD</t>
    <phoneticPr fontId="4" type="noConversion"/>
  </si>
  <si>
    <t>93991231959S</t>
    <phoneticPr fontId="4" type="noConversion"/>
  </si>
  <si>
    <t>93991231959AD</t>
    <phoneticPr fontId="4" type="noConversion"/>
  </si>
  <si>
    <t>순위</t>
  </si>
  <si>
    <t>맥세이프 거치대</t>
    <phoneticPr fontId="4" type="noConversion"/>
  </si>
  <si>
    <t>핸드폰 거치대</t>
    <phoneticPr fontId="4" type="noConversion"/>
  </si>
  <si>
    <t>락스탠드_맥세이프_거치대</t>
    <phoneticPr fontId="4" type="noConversion"/>
  </si>
  <si>
    <t>서식값
저장</t>
    <phoneticPr fontId="4" type="noConversion"/>
  </si>
  <si>
    <t>가구매 입력해야함 11/23 부터</t>
    <phoneticPr fontId="4" type="noConversion"/>
  </si>
  <si>
    <t>아이폰17 강화유리필름</t>
    <phoneticPr fontId="4" type="noConversion"/>
  </si>
  <si>
    <t>아이폰17 필름</t>
  </si>
  <si>
    <t>아이폰17프로 사생활 보호필름</t>
  </si>
  <si>
    <t>아이폰 사생활 보호필름</t>
  </si>
  <si>
    <t>94114222340S</t>
    <phoneticPr fontId="4" type="noConversion"/>
  </si>
  <si>
    <t>94114222340AD</t>
    <phoneticPr fontId="4" type="noConversion"/>
  </si>
  <si>
    <t>뉴클 부착키트 강화유리 필름아이폰17프로</t>
  </si>
  <si>
    <t>coupang.com/vp/products/9196373587?itemId=27146368874&amp;vendorItemId=94114222340</t>
  </si>
  <si>
    <t>coupang.com/vp/products/9196373588?itemId=27146368875&amp;vendorItemId=94114222345</t>
  </si>
  <si>
    <t>뉴클 부착키트 사생활보호필름 아이폰17프로</t>
  </si>
  <si>
    <t>94114222345S</t>
    <phoneticPr fontId="4" type="noConversion"/>
  </si>
  <si>
    <t>94114222345AD</t>
    <phoneticPr fontId="4" type="noConversion"/>
  </si>
  <si>
    <t>체크중</t>
    <phoneticPr fontId="4" type="noConversion"/>
  </si>
  <si>
    <t>뉴클 아이폰17필름</t>
    <phoneticPr fontId="4" type="noConversion"/>
  </si>
  <si>
    <t>핸드폰거치대스탠드</t>
    <phoneticPr fontId="4" type="noConversion"/>
  </si>
  <si>
    <t>직전 1주 광고비</t>
    <phoneticPr fontId="4" type="noConversion"/>
  </si>
  <si>
    <t>1주치</t>
    <phoneticPr fontId="4" type="noConversion"/>
  </si>
  <si>
    <t>1주 광고비</t>
    <phoneticPr fontId="4" type="noConversion"/>
  </si>
  <si>
    <t>누적
가구매비용</t>
    <phoneticPr fontId="4" type="noConversion"/>
  </si>
  <si>
    <t>&lt;-- 정확하지 않음 데이터입력이 잘못된것으로 보임
수정중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</si>
</sst>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0_);[Red]\(0\)"/>
    <numFmt numFmtId="177" formatCode="mm&quot;월&quot;\ dd&quot;일&quot;"/>
    <numFmt numFmtId="178" formatCode="m&quot;/&quot;d;@"/>
    <numFmt numFmtId="179" formatCode="&quot;판매가격 &quot;###,###&quot;원&quot;"/>
    <numFmt numFmtId="180" formatCode="&quot;운영SKU &quot;###,###&quot;개&quot;"/>
    <numFmt numFmtId="181" formatCode="&quot;마진 &quot;###,###&quot;원&quot;"/>
  </numFmts>
  <fonts count="3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b/>
      <sz val="10"/>
      <color theme="5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6100"/>
      <name val="맑은 고딕"/>
      <family val="2"/>
      <charset val="129"/>
      <scheme val="minor"/>
    </font>
    <font>
      <b/>
      <sz val="14"/>
      <color rgb="FF006100"/>
      <name val="맑은 고딕"/>
      <family val="3"/>
      <charset val="129"/>
      <scheme val="minor"/>
    </font>
    <font>
      <sz val="10"/>
      <color rgb="FF7030A0"/>
      <name val="맑은 고딕"/>
      <family val="3"/>
      <charset val="129"/>
      <scheme val="minor"/>
    </font>
    <font>
      <b/>
      <sz val="10"/>
      <color theme="4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5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8"/>
      <color theme="4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4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1"/>
      <color rgb="FF3366FF"/>
      <name val="맑은 고딕"/>
      <family val="3"/>
      <charset val="129"/>
    </font>
    <font>
      <b/>
      <sz val="11"/>
      <color rgb="FFFF9900"/>
      <name val="맑은 고딕"/>
      <family val="3"/>
      <charset val="129"/>
    </font>
    <font>
      <sz val="8"/>
      <color theme="5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00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</cellStyleXfs>
  <cellXfs count="113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41" fontId="6" fillId="0" borderId="0" xfId="1" applyFont="1" applyBorder="1" applyAlignment="1">
      <alignment horizontal="center" vertical="center"/>
    </xf>
    <xf numFmtId="177" fontId="6" fillId="4" borderId="0" xfId="0" applyNumberFormat="1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176" fontId="6" fillId="0" borderId="3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left" vertical="center"/>
    </xf>
    <xf numFmtId="41" fontId="6" fillId="0" borderId="3" xfId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176" fontId="6" fillId="0" borderId="6" xfId="0" applyNumberFormat="1" applyFont="1" applyBorder="1" applyAlignment="1">
      <alignment horizontal="center" vertical="center"/>
    </xf>
    <xf numFmtId="176" fontId="6" fillId="0" borderId="6" xfId="0" applyNumberFormat="1" applyFont="1" applyBorder="1" applyAlignment="1">
      <alignment horizontal="left" vertical="center"/>
    </xf>
    <xf numFmtId="41" fontId="6" fillId="0" borderId="6" xfId="1" applyFont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0" xfId="0" applyFont="1">
      <alignment vertical="center"/>
    </xf>
    <xf numFmtId="41" fontId="6" fillId="0" borderId="0" xfId="1" applyFont="1" applyBorder="1" applyAlignment="1">
      <alignment vertical="center"/>
    </xf>
    <xf numFmtId="41" fontId="13" fillId="0" borderId="0" xfId="1" applyFont="1" applyBorder="1" applyAlignment="1">
      <alignment horizontal="center" vertical="center"/>
    </xf>
    <xf numFmtId="0" fontId="16" fillId="5" borderId="0" xfId="4" applyFont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180" fontId="1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19" fillId="0" borderId="0" xfId="1" applyFont="1" applyBorder="1" applyAlignment="1">
      <alignment horizontal="center" vertical="center"/>
    </xf>
    <xf numFmtId="41" fontId="12" fillId="0" borderId="0" xfId="1" applyFont="1" applyFill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1" fillId="3" borderId="0" xfId="0" applyFont="1" applyFill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11" fillId="3" borderId="0" xfId="0" applyFont="1" applyFill="1">
      <alignment vertical="center"/>
    </xf>
    <xf numFmtId="177" fontId="18" fillId="4" borderId="2" xfId="2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177" fontId="8" fillId="4" borderId="2" xfId="2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77" fontId="7" fillId="4" borderId="4" xfId="3" applyNumberFormat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179" fontId="20" fillId="0" borderId="3" xfId="1" applyNumberFormat="1" applyFont="1" applyBorder="1" applyAlignment="1">
      <alignment horizontal="left" vertical="center"/>
    </xf>
    <xf numFmtId="181" fontId="21" fillId="0" borderId="3" xfId="1" applyNumberFormat="1" applyFont="1" applyBorder="1" applyAlignment="1">
      <alignment horizontal="left" vertical="center"/>
    </xf>
    <xf numFmtId="178" fontId="23" fillId="0" borderId="0" xfId="0" applyNumberFormat="1" applyFont="1" applyAlignment="1">
      <alignment horizontal="center" vertical="center"/>
    </xf>
    <xf numFmtId="41" fontId="5" fillId="0" borderId="0" xfId="1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41" fontId="18" fillId="4" borderId="2" xfId="1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41" fontId="7" fillId="4" borderId="2" xfId="1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/>
    </xf>
    <xf numFmtId="0" fontId="23" fillId="4" borderId="4" xfId="1" applyNumberFormat="1" applyFont="1" applyFill="1" applyBorder="1" applyAlignment="1">
      <alignment horizontal="center" vertical="center"/>
    </xf>
    <xf numFmtId="41" fontId="24" fillId="0" borderId="0" xfId="1" applyFont="1" applyBorder="1" applyAlignment="1">
      <alignment horizontal="center" vertical="center"/>
    </xf>
    <xf numFmtId="41" fontId="25" fillId="0" borderId="0" xfId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1" fontId="28" fillId="3" borderId="0" xfId="1" applyFont="1" applyFill="1" applyBorder="1" applyAlignment="1">
      <alignment horizontal="center" vertical="center" wrapText="1"/>
    </xf>
    <xf numFmtId="176" fontId="17" fillId="0" borderId="0" xfId="0" applyNumberFormat="1" applyFont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41" fontId="23" fillId="0" borderId="0" xfId="1" applyFont="1" applyBorder="1" applyAlignment="1">
      <alignment horizontal="center" vertical="center"/>
    </xf>
    <xf numFmtId="41" fontId="23" fillId="0" borderId="6" xfId="1" applyFont="1" applyBorder="1" applyAlignment="1">
      <alignment horizontal="center" vertical="center"/>
    </xf>
    <xf numFmtId="41" fontId="23" fillId="0" borderId="0" xfId="1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0" fillId="0" borderId="3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6" xfId="0" applyBorder="1">
      <alignment vertical="center"/>
    </xf>
    <xf numFmtId="0" fontId="0" fillId="0" borderId="12" xfId="0" applyBorder="1">
      <alignment vertical="center"/>
    </xf>
    <xf numFmtId="0" fontId="0" fillId="0" borderId="5" xfId="0" applyBorder="1">
      <alignment vertical="center"/>
    </xf>
    <xf numFmtId="0" fontId="5" fillId="0" borderId="0" xfId="0" applyFont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41" fontId="7" fillId="0" borderId="0" xfId="1" applyFont="1" applyBorder="1" applyAlignment="1">
      <alignment horizontal="center" vertical="center"/>
    </xf>
    <xf numFmtId="41" fontId="7" fillId="0" borderId="3" xfId="1" applyFont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7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176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176" fontId="17" fillId="0" borderId="0" xfId="0" applyNumberFormat="1" applyFont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77" fontId="8" fillId="0" borderId="13" xfId="2" applyNumberFormat="1" applyFont="1" applyFill="1" applyBorder="1" applyAlignment="1">
      <alignment horizontal="center" vertical="center"/>
    </xf>
    <xf numFmtId="177" fontId="7" fillId="0" borderId="0" xfId="3" applyNumberFormat="1" applyFont="1" applyFill="1" applyBorder="1" applyAlignment="1">
      <alignment horizontal="center" vertical="center"/>
    </xf>
    <xf numFmtId="41" fontId="32" fillId="0" borderId="0" xfId="1" applyFont="1" applyBorder="1" applyAlignment="1">
      <alignment horizontal="center" vertical="center"/>
    </xf>
    <xf numFmtId="9" fontId="5" fillId="4" borderId="2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horizontal="left" vertical="center"/>
    </xf>
    <xf numFmtId="41" fontId="13" fillId="0" borderId="0" xfId="1" applyNumberFormat="1" applyFont="1" applyBorder="1" applyAlignment="1">
      <alignment horizontal="center" vertical="center"/>
    </xf>
  </cellXfs>
  <cellStyles count="5">
    <cellStyle name="경고문" xfId="3" builtinId="11"/>
    <cellStyle name="계산" xfId="2" builtinId="22"/>
    <cellStyle name="쉼표 [0]" xfId="1" builtinId="6"/>
    <cellStyle name="좋음" xfId="4" builtinId="26"/>
    <cellStyle name="표준" xfId="0" builtinId="0"/>
  </cellStyles>
  <dxfs count="3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47625</xdr:rowOff>
        </xdr:from>
        <xdr:to>
          <xdr:col>2</xdr:col>
          <xdr:colOff>114300</xdr:colOff>
          <xdr:row>3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순위만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</xdr:row>
          <xdr:rowOff>47625</xdr:rowOff>
        </xdr:from>
        <xdr:to>
          <xdr:col>3</xdr:col>
          <xdr:colOff>609600</xdr:colOff>
          <xdr:row>3</xdr:row>
          <xdr:rowOff>457200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판매량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3</xdr:row>
          <xdr:rowOff>47625</xdr:rowOff>
        </xdr:from>
        <xdr:to>
          <xdr:col>3</xdr:col>
          <xdr:colOff>1457325</xdr:colOff>
          <xdr:row>3</xdr:row>
          <xdr:rowOff>457200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3366FF"/>
                  </a:solidFill>
                  <a:latin typeface="맑은 고딕"/>
                  <a:ea typeface="맑은 고딕"/>
                </a:rPr>
                <a:t>판매/광고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1533525</xdr:colOff>
          <xdr:row>3</xdr:row>
          <xdr:rowOff>47625</xdr:rowOff>
        </xdr:from>
        <xdr:to>
          <xdr:col>4</xdr:col>
          <xdr:colOff>742950</xdr:colOff>
          <xdr:row>3</xdr:row>
          <xdr:rowOff>457200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9900"/>
                  </a:solidFill>
                  <a:latin typeface="맑은 고딕"/>
                  <a:ea typeface="맑은 고딕"/>
                </a:rPr>
                <a:t>전체보기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3</xdr:row>
          <xdr:rowOff>47625</xdr:rowOff>
        </xdr:from>
        <xdr:to>
          <xdr:col>5</xdr:col>
          <xdr:colOff>657225</xdr:colOff>
          <xdr:row>3</xdr:row>
          <xdr:rowOff>457200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순위입력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25</xdr:col>
      <xdr:colOff>350213</xdr:colOff>
      <xdr:row>10</xdr:row>
      <xdr:rowOff>218740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7695238" cy="26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657225</xdr:colOff>
      <xdr:row>18</xdr:row>
      <xdr:rowOff>180975</xdr:rowOff>
    </xdr:from>
    <xdr:to>
      <xdr:col>12</xdr:col>
      <xdr:colOff>37149</xdr:colOff>
      <xdr:row>42</xdr:row>
      <xdr:rowOff>94518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7225" y="4638675"/>
          <a:ext cx="7609524" cy="58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9733;&#53216;&#54049;SKU&#47532;&#49828;&#53944;&#44288;&#4753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Korea2\SS_Korea2\02.%20&#50728;&#46972;&#51064;\&#44277;&#50976;&#51088;&#47308;\&#52404;&#54744;&#45800;(&#44032;&#44396;&#47588;&#49688;&#47049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KU리스트"/>
      <sheetName val="SS입고상세"/>
      <sheetName val="PS입고상세"/>
      <sheetName val="판매지표"/>
      <sheetName val="물류지표"/>
      <sheetName val="공급제안가"/>
    </sheetNames>
    <sheetDataSet>
      <sheetData sheetId="0">
        <row r="3">
          <cell r="K3" t="str">
            <v>평균판가</v>
          </cell>
          <cell r="L3">
            <v>13912.762762762763</v>
          </cell>
          <cell r="Y3" t="str">
            <v>이카운트 매출전표 기준 / 24-11-01
 빅셀재고 및 판매가 / 24-11-21
 부가세X 마진율계산 / 25-01-02</v>
          </cell>
          <cell r="AG3" t="str">
            <v>1주치
광고 판매량</v>
          </cell>
        </row>
        <row r="4">
          <cell r="J4">
            <v>221573</v>
          </cell>
          <cell r="L4" t="str">
            <v>가격다운
가격상승</v>
          </cell>
          <cell r="Q4" t="str">
            <v>가격다운
가격상승</v>
          </cell>
          <cell r="V4" t="str">
            <v>판매순위
경쟁사</v>
          </cell>
          <cell r="AB4" t="str">
            <v>★열추가 금지X</v>
          </cell>
          <cell r="AC4">
            <v>14065110.30909092</v>
          </cell>
          <cell r="AG4">
            <v>3178</v>
          </cell>
          <cell r="AH4">
            <v>14709672.012727337</v>
          </cell>
          <cell r="AI4">
            <v>9431642.1400000006</v>
          </cell>
          <cell r="AK4">
            <v>358.99085637520483</v>
          </cell>
        </row>
        <row r="5">
          <cell r="H5" t="str">
            <v>VI ID</v>
          </cell>
          <cell r="I5" t="str">
            <v>SKU ID</v>
          </cell>
          <cell r="J5" t="str">
            <v>SS.CL
재고</v>
          </cell>
          <cell r="K5" t="str">
            <v>리뷰</v>
          </cell>
          <cell r="L5" t="str">
            <v>당일
판매가</v>
          </cell>
          <cell r="M5" t="str">
            <v>전일
판매가</v>
          </cell>
          <cell r="N5" t="str">
            <v>12-11
기준
판매가</v>
          </cell>
          <cell r="O5" t="str">
            <v>쿠팡
최초판가</v>
          </cell>
          <cell r="P5" t="str">
            <v>권장소미자가격
MSRP</v>
          </cell>
          <cell r="Q5" t="str">
            <v>당일
판매가</v>
          </cell>
          <cell r="R5" t="str">
            <v>공란</v>
          </cell>
          <cell r="S5" t="str">
            <v>담당BM</v>
          </cell>
          <cell r="V5" t="str">
            <v>네이버
판매가격</v>
          </cell>
          <cell r="W5" t="str">
            <v>네이버
URL</v>
          </cell>
          <cell r="X5" t="str">
            <v>구분</v>
          </cell>
          <cell r="Y5" t="str">
            <v>SKU명</v>
          </cell>
          <cell r="Z5" t="str">
            <v>공란</v>
          </cell>
          <cell r="AA5" t="str">
            <v>매칭URL</v>
          </cell>
          <cell r="AB5" t="str">
            <v>쿠팡
URL</v>
          </cell>
          <cell r="AC5" t="str">
            <v>원가-VAT
비포함</v>
          </cell>
          <cell r="AD5" t="str">
            <v>부가세</v>
          </cell>
          <cell r="AE5" t="str">
            <v>원가
+VAT</v>
          </cell>
          <cell r="AF5" t="str">
            <v>임시</v>
          </cell>
          <cell r="AG5" t="str">
            <v>쿠팡공급가
-VAT
비포함</v>
          </cell>
          <cell r="AH5" t="str">
            <v>부가세</v>
          </cell>
          <cell r="AI5" t="str">
            <v>공급가
+VAT</v>
          </cell>
          <cell r="AJ5" t="str">
            <v>물류비
5%종료
25/8/5</v>
          </cell>
          <cell r="AK5" t="str">
            <v>마진</v>
          </cell>
        </row>
        <row r="6">
          <cell r="H6">
            <v>81745934032</v>
          </cell>
          <cell r="I6">
            <v>25122679</v>
          </cell>
          <cell r="J6">
            <v>0</v>
          </cell>
          <cell r="K6">
            <v>611</v>
          </cell>
          <cell r="L6">
            <v>18900</v>
          </cell>
          <cell r="M6">
            <v>18900</v>
          </cell>
          <cell r="N6">
            <v>23400</v>
          </cell>
          <cell r="P6">
            <v>34000</v>
          </cell>
          <cell r="Q6">
            <v>18900</v>
          </cell>
          <cell r="R6">
            <v>81745934032</v>
          </cell>
          <cell r="S6" t="str">
            <v>최성희BM</v>
          </cell>
          <cell r="V6">
            <v>18900</v>
          </cell>
          <cell r="W6" t="str">
            <v>https://smartstore.naver.com/psglobal1/products/10286559647</v>
          </cell>
          <cell r="X6" t="str">
            <v>웅진_아이스크림</v>
          </cell>
          <cell r="Y6" t="str">
            <v>웅진 아이스크림 메이커</v>
          </cell>
          <cell r="AB6" t="str">
            <v>coupang.com/vp/products/6530564556?itemId=14502929774&amp;vendorItemId=81745934032</v>
          </cell>
          <cell r="AC6">
            <v>5068.181818181818</v>
          </cell>
          <cell r="AD6">
            <v>506.81818181818181</v>
          </cell>
          <cell r="AE6">
            <v>5575</v>
          </cell>
          <cell r="AG6">
            <v>11163.636363636362</v>
          </cell>
          <cell r="AH6">
            <v>1116.3636363636379</v>
          </cell>
          <cell r="AI6">
            <v>12280</v>
          </cell>
          <cell r="AK6">
            <v>6095.4545454545441</v>
          </cell>
        </row>
        <row r="7">
          <cell r="H7" t="str">
            <v>81745934032AD</v>
          </cell>
          <cell r="I7">
            <v>25122679</v>
          </cell>
          <cell r="R7" t="str">
            <v>81745934032AD</v>
          </cell>
          <cell r="S7" t="str">
            <v>suchoi232@coupang.com</v>
          </cell>
          <cell r="V7">
            <v>45832</v>
          </cell>
          <cell r="X7" t="str">
            <v>웅진_아이스크림</v>
          </cell>
          <cell r="Y7" t="str">
            <v>웅진 아이스크림 메이커</v>
          </cell>
          <cell r="AB7">
            <v>835</v>
          </cell>
          <cell r="AC7">
            <v>5089704.545454544</v>
          </cell>
          <cell r="AD7">
            <v>964.68396226415098</v>
          </cell>
          <cell r="AG7">
            <v>212</v>
          </cell>
        </row>
        <row r="8">
          <cell r="H8" t="str">
            <v>81745934032S</v>
          </cell>
          <cell r="I8">
            <v>25122679</v>
          </cell>
          <cell r="R8" t="str">
            <v>81745934032S</v>
          </cell>
          <cell r="V8">
            <v>23800</v>
          </cell>
          <cell r="X8" t="str">
            <v>웅진_아이스크림</v>
          </cell>
          <cell r="Y8" t="str">
            <v>웅진 아이스크림 메이커</v>
          </cell>
          <cell r="AC8" t="str">
            <v>개당광고비→</v>
          </cell>
          <cell r="AG8">
            <v>964.68396226415098</v>
          </cell>
          <cell r="AH8">
            <v>204513</v>
          </cell>
        </row>
        <row r="9">
          <cell r="H9">
            <v>81745934032</v>
          </cell>
          <cell r="I9">
            <v>25122679</v>
          </cell>
          <cell r="R9">
            <v>81745934032</v>
          </cell>
          <cell r="X9" t="str">
            <v>웅진_아이스크림</v>
          </cell>
          <cell r="Y9" t="str">
            <v>아이스크림메이커81745934032</v>
          </cell>
        </row>
        <row r="10">
          <cell r="H10">
            <v>78660959909</v>
          </cell>
          <cell r="I10">
            <v>18464479</v>
          </cell>
          <cell r="J10">
            <v>8</v>
          </cell>
          <cell r="K10">
            <v>412</v>
          </cell>
          <cell r="L10">
            <v>17900</v>
          </cell>
          <cell r="M10">
            <v>17900</v>
          </cell>
          <cell r="N10">
            <v>14900</v>
          </cell>
          <cell r="O10">
            <v>24900</v>
          </cell>
          <cell r="P10">
            <v>56270</v>
          </cell>
          <cell r="Q10">
            <v>17900</v>
          </cell>
          <cell r="R10">
            <v>78660959909</v>
          </cell>
          <cell r="S10" t="str">
            <v>이영윤BM</v>
          </cell>
          <cell r="V10">
            <v>17900</v>
          </cell>
          <cell r="W10" t="str">
            <v>https://smartstore.naver.com/psglobal1/products/10286574465</v>
          </cell>
          <cell r="X10" t="str">
            <v>한샘_칫솔</v>
          </cell>
          <cell r="Y10" t="str">
            <v>한샘 제로 UVC 칫솔살균기 화이트</v>
          </cell>
          <cell r="AA10" t="str">
            <v>https://smartstore.naver.com/dogoodstore/products/11470673017</v>
          </cell>
          <cell r="AB10" t="str">
            <v>coupang.com/vp/products/6094835958?itemId=11384852755&amp;vendorItemId=78660959909</v>
          </cell>
          <cell r="AC10">
            <v>6999.9999999999991</v>
          </cell>
          <cell r="AD10">
            <v>700</v>
          </cell>
          <cell r="AE10">
            <v>7700</v>
          </cell>
          <cell r="AG10">
            <v>12818.181818181818</v>
          </cell>
          <cell r="AH10">
            <v>1281.818181818182</v>
          </cell>
          <cell r="AI10">
            <v>14100</v>
          </cell>
          <cell r="AK10">
            <v>5818.1818181818189</v>
          </cell>
        </row>
        <row r="11">
          <cell r="H11" t="str">
            <v>78660959909AD</v>
          </cell>
          <cell r="I11">
            <v>18464479</v>
          </cell>
          <cell r="R11" t="str">
            <v>78660959909AD</v>
          </cell>
          <cell r="S11" t="str">
            <v>yolee442@coupang.com</v>
          </cell>
          <cell r="V11">
            <v>45637</v>
          </cell>
          <cell r="X11" t="str">
            <v>한샘_칫솔</v>
          </cell>
          <cell r="Y11" t="str">
            <v>한샘 제로 UVC 칫솔살균기 화이트</v>
          </cell>
          <cell r="AB11">
            <v>4</v>
          </cell>
          <cell r="AC11">
            <v>23272.727272727276</v>
          </cell>
          <cell r="AG11" t="str">
            <v>0</v>
          </cell>
        </row>
        <row r="12">
          <cell r="H12" t="str">
            <v>78660959909S</v>
          </cell>
          <cell r="I12">
            <v>18464479</v>
          </cell>
          <cell r="R12" t="str">
            <v>78660959909S</v>
          </cell>
          <cell r="X12" t="str">
            <v>한샘_칫솔</v>
          </cell>
          <cell r="Y12" t="str">
            <v>한샘 제로 UVC 칫솔살균기 화이트</v>
          </cell>
          <cell r="AC12" t="str">
            <v>개당광고비→</v>
          </cell>
          <cell r="AG12" t="str">
            <v>광고X</v>
          </cell>
          <cell r="AH12" t="str">
            <v>광고X</v>
          </cell>
        </row>
        <row r="13">
          <cell r="H13">
            <v>76651922234</v>
          </cell>
          <cell r="I13">
            <v>16414587</v>
          </cell>
          <cell r="J13">
            <v>77</v>
          </cell>
          <cell r="K13">
            <v>113</v>
          </cell>
          <cell r="L13">
            <v>89000</v>
          </cell>
          <cell r="M13">
            <v>89000</v>
          </cell>
          <cell r="N13">
            <v>83900</v>
          </cell>
          <cell r="O13">
            <v>119000</v>
          </cell>
          <cell r="P13">
            <v>279670</v>
          </cell>
          <cell r="Q13">
            <v>89000</v>
          </cell>
          <cell r="R13">
            <v>76651922234</v>
          </cell>
          <cell r="S13" t="str">
            <v>송치광BM</v>
          </cell>
          <cell r="V13">
            <v>89000</v>
          </cell>
          <cell r="W13" t="str">
            <v>https://smartstore.naver.com/psglobal1/products/10286551250</v>
          </cell>
          <cell r="X13" t="str">
            <v>한샘_수저</v>
          </cell>
          <cell r="Y13" t="str">
            <v>한샘 멀티 수저 살균기</v>
          </cell>
          <cell r="AA13" t="str">
            <v>https://item.gmarket.co.kr/Item?goodscode=3014982917</v>
          </cell>
          <cell r="AB13" t="str">
            <v>coupang.com/vp/products/5677296409?itemId=9366723198&amp;vendorItemId=76651922234</v>
          </cell>
          <cell r="AC13">
            <v>40000</v>
          </cell>
          <cell r="AD13">
            <v>4000</v>
          </cell>
          <cell r="AE13">
            <v>44000</v>
          </cell>
          <cell r="AG13">
            <v>64545.454545454537</v>
          </cell>
          <cell r="AH13">
            <v>6454.5454545454631</v>
          </cell>
          <cell r="AI13">
            <v>71000</v>
          </cell>
          <cell r="AK13">
            <v>24545.454545454537</v>
          </cell>
        </row>
        <row r="14">
          <cell r="H14" t="str">
            <v>76651922234AD</v>
          </cell>
          <cell r="I14">
            <v>16414587</v>
          </cell>
          <cell r="R14" t="str">
            <v>76651922234AD</v>
          </cell>
          <cell r="S14" t="str">
            <v>chsong42@coupang.com</v>
          </cell>
          <cell r="X14" t="str">
            <v>한샘_수저</v>
          </cell>
          <cell r="Y14" t="str">
            <v>한샘 멀티 수저 살균기</v>
          </cell>
          <cell r="AB14">
            <v>4</v>
          </cell>
          <cell r="AC14">
            <v>98181.818181818147</v>
          </cell>
          <cell r="AG14">
            <v>7</v>
          </cell>
        </row>
        <row r="15">
          <cell r="H15" t="str">
            <v>76651922234S</v>
          </cell>
          <cell r="I15">
            <v>16414587</v>
          </cell>
          <cell r="R15" t="str">
            <v>76651922234S</v>
          </cell>
          <cell r="V15" t="str">
            <v>2024-12-11일/98000</v>
          </cell>
          <cell r="X15" t="str">
            <v>한샘_수저</v>
          </cell>
          <cell r="Y15" t="str">
            <v>한샘 멀티 수저 살균기</v>
          </cell>
          <cell r="AC15" t="str">
            <v>개당광고비→</v>
          </cell>
          <cell r="AG15">
            <v>11233.428571428571</v>
          </cell>
          <cell r="AH15">
            <v>78634</v>
          </cell>
        </row>
        <row r="16">
          <cell r="H16">
            <v>76651922234</v>
          </cell>
          <cell r="I16">
            <v>16414587</v>
          </cell>
          <cell r="R16">
            <v>76651922234</v>
          </cell>
          <cell r="X16" t="str">
            <v>한샘_수저</v>
          </cell>
          <cell r="Y16" t="str">
            <v>수저살균기76651922234</v>
          </cell>
        </row>
        <row r="17">
          <cell r="H17">
            <v>91650811318</v>
          </cell>
          <cell r="I17">
            <v>54714428</v>
          </cell>
          <cell r="J17">
            <v>4510</v>
          </cell>
          <cell r="K17">
            <v>420</v>
          </cell>
          <cell r="L17">
            <v>9840</v>
          </cell>
          <cell r="M17">
            <v>9840</v>
          </cell>
          <cell r="N17">
            <v>0</v>
          </cell>
          <cell r="O17">
            <v>14900</v>
          </cell>
          <cell r="Q17">
            <v>11700</v>
          </cell>
          <cell r="R17">
            <v>91650811318</v>
          </cell>
          <cell r="S17" t="str">
            <v>윤석나BM</v>
          </cell>
          <cell r="V17">
            <v>11700</v>
          </cell>
          <cell r="W17" t="str">
            <v>https://smartstore.naver.com/psglobal1/products/11210844480</v>
          </cell>
          <cell r="X17" t="str">
            <v>뉴클 케이블_우븐</v>
          </cell>
          <cell r="Y17" t="str">
            <v>뉴클 PD 65W USB-C 고속충전 우븐케이블 1m</v>
          </cell>
          <cell r="AB17" t="str">
            <v>coupang.com/vp/products/8489429913?itemId=24571011033&amp;vendorItemId=91650811318</v>
          </cell>
          <cell r="AC17">
            <v>999.99999999999989</v>
          </cell>
          <cell r="AD17">
            <v>100</v>
          </cell>
          <cell r="AE17">
            <v>1100</v>
          </cell>
          <cell r="AG17">
            <v>8636.363636363636</v>
          </cell>
          <cell r="AH17">
            <v>863.63636363636397</v>
          </cell>
          <cell r="AI17">
            <v>9500</v>
          </cell>
          <cell r="AK17">
            <v>7636.363636363636</v>
          </cell>
        </row>
        <row r="18">
          <cell r="H18" t="str">
            <v>91650811318AD</v>
          </cell>
          <cell r="I18">
            <v>54714428</v>
          </cell>
          <cell r="R18" t="str">
            <v>91650811318AD</v>
          </cell>
          <cell r="X18" t="str">
            <v>뉴클 케이블_우븐</v>
          </cell>
          <cell r="Y18" t="str">
            <v>뉴클 PD 65W USB-C 고속충전 우븐케이블 1m</v>
          </cell>
          <cell r="AB18">
            <v>51</v>
          </cell>
          <cell r="AC18">
            <v>338454.54545454541</v>
          </cell>
          <cell r="AG18">
            <v>80</v>
          </cell>
        </row>
        <row r="19">
          <cell r="H19" t="str">
            <v>91650811318S</v>
          </cell>
          <cell r="I19">
            <v>54714428</v>
          </cell>
          <cell r="R19" t="str">
            <v>91650811318S</v>
          </cell>
          <cell r="X19" t="str">
            <v>뉴클 케이블_우븐</v>
          </cell>
          <cell r="Y19" t="str">
            <v>뉴클 PD 65W USB-C 고속충전 우븐케이블 1m</v>
          </cell>
          <cell r="AC19" t="str">
            <v>개당광고비→</v>
          </cell>
          <cell r="AG19">
            <v>2791.2874999999999</v>
          </cell>
          <cell r="AH19">
            <v>223303</v>
          </cell>
        </row>
        <row r="20">
          <cell r="H20">
            <v>91650811318</v>
          </cell>
          <cell r="I20">
            <v>54714428</v>
          </cell>
          <cell r="R20">
            <v>91650811318</v>
          </cell>
          <cell r="X20" t="str">
            <v>뉴클 케이블_우븐</v>
          </cell>
          <cell r="Y20" t="str">
            <v>아이폰 정품 케이블91650811318</v>
          </cell>
        </row>
        <row r="21">
          <cell r="H21">
            <v>93525364055</v>
          </cell>
          <cell r="I21">
            <v>56747673</v>
          </cell>
          <cell r="J21">
            <v>2409</v>
          </cell>
          <cell r="K21">
            <v>420</v>
          </cell>
          <cell r="L21">
            <v>13800</v>
          </cell>
          <cell r="M21">
            <v>13800</v>
          </cell>
          <cell r="N21">
            <v>0</v>
          </cell>
          <cell r="O21">
            <v>18900</v>
          </cell>
          <cell r="Q21">
            <v>13800</v>
          </cell>
          <cell r="R21">
            <v>93525364055</v>
          </cell>
          <cell r="S21" t="str">
            <v>윤석나BM</v>
          </cell>
          <cell r="V21">
            <v>13900</v>
          </cell>
          <cell r="W21" t="str">
            <v>https://smartstore.naver.com/psglobal1/products/12381508568</v>
          </cell>
          <cell r="X21" t="str">
            <v>뉴클 케이블_우븐</v>
          </cell>
          <cell r="Y21" t="str">
            <v>뉴클 PD 65W USB-C 우븐케이블 1m 2개입</v>
          </cell>
          <cell r="AB21" t="str">
            <v>coupang.com/vp/products/9046838389?itemId=26551492749&amp;vendorItemId=93525364055</v>
          </cell>
          <cell r="AC21">
            <v>1999.9999999999998</v>
          </cell>
          <cell r="AD21">
            <v>200</v>
          </cell>
          <cell r="AE21">
            <v>2200</v>
          </cell>
          <cell r="AG21">
            <v>10000</v>
          </cell>
          <cell r="AH21">
            <v>1000</v>
          </cell>
          <cell r="AI21">
            <v>11000</v>
          </cell>
          <cell r="AK21">
            <v>8000</v>
          </cell>
        </row>
        <row r="22">
          <cell r="H22" t="str">
            <v>93525364055AD</v>
          </cell>
          <cell r="I22">
            <v>56747673</v>
          </cell>
          <cell r="R22" t="str">
            <v>93525364055AD</v>
          </cell>
          <cell r="X22" t="str">
            <v>뉴클 케이블_우븐</v>
          </cell>
          <cell r="Y22" t="str">
            <v>뉴클 PD 65W USB-C 우븐케이블 1m 2개입</v>
          </cell>
          <cell r="AB22">
            <v>10</v>
          </cell>
          <cell r="AC22">
            <v>74085.71428571429</v>
          </cell>
          <cell r="AG22">
            <v>50</v>
          </cell>
        </row>
        <row r="23">
          <cell r="H23" t="str">
            <v>93525364055S</v>
          </cell>
          <cell r="I23">
            <v>56747673</v>
          </cell>
          <cell r="R23" t="str">
            <v>93525364055S</v>
          </cell>
          <cell r="X23" t="str">
            <v>뉴클 케이블_우븐</v>
          </cell>
          <cell r="Y23" t="str">
            <v>뉴클 PD 65W USB-C 우븐케이블 1m 2개입</v>
          </cell>
          <cell r="AC23" t="str">
            <v>개당광고비→</v>
          </cell>
          <cell r="AG23">
            <v>5530.8</v>
          </cell>
          <cell r="AH23">
            <v>276540</v>
          </cell>
        </row>
        <row r="24">
          <cell r="H24">
            <v>93525364055</v>
          </cell>
          <cell r="I24">
            <v>56747673</v>
          </cell>
          <cell r="R24">
            <v>93525364055</v>
          </cell>
          <cell r="X24" t="str">
            <v>뉴클 케이블_우븐</v>
          </cell>
          <cell r="Y24" t="str">
            <v>애플C타입케이블93525364055</v>
          </cell>
        </row>
        <row r="25">
          <cell r="H25">
            <v>93525233993</v>
          </cell>
          <cell r="I25">
            <v>61732575</v>
          </cell>
          <cell r="J25">
            <v>4441</v>
          </cell>
          <cell r="K25">
            <v>420</v>
          </cell>
          <cell r="L25">
            <v>13800</v>
          </cell>
          <cell r="M25">
            <v>13800</v>
          </cell>
          <cell r="N25">
            <v>0</v>
          </cell>
          <cell r="O25">
            <v>19900</v>
          </cell>
          <cell r="Q25">
            <v>13900</v>
          </cell>
          <cell r="R25">
            <v>93525233993</v>
          </cell>
          <cell r="S25" t="str">
            <v>윤석나BM</v>
          </cell>
          <cell r="V25">
            <v>13800</v>
          </cell>
          <cell r="W25" t="str">
            <v>https://smartstore.naver.com/psglobal1/products/12021797683</v>
          </cell>
          <cell r="X25" t="str">
            <v>뉴클 케이블_우븐</v>
          </cell>
          <cell r="Y25" t="str">
            <v>뉴클 PD 65W USB-C 우븐케이블 2m</v>
          </cell>
          <cell r="AB25" t="str">
            <v>coupang.com/vp/products/9046805281?itemId=26551359861&amp;vendorItemId=93525233993</v>
          </cell>
          <cell r="AC25">
            <v>1250</v>
          </cell>
          <cell r="AD25">
            <v>125</v>
          </cell>
          <cell r="AE25">
            <v>1375</v>
          </cell>
          <cell r="AG25">
            <v>10000</v>
          </cell>
          <cell r="AH25">
            <v>1000</v>
          </cell>
          <cell r="AI25">
            <v>11000</v>
          </cell>
          <cell r="AK25">
            <v>8750</v>
          </cell>
        </row>
        <row r="26">
          <cell r="H26" t="str">
            <v>93525233993AD</v>
          </cell>
          <cell r="I26">
            <v>61732575</v>
          </cell>
          <cell r="R26" t="str">
            <v>93525233993AD</v>
          </cell>
          <cell r="X26" t="str">
            <v>뉴클 케이블_우븐</v>
          </cell>
          <cell r="Y26" t="str">
            <v>뉴클 PD 65W USB-C 우븐케이블 2m</v>
          </cell>
          <cell r="AB26">
            <v>-3</v>
          </cell>
          <cell r="AC26">
            <v>-24475.714285714286</v>
          </cell>
          <cell r="AG26">
            <v>228</v>
          </cell>
        </row>
        <row r="27">
          <cell r="H27" t="str">
            <v>93525233993S</v>
          </cell>
          <cell r="I27">
            <v>61732575</v>
          </cell>
          <cell r="R27" t="str">
            <v>93525233993S</v>
          </cell>
          <cell r="X27" t="str">
            <v>뉴클 케이블_우븐</v>
          </cell>
          <cell r="Y27" t="str">
            <v>뉴클 PD 65W USB-C 우븐케이블 2m</v>
          </cell>
          <cell r="AC27" t="str">
            <v>개당광고비→</v>
          </cell>
          <cell r="AG27">
            <v>4697.9473684210525</v>
          </cell>
          <cell r="AH27">
            <v>1071132</v>
          </cell>
        </row>
        <row r="28">
          <cell r="H28">
            <v>93525233993</v>
          </cell>
          <cell r="I28">
            <v>61732575</v>
          </cell>
          <cell r="R28">
            <v>93525233993</v>
          </cell>
          <cell r="X28" t="str">
            <v>뉴클 케이블_우븐</v>
          </cell>
          <cell r="Y28" t="str">
            <v>애플C타입케이블93525233993</v>
          </cell>
        </row>
        <row r="29">
          <cell r="H29">
            <v>94063320587</v>
          </cell>
          <cell r="I29">
            <v>66830979</v>
          </cell>
          <cell r="J29" t="str">
            <v/>
          </cell>
          <cell r="K29" t="str">
            <v>-</v>
          </cell>
          <cell r="L29">
            <v>18800</v>
          </cell>
          <cell r="M29">
            <v>18800</v>
          </cell>
          <cell r="O29">
            <v>25900</v>
          </cell>
          <cell r="Q29">
            <v>0</v>
          </cell>
          <cell r="R29">
            <v>94063320587</v>
          </cell>
          <cell r="V29">
            <v>18800</v>
          </cell>
          <cell r="W29" t="str">
            <v>https://smartstore.naver.com/psglobal1/products/12697157123</v>
          </cell>
          <cell r="X29" t="str">
            <v>뉴클 케이블_우븐_2차상품</v>
          </cell>
          <cell r="Y29" t="str">
            <v>뉴클 PD 65W USB-C 우븐케이블 2m 2개입</v>
          </cell>
          <cell r="AB29" t="str">
            <v>coupang.com/vp/products/9185410194?itemId=27095115002&amp;vendorItemId=94063320587</v>
          </cell>
          <cell r="AC29">
            <v>2500</v>
          </cell>
          <cell r="AD29">
            <v>250</v>
          </cell>
          <cell r="AE29">
            <v>2750</v>
          </cell>
          <cell r="AG29">
            <v>13636.363636363636</v>
          </cell>
          <cell r="AH29">
            <v>1363.636363636364</v>
          </cell>
          <cell r="AI29">
            <v>15000</v>
          </cell>
          <cell r="AK29">
            <v>11136.363636363636</v>
          </cell>
        </row>
        <row r="30">
          <cell r="H30" t="str">
            <v>94063320587AD</v>
          </cell>
          <cell r="I30">
            <v>66830979</v>
          </cell>
          <cell r="J30" t="str">
            <v>1P사용</v>
          </cell>
          <cell r="R30" t="str">
            <v>94063320587AD</v>
          </cell>
          <cell r="X30" t="str">
            <v>뉴클 케이블_우븐_2차상품</v>
          </cell>
          <cell r="Y30" t="str">
            <v>뉴클 PD 65W USB-C 우븐케이블 2m 2개입</v>
          </cell>
          <cell r="AB30">
            <v>4</v>
          </cell>
          <cell r="AC30">
            <v>44545.454545454544</v>
          </cell>
          <cell r="AG30">
            <v>2</v>
          </cell>
        </row>
        <row r="31">
          <cell r="H31" t="str">
            <v>94063320587S</v>
          </cell>
          <cell r="I31">
            <v>66830979</v>
          </cell>
          <cell r="R31" t="str">
            <v>94063320587S</v>
          </cell>
          <cell r="X31" t="str">
            <v>뉴클 케이블_우븐_2차상품</v>
          </cell>
          <cell r="Y31" t="str">
            <v>뉴클 PD 65W USB-C 우븐케이블 2m 2개입</v>
          </cell>
          <cell r="AC31" t="str">
            <v>개당광고비→</v>
          </cell>
          <cell r="AG31">
            <v>19094.5</v>
          </cell>
          <cell r="AH31">
            <v>38189</v>
          </cell>
        </row>
        <row r="32">
          <cell r="H32">
            <v>94063320587</v>
          </cell>
          <cell r="I32">
            <v>66830979</v>
          </cell>
          <cell r="R32">
            <v>94063320587</v>
          </cell>
          <cell r="X32" t="str">
            <v>뉴클 케이블_우븐_2차상품</v>
          </cell>
          <cell r="Y32" t="str">
            <v>애플C타입케이블94063320587</v>
          </cell>
        </row>
        <row r="33">
          <cell r="H33">
            <v>94063039673</v>
          </cell>
          <cell r="I33">
            <v>66830808</v>
          </cell>
          <cell r="J33">
            <v>1871</v>
          </cell>
          <cell r="K33" t="str">
            <v>-</v>
          </cell>
          <cell r="L33">
            <v>18800</v>
          </cell>
          <cell r="M33">
            <v>18800</v>
          </cell>
          <cell r="N33">
            <v>0</v>
          </cell>
          <cell r="O33">
            <v>24900</v>
          </cell>
          <cell r="Q33">
            <v>0</v>
          </cell>
          <cell r="R33">
            <v>94063039673</v>
          </cell>
          <cell r="S33" t="str">
            <v>윤석나BM</v>
          </cell>
          <cell r="V33">
            <v>18800</v>
          </cell>
          <cell r="W33" t="str">
            <v>https://smartstore.naver.com/psglobal1/products/12697157885</v>
          </cell>
          <cell r="X33" t="str">
            <v>뉴클 케이블_우븐_2차상품</v>
          </cell>
          <cell r="Y33" t="str">
            <v>뉴클 PD 65W USB-C 우븐케이블 3m</v>
          </cell>
          <cell r="AB33" t="str">
            <v>coupang.com/vp/products/9185370245?itemId=27094833279&amp;vendorItemId=94063039673</v>
          </cell>
          <cell r="AC33">
            <v>1999.9999999999998</v>
          </cell>
          <cell r="AD33">
            <v>200</v>
          </cell>
          <cell r="AE33">
            <v>2200</v>
          </cell>
          <cell r="AG33">
            <v>13636.363636363636</v>
          </cell>
          <cell r="AH33">
            <v>1363.636363636364</v>
          </cell>
          <cell r="AI33">
            <v>15000</v>
          </cell>
          <cell r="AK33">
            <v>11636.363636363636</v>
          </cell>
        </row>
        <row r="34">
          <cell r="H34" t="str">
            <v>94063039673AD</v>
          </cell>
          <cell r="I34">
            <v>66830808</v>
          </cell>
          <cell r="R34" t="str">
            <v>94063039673AD</v>
          </cell>
          <cell r="X34" t="str">
            <v>뉴클 케이블_우븐_2차상품</v>
          </cell>
          <cell r="Y34" t="str">
            <v>뉴클 PD 65W USB-C 우븐케이블 3m</v>
          </cell>
          <cell r="AB34">
            <v>10</v>
          </cell>
          <cell r="AC34">
            <v>116363.63636363635</v>
          </cell>
          <cell r="AG34">
            <v>0</v>
          </cell>
        </row>
        <row r="35">
          <cell r="H35" t="str">
            <v>94063039673S</v>
          </cell>
          <cell r="I35">
            <v>66830808</v>
          </cell>
          <cell r="R35" t="str">
            <v>94063039673S</v>
          </cell>
          <cell r="X35" t="str">
            <v>뉴클 케이블_우븐_2차상품</v>
          </cell>
          <cell r="Y35" t="str">
            <v>뉴클 PD 65W USB-C 우븐케이블 3m</v>
          </cell>
          <cell r="AC35" t="str">
            <v>개당광고비→</v>
          </cell>
          <cell r="AG35" t="str">
            <v>광고X</v>
          </cell>
          <cell r="AH35">
            <v>10328</v>
          </cell>
        </row>
        <row r="36">
          <cell r="H36">
            <v>94063039673</v>
          </cell>
          <cell r="I36">
            <v>66830808</v>
          </cell>
          <cell r="R36">
            <v>94063039673</v>
          </cell>
          <cell r="X36" t="str">
            <v>뉴클 케이블_우븐_2차상품</v>
          </cell>
          <cell r="Y36" t="str">
            <v>애플C타입케이블94063039673</v>
          </cell>
        </row>
        <row r="37">
          <cell r="H37">
            <v>94063039674</v>
          </cell>
          <cell r="I37">
            <v>66830810</v>
          </cell>
          <cell r="J37" t="str">
            <v/>
          </cell>
          <cell r="K37" t="str">
            <v>-</v>
          </cell>
          <cell r="L37">
            <v>26600</v>
          </cell>
          <cell r="M37">
            <v>26600</v>
          </cell>
          <cell r="N37">
            <v>0</v>
          </cell>
          <cell r="O37">
            <v>39900</v>
          </cell>
          <cell r="Q37">
            <v>0</v>
          </cell>
          <cell r="R37">
            <v>94063039674</v>
          </cell>
          <cell r="S37" t="str">
            <v>윤석나BM</v>
          </cell>
          <cell r="V37">
            <v>29500</v>
          </cell>
          <cell r="W37" t="str">
            <v>https://smartstore.naver.com/psglobal1/products/12697158446</v>
          </cell>
          <cell r="X37" t="str">
            <v>뉴클 케이블_우븐_2차상품</v>
          </cell>
          <cell r="Y37" t="str">
            <v>뉴클 PD 65W USB-C 우븐케이블 3m 2개입</v>
          </cell>
          <cell r="AB37" t="str">
            <v>coupang.com/vp/products/9185370245?itemId=27094833281&amp;vendorItemId=94063039674</v>
          </cell>
          <cell r="AC37">
            <v>3999.9999999999995</v>
          </cell>
          <cell r="AD37">
            <v>400</v>
          </cell>
          <cell r="AE37">
            <v>4400</v>
          </cell>
          <cell r="AG37">
            <v>21363.63636363636</v>
          </cell>
          <cell r="AH37">
            <v>2136.3636363636397</v>
          </cell>
          <cell r="AI37">
            <v>23500</v>
          </cell>
          <cell r="AK37">
            <v>17363.63636363636</v>
          </cell>
        </row>
        <row r="38">
          <cell r="H38" t="str">
            <v>94063039674AD</v>
          </cell>
          <cell r="I38">
            <v>66830810</v>
          </cell>
          <cell r="J38" t="str">
            <v>1P사용</v>
          </cell>
          <cell r="R38" t="str">
            <v>94063039674AD</v>
          </cell>
          <cell r="X38" t="str">
            <v>뉴클 케이블_우븐_2차상품</v>
          </cell>
          <cell r="Y38" t="str">
            <v>뉴클 PD 65W USB-C 우븐케이블 3m 2개입</v>
          </cell>
          <cell r="AB38">
            <v>-11</v>
          </cell>
          <cell r="AC38">
            <v>-190999.99999999997</v>
          </cell>
          <cell r="AG38">
            <v>32</v>
          </cell>
        </row>
        <row r="39">
          <cell r="H39" t="str">
            <v>94063039674S</v>
          </cell>
          <cell r="I39">
            <v>66830810</v>
          </cell>
          <cell r="R39" t="str">
            <v>94063039674S</v>
          </cell>
          <cell r="X39" t="str">
            <v>뉴클 케이블_우븐_2차상품</v>
          </cell>
          <cell r="Y39" t="str">
            <v>뉴클 PD 65W USB-C 우븐케이블 3m 2개입</v>
          </cell>
          <cell r="AC39" t="str">
            <v>개당광고비→</v>
          </cell>
          <cell r="AG39">
            <v>10065.78125</v>
          </cell>
          <cell r="AH39">
            <v>322105</v>
          </cell>
        </row>
        <row r="40">
          <cell r="H40">
            <v>94063039674</v>
          </cell>
          <cell r="I40">
            <v>66830810</v>
          </cell>
          <cell r="R40">
            <v>94063039674</v>
          </cell>
          <cell r="X40" t="str">
            <v>뉴클 케이블_우븐_2차상품</v>
          </cell>
          <cell r="Y40" t="str">
            <v>애플C타입케이블94063039674</v>
          </cell>
        </row>
        <row r="41">
          <cell r="H41">
            <v>94225398690</v>
          </cell>
          <cell r="I41">
            <v>67604720</v>
          </cell>
          <cell r="J41">
            <v>402</v>
          </cell>
          <cell r="K41" t="str">
            <v>-</v>
          </cell>
          <cell r="L41">
            <v>9500</v>
          </cell>
          <cell r="M41">
            <v>9500</v>
          </cell>
          <cell r="N41">
            <v>0</v>
          </cell>
          <cell r="O41">
            <v>12900</v>
          </cell>
          <cell r="Q41">
            <v>0</v>
          </cell>
          <cell r="R41">
            <v>94225398690</v>
          </cell>
          <cell r="V41">
            <v>9500</v>
          </cell>
          <cell r="W41" t="str">
            <v>https://smartstore.naver.com/sskoreatrade/products/12774834716</v>
          </cell>
          <cell r="X41" t="str">
            <v>닐킨 맥세이프 링 스티커</v>
          </cell>
          <cell r="Y41" t="str">
            <v>닐킨 마그네틱 링 홀더 스티커 1P 블랙</v>
          </cell>
          <cell r="AB41" t="str">
            <v>coupang.com/vp/products/9223576623?itemId=27258568770&amp;vendorItemId=94225398690</v>
          </cell>
          <cell r="AC41">
            <v>2500</v>
          </cell>
          <cell r="AD41">
            <v>250</v>
          </cell>
          <cell r="AE41">
            <v>2750</v>
          </cell>
          <cell r="AG41">
            <v>6818.181818181818</v>
          </cell>
          <cell r="AH41">
            <v>681.81818181818198</v>
          </cell>
          <cell r="AI41">
            <v>7500</v>
          </cell>
          <cell r="AK41">
            <v>4318.181818181818</v>
          </cell>
        </row>
        <row r="42">
          <cell r="H42" t="str">
            <v>94225398690AD</v>
          </cell>
          <cell r="I42">
            <v>67604720</v>
          </cell>
          <cell r="R42" t="str">
            <v>94225398690AD</v>
          </cell>
          <cell r="X42" t="str">
            <v>닐킨 맥세이프 링 스티커</v>
          </cell>
          <cell r="Y42" t="str">
            <v>닐킨 마그네틱 링 홀더 스티커 1P 블랙</v>
          </cell>
          <cell r="AB42">
            <v>0</v>
          </cell>
          <cell r="AC42">
            <v>0</v>
          </cell>
          <cell r="AG42" t="str">
            <v>0</v>
          </cell>
        </row>
        <row r="43">
          <cell r="H43" t="str">
            <v>94225398690S</v>
          </cell>
          <cell r="I43">
            <v>67604720</v>
          </cell>
          <cell r="R43" t="str">
            <v>94225398690S</v>
          </cell>
          <cell r="X43" t="str">
            <v>닐킨 맥세이프 링 스티커</v>
          </cell>
          <cell r="Y43" t="str">
            <v>닐킨 마그네틱 링 홀더 스티커 1P 블랙</v>
          </cell>
          <cell r="AC43" t="str">
            <v>개당광고비→</v>
          </cell>
          <cell r="AG43" t="str">
            <v>광고X</v>
          </cell>
          <cell r="AH43" t="str">
            <v>광고X</v>
          </cell>
        </row>
        <row r="44">
          <cell r="H44">
            <v>94225398690</v>
          </cell>
          <cell r="I44">
            <v>67604720</v>
          </cell>
          <cell r="R44">
            <v>94225398690</v>
          </cell>
          <cell r="X44" t="str">
            <v>닐킨 맥세이프 링 스티커</v>
          </cell>
          <cell r="Y44" t="str">
            <v>맥세이프링94225398690</v>
          </cell>
        </row>
        <row r="45">
          <cell r="H45">
            <v>94267557600</v>
          </cell>
          <cell r="I45">
            <v>67748462</v>
          </cell>
          <cell r="J45" t="str">
            <v/>
          </cell>
          <cell r="K45" t="str">
            <v>-</v>
          </cell>
          <cell r="L45">
            <v>12900</v>
          </cell>
          <cell r="M45">
            <v>12900</v>
          </cell>
          <cell r="N45">
            <v>0</v>
          </cell>
          <cell r="O45">
            <v>12900</v>
          </cell>
          <cell r="Q45">
            <v>0</v>
          </cell>
          <cell r="R45">
            <v>94267557600</v>
          </cell>
          <cell r="V45">
            <v>9500</v>
          </cell>
          <cell r="W45" t="str">
            <v>https://smartstore.naver.com/sskoreatrade/products/12774834716</v>
          </cell>
          <cell r="X45" t="str">
            <v>닐킨 맥세이프 링 스티커</v>
          </cell>
          <cell r="Y45" t="str">
            <v>닐킨 마그네틱 링 홀더 스티커 1P 네이비</v>
          </cell>
          <cell r="AB45" t="str">
            <v>coupang.com/vp/products/9234537821?itemId=27301013951&amp;vendorItemId=94267557600</v>
          </cell>
          <cell r="AC45">
            <v>2500</v>
          </cell>
          <cell r="AD45">
            <v>250</v>
          </cell>
          <cell r="AE45">
            <v>2750</v>
          </cell>
          <cell r="AG45">
            <v>6818.181818181818</v>
          </cell>
          <cell r="AH45">
            <v>681.81818181818198</v>
          </cell>
          <cell r="AI45">
            <v>7500</v>
          </cell>
          <cell r="AK45">
            <v>4318.181818181818</v>
          </cell>
        </row>
        <row r="46">
          <cell r="H46" t="str">
            <v>94267557600AD</v>
          </cell>
          <cell r="I46">
            <v>67748462</v>
          </cell>
          <cell r="R46" t="str">
            <v>94267557600AD</v>
          </cell>
          <cell r="X46" t="str">
            <v>닐킨 맥세이프 링 스티커</v>
          </cell>
          <cell r="Y46" t="str">
            <v>닐킨 마그네틱 링 홀더 스티커 1P 네이비</v>
          </cell>
          <cell r="AB46">
            <v>0</v>
          </cell>
          <cell r="AC46">
            <v>0</v>
          </cell>
          <cell r="AG46" t="str">
            <v>0</v>
          </cell>
        </row>
        <row r="47">
          <cell r="H47" t="str">
            <v>94267557600S</v>
          </cell>
          <cell r="I47">
            <v>67748462</v>
          </cell>
          <cell r="R47" t="str">
            <v>94267557600S</v>
          </cell>
          <cell r="X47" t="str">
            <v>닐킨 맥세이프 링 스티커</v>
          </cell>
          <cell r="Y47" t="str">
            <v>닐킨 마그네틱 링 홀더 스티커 1P 네이비</v>
          </cell>
          <cell r="AC47" t="str">
            <v>개당광고비→</v>
          </cell>
          <cell r="AG47" t="str">
            <v>광고X</v>
          </cell>
          <cell r="AH47" t="str">
            <v>광고X</v>
          </cell>
        </row>
        <row r="48">
          <cell r="H48">
            <v>94267557600</v>
          </cell>
          <cell r="I48">
            <v>67748462</v>
          </cell>
          <cell r="R48">
            <v>94267557600</v>
          </cell>
          <cell r="X48" t="str">
            <v>닐킨 맥세이프 링 스티커</v>
          </cell>
          <cell r="Y48" t="str">
            <v>맥세이프링94267557600</v>
          </cell>
        </row>
        <row r="49">
          <cell r="H49">
            <v>94267557598</v>
          </cell>
          <cell r="I49">
            <v>67748464</v>
          </cell>
          <cell r="J49" t="str">
            <v/>
          </cell>
          <cell r="K49" t="str">
            <v>-</v>
          </cell>
          <cell r="L49">
            <v>11550</v>
          </cell>
          <cell r="M49">
            <v>11550</v>
          </cell>
          <cell r="N49">
            <v>0</v>
          </cell>
          <cell r="O49">
            <v>12900</v>
          </cell>
          <cell r="Q49">
            <v>0</v>
          </cell>
          <cell r="R49">
            <v>94267557598</v>
          </cell>
          <cell r="V49">
            <v>9500</v>
          </cell>
          <cell r="W49" t="str">
            <v>https://smartstore.naver.com/sskoreatrade/products/12774834716</v>
          </cell>
          <cell r="X49" t="str">
            <v>닐킨 맥세이프 링 스티커</v>
          </cell>
          <cell r="Y49" t="str">
            <v>닐킨 마그네틱 링 홀더 스티커 1P 라이트그린</v>
          </cell>
          <cell r="AB49" t="str">
            <v>coupang.com/vp/products/9234537821?itemId=27301013953&amp;vendorItemId=94267557598</v>
          </cell>
          <cell r="AC49">
            <v>2500</v>
          </cell>
          <cell r="AD49">
            <v>250</v>
          </cell>
          <cell r="AE49">
            <v>2750</v>
          </cell>
          <cell r="AG49">
            <v>6818.181818181818</v>
          </cell>
          <cell r="AH49">
            <v>681.81818181818198</v>
          </cell>
          <cell r="AI49">
            <v>7500</v>
          </cell>
          <cell r="AK49">
            <v>4318.181818181818</v>
          </cell>
        </row>
        <row r="50">
          <cell r="H50" t="str">
            <v>94267557598AD</v>
          </cell>
          <cell r="I50">
            <v>67748464</v>
          </cell>
          <cell r="R50" t="str">
            <v>94267557598AD</v>
          </cell>
          <cell r="X50" t="str">
            <v>닐킨 맥세이프 링 스티커</v>
          </cell>
          <cell r="Y50" t="str">
            <v>닐킨 마그네틱 링 홀더 스티커 1P 라이트그린</v>
          </cell>
          <cell r="AB50">
            <v>0</v>
          </cell>
          <cell r="AC50">
            <v>0</v>
          </cell>
          <cell r="AG50" t="str">
            <v>0</v>
          </cell>
        </row>
        <row r="51">
          <cell r="H51" t="str">
            <v>94267557598S</v>
          </cell>
          <cell r="I51">
            <v>67748464</v>
          </cell>
          <cell r="R51" t="str">
            <v>94267557598S</v>
          </cell>
          <cell r="X51" t="str">
            <v>닐킨 맥세이프 링 스티커</v>
          </cell>
          <cell r="Y51" t="str">
            <v>닐킨 마그네틱 링 홀더 스티커 1P 라이트그린</v>
          </cell>
          <cell r="AC51" t="str">
            <v>개당광고비→</v>
          </cell>
          <cell r="AG51" t="str">
            <v>광고X</v>
          </cell>
          <cell r="AH51" t="str">
            <v>광고X</v>
          </cell>
        </row>
        <row r="52">
          <cell r="H52">
            <v>94267557598</v>
          </cell>
          <cell r="I52">
            <v>67748464</v>
          </cell>
          <cell r="R52">
            <v>94267557598</v>
          </cell>
          <cell r="X52" t="str">
            <v>닐킨 맥세이프 링 스티커</v>
          </cell>
          <cell r="Y52" t="str">
            <v>맥세이프링94267557598</v>
          </cell>
        </row>
        <row r="53">
          <cell r="H53">
            <v>94267557599</v>
          </cell>
          <cell r="I53">
            <v>67748466</v>
          </cell>
          <cell r="J53" t="str">
            <v/>
          </cell>
          <cell r="K53" t="str">
            <v>-</v>
          </cell>
          <cell r="L53">
            <v>11550</v>
          </cell>
          <cell r="M53">
            <v>11550</v>
          </cell>
          <cell r="N53">
            <v>0</v>
          </cell>
          <cell r="O53">
            <v>12900</v>
          </cell>
          <cell r="Q53">
            <v>0</v>
          </cell>
          <cell r="R53">
            <v>94267557599</v>
          </cell>
          <cell r="V53">
            <v>9500</v>
          </cell>
          <cell r="W53" t="str">
            <v>https://smartstore.naver.com/sskoreatrade/products/12774834716</v>
          </cell>
          <cell r="X53" t="str">
            <v>닐킨 맥세이프 링 스티커</v>
          </cell>
          <cell r="Y53" t="str">
            <v>닐킨 마그네틱 링 홀더 스티커 1P 퍼플</v>
          </cell>
          <cell r="AB53" t="str">
            <v>coupang.com/vp/products/9234537821?itemId=27301013957&amp;vendorItemId=94267557599</v>
          </cell>
          <cell r="AC53">
            <v>2500</v>
          </cell>
          <cell r="AD53">
            <v>250</v>
          </cell>
          <cell r="AE53">
            <v>2750</v>
          </cell>
          <cell r="AG53">
            <v>6818.181818181818</v>
          </cell>
          <cell r="AH53">
            <v>681.81818181818198</v>
          </cell>
          <cell r="AI53">
            <v>7500</v>
          </cell>
          <cell r="AK53">
            <v>4318.181818181818</v>
          </cell>
        </row>
        <row r="54">
          <cell r="H54" t="str">
            <v>94267557599AD</v>
          </cell>
          <cell r="I54">
            <v>67748466</v>
          </cell>
          <cell r="R54" t="str">
            <v>94267557599AD</v>
          </cell>
          <cell r="X54" t="str">
            <v>닐킨 맥세이프 링 스티커</v>
          </cell>
          <cell r="Y54" t="str">
            <v>닐킨 마그네틱 링 홀더 스티커 1P 퍼플</v>
          </cell>
          <cell r="AB54">
            <v>0</v>
          </cell>
          <cell r="AC54">
            <v>0</v>
          </cell>
          <cell r="AG54" t="str">
            <v>0</v>
          </cell>
        </row>
        <row r="55">
          <cell r="H55" t="str">
            <v>94267557599S</v>
          </cell>
          <cell r="I55">
            <v>67748466</v>
          </cell>
          <cell r="R55" t="str">
            <v>94267557599S</v>
          </cell>
          <cell r="X55" t="str">
            <v>닐킨 맥세이프 링 스티커</v>
          </cell>
          <cell r="Y55" t="str">
            <v>닐킨 마그네틱 링 홀더 스티커 1P 퍼플</v>
          </cell>
          <cell r="AC55" t="str">
            <v>개당광고비→</v>
          </cell>
          <cell r="AG55" t="str">
            <v>광고X</v>
          </cell>
          <cell r="AH55" t="str">
            <v>광고X</v>
          </cell>
        </row>
        <row r="56">
          <cell r="H56">
            <v>94267557599</v>
          </cell>
          <cell r="I56">
            <v>67748466</v>
          </cell>
          <cell r="R56">
            <v>94267557599</v>
          </cell>
          <cell r="X56" t="str">
            <v>닐킨 맥세이프 링 스티커</v>
          </cell>
          <cell r="Y56" t="str">
            <v>맥세이프링94267557599</v>
          </cell>
        </row>
        <row r="57">
          <cell r="H57">
            <v>94225398695</v>
          </cell>
          <cell r="I57">
            <v>67604721</v>
          </cell>
          <cell r="J57">
            <v>301</v>
          </cell>
          <cell r="K57" t="str">
            <v>-</v>
          </cell>
          <cell r="L57">
            <v>19000</v>
          </cell>
          <cell r="M57">
            <v>19000</v>
          </cell>
          <cell r="N57">
            <v>0</v>
          </cell>
          <cell r="O57">
            <v>24900</v>
          </cell>
          <cell r="Q57">
            <v>0</v>
          </cell>
          <cell r="R57">
            <v>94225398695</v>
          </cell>
          <cell r="V57">
            <v>18500</v>
          </cell>
          <cell r="W57" t="str">
            <v>https://smartstore.naver.com/sskoreatrade/products/12774834716</v>
          </cell>
          <cell r="X57" t="str">
            <v>닐킨 맥세이프 링 스티커</v>
          </cell>
          <cell r="Y57" t="str">
            <v>닐킨 마그네틱 링 홀더 스티커 2P 블랙</v>
          </cell>
          <cell r="AB57" t="str">
            <v>coupang.com/vp/products/9223576623?itemId=27258568773&amp;vendorItemId=94225398695</v>
          </cell>
          <cell r="AC57">
            <v>4590.909090909091</v>
          </cell>
          <cell r="AD57">
            <v>459.09090909090912</v>
          </cell>
          <cell r="AE57">
            <v>5050</v>
          </cell>
          <cell r="AG57">
            <v>13181.81818181818</v>
          </cell>
          <cell r="AH57">
            <v>1318.1818181818198</v>
          </cell>
          <cell r="AI57">
            <v>14500</v>
          </cell>
          <cell r="AK57">
            <v>8590.9090909090883</v>
          </cell>
        </row>
        <row r="58">
          <cell r="H58" t="str">
            <v>94225398695AD</v>
          </cell>
          <cell r="I58">
            <v>67604721</v>
          </cell>
          <cell r="R58" t="str">
            <v>94225398695AD</v>
          </cell>
          <cell r="X58" t="str">
            <v>닐킨 맥세이프 링 스티커</v>
          </cell>
          <cell r="Y58" t="str">
            <v>닐킨 마그네틱 링 홀더 스티커 2P 블랙</v>
          </cell>
          <cell r="AB58">
            <v>0</v>
          </cell>
          <cell r="AC58">
            <v>0</v>
          </cell>
          <cell r="AG58" t="str">
            <v>0</v>
          </cell>
        </row>
        <row r="59">
          <cell r="H59" t="str">
            <v>94225398695S</v>
          </cell>
          <cell r="I59">
            <v>67604721</v>
          </cell>
          <cell r="R59" t="str">
            <v>94225398695S</v>
          </cell>
          <cell r="X59" t="str">
            <v>닐킨 맥세이프 링 스티커</v>
          </cell>
          <cell r="Y59" t="str">
            <v>닐킨 마그네틱 링 홀더 스티커 2P 블랙</v>
          </cell>
          <cell r="AC59" t="str">
            <v>개당광고비→</v>
          </cell>
          <cell r="AG59" t="str">
            <v>광고X</v>
          </cell>
          <cell r="AH59" t="str">
            <v>광고X</v>
          </cell>
        </row>
        <row r="60">
          <cell r="H60">
            <v>94225398695</v>
          </cell>
          <cell r="I60">
            <v>67604721</v>
          </cell>
          <cell r="R60">
            <v>94225398695</v>
          </cell>
          <cell r="X60" t="str">
            <v>닐킨 맥세이프 링 스티커</v>
          </cell>
          <cell r="Y60" t="str">
            <v>맥세이프링94225398695</v>
          </cell>
        </row>
        <row r="61">
          <cell r="H61">
            <v>94267557601</v>
          </cell>
          <cell r="I61">
            <v>67748468</v>
          </cell>
          <cell r="J61" t="str">
            <v/>
          </cell>
          <cell r="K61" t="str">
            <v>-</v>
          </cell>
          <cell r="L61">
            <v>22340</v>
          </cell>
          <cell r="M61">
            <v>22340</v>
          </cell>
          <cell r="N61">
            <v>0</v>
          </cell>
          <cell r="O61">
            <v>24900</v>
          </cell>
          <cell r="Q61">
            <v>0</v>
          </cell>
          <cell r="R61">
            <v>94267557601</v>
          </cell>
          <cell r="V61">
            <v>18500</v>
          </cell>
          <cell r="W61" t="str">
            <v>https://smartstore.naver.com/sskoreatrade/products/12774834716</v>
          </cell>
          <cell r="X61" t="str">
            <v>닐킨 맥세이프 링 스티커</v>
          </cell>
          <cell r="Y61" t="str">
            <v>닐킨 마그네틱 링 홀더 스티커 2P 네이비</v>
          </cell>
          <cell r="AB61" t="str">
            <v>coupang.com/vp/products/9234537821?itemId=27301013961&amp;vendorItemId=94267557601</v>
          </cell>
          <cell r="AC61">
            <v>4590.909090909091</v>
          </cell>
          <cell r="AD61">
            <v>459.09090909090912</v>
          </cell>
          <cell r="AE61">
            <v>5050</v>
          </cell>
          <cell r="AG61">
            <v>13181.81818181818</v>
          </cell>
          <cell r="AH61">
            <v>1318.1818181818198</v>
          </cell>
          <cell r="AI61">
            <v>14500</v>
          </cell>
          <cell r="AK61">
            <v>8590.9090909090883</v>
          </cell>
        </row>
        <row r="62">
          <cell r="H62" t="str">
            <v>94267557601AD</v>
          </cell>
          <cell r="I62">
            <v>67748468</v>
          </cell>
          <cell r="R62" t="str">
            <v>94267557601AD</v>
          </cell>
          <cell r="X62" t="str">
            <v>닐킨 맥세이프 링 스티커</v>
          </cell>
          <cell r="Y62" t="str">
            <v>닐킨 마그네틱 링 홀더 스티커 2P 네이비</v>
          </cell>
          <cell r="AB62">
            <v>0</v>
          </cell>
          <cell r="AC62">
            <v>0</v>
          </cell>
          <cell r="AG62" t="str">
            <v>0</v>
          </cell>
        </row>
        <row r="63">
          <cell r="H63" t="str">
            <v>94267557601S</v>
          </cell>
          <cell r="I63">
            <v>67748468</v>
          </cell>
          <cell r="R63" t="str">
            <v>94267557601S</v>
          </cell>
          <cell r="X63" t="str">
            <v>닐킨 맥세이프 링 스티커</v>
          </cell>
          <cell r="Y63" t="str">
            <v>닐킨 마그네틱 링 홀더 스티커 2P 네이비</v>
          </cell>
          <cell r="AC63" t="str">
            <v>개당광고비→</v>
          </cell>
          <cell r="AG63" t="str">
            <v>광고X</v>
          </cell>
          <cell r="AH63" t="str">
            <v>광고X</v>
          </cell>
        </row>
        <row r="64">
          <cell r="H64">
            <v>94267557601</v>
          </cell>
          <cell r="I64">
            <v>67748468</v>
          </cell>
          <cell r="R64">
            <v>94267557601</v>
          </cell>
          <cell r="X64" t="str">
            <v>닐킨 맥세이프 링 스티커</v>
          </cell>
          <cell r="Y64" t="str">
            <v>맥세이프링94267557601</v>
          </cell>
        </row>
        <row r="65">
          <cell r="H65">
            <v>94267557604</v>
          </cell>
          <cell r="I65">
            <v>67748470</v>
          </cell>
          <cell r="J65" t="str">
            <v/>
          </cell>
          <cell r="K65" t="str">
            <v>-</v>
          </cell>
          <cell r="L65">
            <v>24900</v>
          </cell>
          <cell r="M65">
            <v>24900</v>
          </cell>
          <cell r="N65">
            <v>0</v>
          </cell>
          <cell r="O65">
            <v>24900</v>
          </cell>
          <cell r="Q65">
            <v>0</v>
          </cell>
          <cell r="R65">
            <v>94267557604</v>
          </cell>
          <cell r="V65">
            <v>18500</v>
          </cell>
          <cell r="W65" t="str">
            <v>https://smartstore.naver.com/sskoreatrade/products/12774834716</v>
          </cell>
          <cell r="X65" t="str">
            <v>닐킨 맥세이프 링 스티커</v>
          </cell>
          <cell r="Y65" t="str">
            <v>닐킨 마그네틱 링 홀더 스티커 2P 라이트그린</v>
          </cell>
          <cell r="AB65" t="str">
            <v>coupang.com/vp/products/9234537821?itemId=27301013963&amp;vendorItemId=94267557604</v>
          </cell>
          <cell r="AC65">
            <v>4590.909090909091</v>
          </cell>
          <cell r="AD65">
            <v>459.09090909090912</v>
          </cell>
          <cell r="AE65">
            <v>5050</v>
          </cell>
          <cell r="AG65">
            <v>13181.81818181818</v>
          </cell>
          <cell r="AH65">
            <v>1318.1818181818198</v>
          </cell>
          <cell r="AI65">
            <v>14500</v>
          </cell>
          <cell r="AK65">
            <v>8590.9090909090883</v>
          </cell>
        </row>
        <row r="66">
          <cell r="H66" t="str">
            <v>94267557604AD</v>
          </cell>
          <cell r="I66">
            <v>67748470</v>
          </cell>
          <cell r="R66" t="str">
            <v>94267557604AD</v>
          </cell>
          <cell r="X66" t="str">
            <v>닐킨 맥세이프 링 스티커</v>
          </cell>
          <cell r="Y66" t="str">
            <v>닐킨 마그네틱 링 홀더 스티커 2P 라이트그린</v>
          </cell>
          <cell r="AB66">
            <v>0</v>
          </cell>
          <cell r="AC66">
            <v>0</v>
          </cell>
          <cell r="AG66" t="str">
            <v>0</v>
          </cell>
        </row>
        <row r="67">
          <cell r="H67" t="str">
            <v>94267557604S</v>
          </cell>
          <cell r="I67">
            <v>67748470</v>
          </cell>
          <cell r="R67" t="str">
            <v>94267557604S</v>
          </cell>
          <cell r="X67" t="str">
            <v>닐킨 맥세이프 링 스티커</v>
          </cell>
          <cell r="Y67" t="str">
            <v>닐킨 마그네틱 링 홀더 스티커 2P 라이트그린</v>
          </cell>
          <cell r="AC67" t="str">
            <v>개당광고비→</v>
          </cell>
          <cell r="AG67" t="str">
            <v>광고X</v>
          </cell>
          <cell r="AH67" t="str">
            <v>광고X</v>
          </cell>
        </row>
        <row r="68">
          <cell r="H68">
            <v>94267557604</v>
          </cell>
          <cell r="I68">
            <v>67748470</v>
          </cell>
          <cell r="R68">
            <v>94267557604</v>
          </cell>
          <cell r="X68" t="str">
            <v>닐킨 맥세이프 링 스티커</v>
          </cell>
          <cell r="Y68" t="str">
            <v>맥세이프링94267557604</v>
          </cell>
        </row>
        <row r="69">
          <cell r="H69">
            <v>94267557602</v>
          </cell>
          <cell r="I69">
            <v>67748472</v>
          </cell>
          <cell r="J69" t="str">
            <v/>
          </cell>
          <cell r="K69" t="str">
            <v>-</v>
          </cell>
          <cell r="L69">
            <v>24900</v>
          </cell>
          <cell r="M69">
            <v>24900</v>
          </cell>
          <cell r="N69">
            <v>0</v>
          </cell>
          <cell r="O69">
            <v>24900</v>
          </cell>
          <cell r="Q69">
            <v>0</v>
          </cell>
          <cell r="R69">
            <v>94267557602</v>
          </cell>
          <cell r="V69">
            <v>18500</v>
          </cell>
          <cell r="W69" t="str">
            <v>https://smartstore.naver.com/sskoreatrade/products/12774834716</v>
          </cell>
          <cell r="X69" t="str">
            <v>닐킨 맥세이프 링 스티커</v>
          </cell>
          <cell r="Y69" t="str">
            <v>닐킨 마그네틱 링 홀더 스티커 2P 퍼플</v>
          </cell>
          <cell r="AB69" t="str">
            <v>coupang.com/vp/products/9234537821?itemId=27301013966&amp;vendorItemId=94267557602</v>
          </cell>
          <cell r="AC69">
            <v>4590.909090909091</v>
          </cell>
          <cell r="AD69">
            <v>459.09090909090912</v>
          </cell>
          <cell r="AE69">
            <v>5050</v>
          </cell>
          <cell r="AG69">
            <v>13181.81818181818</v>
          </cell>
          <cell r="AH69">
            <v>1318.1818181818198</v>
          </cell>
          <cell r="AI69">
            <v>14500</v>
          </cell>
          <cell r="AK69">
            <v>8590.9090909090883</v>
          </cell>
        </row>
        <row r="70">
          <cell r="H70" t="str">
            <v>94267557602AD</v>
          </cell>
          <cell r="I70">
            <v>67748472</v>
          </cell>
          <cell r="R70" t="str">
            <v>94267557602AD</v>
          </cell>
          <cell r="X70" t="str">
            <v>닐킨 맥세이프 링 스티커</v>
          </cell>
          <cell r="Y70" t="str">
            <v>닐킨 마그네틱 링 홀더 스티커 2P 퍼플</v>
          </cell>
          <cell r="AB70">
            <v>0</v>
          </cell>
          <cell r="AC70">
            <v>0</v>
          </cell>
          <cell r="AG70" t="str">
            <v>0</v>
          </cell>
        </row>
        <row r="71">
          <cell r="H71" t="str">
            <v>94267557602S</v>
          </cell>
          <cell r="I71">
            <v>67748472</v>
          </cell>
          <cell r="R71" t="str">
            <v>94267557602S</v>
          </cell>
          <cell r="X71" t="str">
            <v>닐킨 맥세이프 링 스티커</v>
          </cell>
          <cell r="Y71" t="str">
            <v>닐킨 마그네틱 링 홀더 스티커 2P 퍼플</v>
          </cell>
          <cell r="AC71" t="str">
            <v>개당광고비→</v>
          </cell>
          <cell r="AG71" t="str">
            <v>광고X</v>
          </cell>
          <cell r="AH71" t="str">
            <v>광고X</v>
          </cell>
        </row>
        <row r="72">
          <cell r="H72">
            <v>94267557602</v>
          </cell>
          <cell r="I72">
            <v>67748472</v>
          </cell>
          <cell r="R72">
            <v>94267557602</v>
          </cell>
          <cell r="X72" t="str">
            <v>닐킨 맥세이프 링 스티커</v>
          </cell>
          <cell r="Y72" t="str">
            <v>맥세이프링94267557602</v>
          </cell>
        </row>
        <row r="73">
          <cell r="H73">
            <v>94001494441</v>
          </cell>
          <cell r="I73">
            <v>66623975</v>
          </cell>
          <cell r="J73">
            <v>1570</v>
          </cell>
          <cell r="K73">
            <v>0</v>
          </cell>
          <cell r="L73">
            <v>28110</v>
          </cell>
          <cell r="M73">
            <v>28110</v>
          </cell>
          <cell r="N73">
            <v>0</v>
          </cell>
          <cell r="O73">
            <v>39500</v>
          </cell>
          <cell r="Q73">
            <v>0</v>
          </cell>
          <cell r="R73">
            <v>94001494441</v>
          </cell>
          <cell r="S73" t="str">
            <v>윤석나BM</v>
          </cell>
          <cell r="V73">
            <v>29500</v>
          </cell>
          <cell r="W73" t="str">
            <v>https://smartstore.naver.com/psglobal1/products/12651264607</v>
          </cell>
          <cell r="X73" t="str">
            <v>뉴클 3in1 충전스탠드 거치대</v>
          </cell>
          <cell r="Y73" t="str">
            <v>뉴클 3IN1 맥세이프 충전 스탠드 블랙</v>
          </cell>
          <cell r="AB73" t="str">
            <v>coupang.com/vp/products/9172017807?itemId=27032960580&amp;vendorItemId=94001494441</v>
          </cell>
          <cell r="AC73">
            <v>7900.9090909090901</v>
          </cell>
          <cell r="AD73">
            <v>790.09090909090901</v>
          </cell>
          <cell r="AE73">
            <v>8691</v>
          </cell>
          <cell r="AG73">
            <v>21363.63636363636</v>
          </cell>
          <cell r="AH73">
            <v>2136.3636363636397</v>
          </cell>
          <cell r="AI73">
            <v>23500</v>
          </cell>
          <cell r="AK73">
            <v>13462.72727272727</v>
          </cell>
        </row>
        <row r="74">
          <cell r="H74" t="str">
            <v>94001494441AD</v>
          </cell>
          <cell r="I74">
            <v>66623975</v>
          </cell>
          <cell r="R74" t="str">
            <v>94001494441AD</v>
          </cell>
          <cell r="V74" t="str">
            <v>1만원쿠폰 12/18~31</v>
          </cell>
          <cell r="X74" t="str">
            <v>뉴클 3in1 충전스탠드 거치대</v>
          </cell>
          <cell r="Y74" t="str">
            <v>뉴클 3IN1 맥세이프 충전 스탠드 블랙</v>
          </cell>
          <cell r="AB74">
            <v>-26</v>
          </cell>
          <cell r="AC74">
            <v>-90030.909090909001</v>
          </cell>
          <cell r="AG74">
            <v>199</v>
          </cell>
        </row>
        <row r="75">
          <cell r="H75" t="str">
            <v>94001494441S</v>
          </cell>
          <cell r="I75">
            <v>66623975</v>
          </cell>
          <cell r="R75" t="str">
            <v>94001494441S</v>
          </cell>
          <cell r="X75" t="str">
            <v>뉴클 3in1 충전스탠드 거치대</v>
          </cell>
          <cell r="Y75" t="str">
            <v>뉴클 3IN1 맥세이프 충전 스탠드 블랙</v>
          </cell>
          <cell r="AC75" t="str">
            <v>개당광고비→</v>
          </cell>
          <cell r="AG75">
            <v>8779.8592964824129</v>
          </cell>
          <cell r="AH75">
            <v>1747192</v>
          </cell>
        </row>
        <row r="76">
          <cell r="H76">
            <v>94001494441</v>
          </cell>
          <cell r="I76">
            <v>66623975</v>
          </cell>
          <cell r="R76">
            <v>94001494441</v>
          </cell>
          <cell r="X76" t="str">
            <v>뉴클 3in1 충전스탠드 거치대</v>
          </cell>
          <cell r="Y76" t="str">
            <v>맥세이프무선충전기94001494441</v>
          </cell>
        </row>
        <row r="77">
          <cell r="H77">
            <v>94001494442</v>
          </cell>
          <cell r="I77">
            <v>66623976</v>
          </cell>
          <cell r="J77">
            <v>1228</v>
          </cell>
          <cell r="K77">
            <v>0</v>
          </cell>
          <cell r="L77">
            <v>28110</v>
          </cell>
          <cell r="M77">
            <v>28110</v>
          </cell>
          <cell r="N77">
            <v>0</v>
          </cell>
          <cell r="O77">
            <v>39500</v>
          </cell>
          <cell r="Q77">
            <v>0</v>
          </cell>
          <cell r="R77">
            <v>94001494442</v>
          </cell>
          <cell r="S77" t="str">
            <v>윤석나BM</v>
          </cell>
          <cell r="V77">
            <v>29500</v>
          </cell>
          <cell r="W77" t="str">
            <v>https://smartstore.naver.com/psglobal1/products/12651264607</v>
          </cell>
          <cell r="X77" t="str">
            <v>뉴클 3in1 충전스탠드 거치대</v>
          </cell>
          <cell r="Y77" t="str">
            <v>뉴클 3IN1 맥세이프 충전 스탠드 화이트</v>
          </cell>
          <cell r="AB77" t="str">
            <v>coupang.com/vp/products/9172017807?itemId=27032960584&amp;vendorItemId=94001494442</v>
          </cell>
          <cell r="AC77">
            <v>7900.9090909090901</v>
          </cell>
          <cell r="AD77">
            <v>790.09090909090901</v>
          </cell>
          <cell r="AE77">
            <v>8691</v>
          </cell>
          <cell r="AG77">
            <v>21363.63636363636</v>
          </cell>
          <cell r="AH77">
            <v>2136.3636363636397</v>
          </cell>
          <cell r="AI77">
            <v>23500</v>
          </cell>
          <cell r="AK77">
            <v>13462.72727272727</v>
          </cell>
        </row>
        <row r="78">
          <cell r="H78" t="str">
            <v>94001494442AD</v>
          </cell>
          <cell r="I78">
            <v>66623976</v>
          </cell>
          <cell r="R78" t="str">
            <v>94001494442AD</v>
          </cell>
          <cell r="V78" t="str">
            <v>1만원쿠폰 12/18~31</v>
          </cell>
          <cell r="X78" t="str">
            <v>뉴클 3in1 충전스탠드 거치대</v>
          </cell>
          <cell r="Y78" t="str">
            <v>뉴클 3IN1 맥세이프 충전 스탠드 화이트</v>
          </cell>
          <cell r="AB78">
            <v>91</v>
          </cell>
          <cell r="AC78">
            <v>315108.18181818165</v>
          </cell>
          <cell r="AG78">
            <v>141</v>
          </cell>
        </row>
        <row r="79">
          <cell r="H79" t="str">
            <v>94001494442S</v>
          </cell>
          <cell r="I79">
            <v>66623976</v>
          </cell>
          <cell r="R79" t="str">
            <v>94001494442S</v>
          </cell>
          <cell r="X79" t="str">
            <v>뉴클 3in1 충전스탠드 거치대</v>
          </cell>
          <cell r="Y79" t="str">
            <v>뉴클 3IN1 맥세이프 충전 스탠드 화이트</v>
          </cell>
          <cell r="AC79" t="str">
            <v>개당광고비→</v>
          </cell>
          <cell r="AG79">
            <v>9521.1560283687941</v>
          </cell>
          <cell r="AH79">
            <v>1342483</v>
          </cell>
        </row>
        <row r="80">
          <cell r="H80">
            <v>94001494442</v>
          </cell>
          <cell r="I80">
            <v>66623976</v>
          </cell>
          <cell r="R80">
            <v>94001494442</v>
          </cell>
          <cell r="X80" t="str">
            <v>뉴클 3in1 충전스탠드 거치대</v>
          </cell>
          <cell r="Y80" t="str">
            <v>맥세이프무선충전기94001494442</v>
          </cell>
        </row>
        <row r="81">
          <cell r="H81">
            <v>93958083412</v>
          </cell>
          <cell r="I81">
            <v>66412607</v>
          </cell>
          <cell r="J81">
            <v>561</v>
          </cell>
          <cell r="K81" t="str">
            <v>-</v>
          </cell>
          <cell r="L81">
            <v>13900</v>
          </cell>
          <cell r="M81">
            <v>13900</v>
          </cell>
          <cell r="N81">
            <v>0</v>
          </cell>
          <cell r="O81">
            <v>18900</v>
          </cell>
          <cell r="Q81">
            <v>0</v>
          </cell>
          <cell r="R81">
            <v>93958083412</v>
          </cell>
          <cell r="X81" t="str">
            <v>뉴클 파워락 흡착 거치대</v>
          </cell>
          <cell r="Y81" t="str">
            <v>뉴클 파워락 맥세이프 흡착 거치대 블랙</v>
          </cell>
          <cell r="AB81" t="str">
            <v>coupang.com/vp/products/9162123674?itemId=26989332801&amp;vendorItemId=93958083412</v>
          </cell>
          <cell r="AC81">
            <v>2014.5454545454543</v>
          </cell>
          <cell r="AD81">
            <v>201.45454545454544</v>
          </cell>
          <cell r="AE81">
            <v>2216</v>
          </cell>
          <cell r="AG81">
            <v>10000</v>
          </cell>
          <cell r="AH81">
            <v>1000</v>
          </cell>
          <cell r="AI81">
            <v>11000</v>
          </cell>
          <cell r="AK81">
            <v>7985.454545454546</v>
          </cell>
        </row>
        <row r="82">
          <cell r="H82" t="str">
            <v>93958083412AD</v>
          </cell>
          <cell r="I82">
            <v>66412607</v>
          </cell>
          <cell r="R82" t="str">
            <v>93958083412AD</v>
          </cell>
          <cell r="X82" t="str">
            <v>뉴클 파워락 흡착 거치대</v>
          </cell>
          <cell r="Y82" t="str">
            <v>뉴클 파워락 맥세이프 흡착 거치대 블랙</v>
          </cell>
          <cell r="AB82">
            <v>19</v>
          </cell>
          <cell r="AC82">
            <v>113723.63636363638</v>
          </cell>
          <cell r="AG82">
            <v>12</v>
          </cell>
        </row>
        <row r="83">
          <cell r="H83" t="str">
            <v>93958083412S</v>
          </cell>
          <cell r="I83">
            <v>66412607</v>
          </cell>
          <cell r="R83" t="str">
            <v>93958083412S</v>
          </cell>
          <cell r="X83" t="str">
            <v>뉴클 파워락 흡착 거치대</v>
          </cell>
          <cell r="Y83" t="str">
            <v>뉴클 파워락 맥세이프 흡착 거치대 블랙</v>
          </cell>
          <cell r="AC83" t="str">
            <v>개당광고비→</v>
          </cell>
          <cell r="AG83">
            <v>8341.9166666666661</v>
          </cell>
          <cell r="AH83">
            <v>100103</v>
          </cell>
        </row>
        <row r="84">
          <cell r="H84">
            <v>93958083412</v>
          </cell>
          <cell r="I84">
            <v>66412607</v>
          </cell>
          <cell r="R84">
            <v>93958083412</v>
          </cell>
          <cell r="X84" t="str">
            <v>뉴클 파워락 흡착 거치대</v>
          </cell>
          <cell r="Y84" t="str">
            <v>흡착식 휴대폰 거치대93958083412</v>
          </cell>
        </row>
        <row r="85">
          <cell r="H85">
            <v>93958083413</v>
          </cell>
          <cell r="I85">
            <v>66412609</v>
          </cell>
          <cell r="J85">
            <v>238</v>
          </cell>
          <cell r="K85" t="str">
            <v>-</v>
          </cell>
          <cell r="L85">
            <v>13900</v>
          </cell>
          <cell r="M85">
            <v>13900</v>
          </cell>
          <cell r="N85">
            <v>0</v>
          </cell>
          <cell r="O85">
            <v>18900</v>
          </cell>
          <cell r="Q85">
            <v>0</v>
          </cell>
          <cell r="R85">
            <v>93958083413</v>
          </cell>
          <cell r="X85" t="str">
            <v>뉴클 파워락 흡착 거치대</v>
          </cell>
          <cell r="Y85" t="str">
            <v>뉴클 파워락 맥세이프 흡착 거치대 화이트</v>
          </cell>
          <cell r="AB85" t="str">
            <v>coupang.com/vp/products/9162123674?itemId=26989332802&amp;vendorItemId=93958083413</v>
          </cell>
          <cell r="AC85">
            <v>2014.5454545454543</v>
          </cell>
          <cell r="AD85">
            <v>201.45454545454544</v>
          </cell>
          <cell r="AE85">
            <v>2216</v>
          </cell>
          <cell r="AG85">
            <v>10000</v>
          </cell>
          <cell r="AH85">
            <v>1000</v>
          </cell>
          <cell r="AI85">
            <v>11000</v>
          </cell>
          <cell r="AK85">
            <v>7985.454545454546</v>
          </cell>
        </row>
        <row r="86">
          <cell r="H86" t="str">
            <v>93958083413AD</v>
          </cell>
          <cell r="I86">
            <v>66412609</v>
          </cell>
          <cell r="R86" t="str">
            <v>93958083413AD</v>
          </cell>
          <cell r="X86" t="str">
            <v>뉴클 파워락 흡착 거치대</v>
          </cell>
          <cell r="Y86" t="str">
            <v>뉴클 파워락 맥세이프 흡착 거치대 화이트</v>
          </cell>
          <cell r="AB86">
            <v>-2</v>
          </cell>
          <cell r="AC86">
            <v>-11970.909090909092</v>
          </cell>
          <cell r="AG86">
            <v>41</v>
          </cell>
        </row>
        <row r="87">
          <cell r="H87" t="str">
            <v>93958083413S</v>
          </cell>
          <cell r="I87">
            <v>66412609</v>
          </cell>
          <cell r="R87" t="str">
            <v>93958083413S</v>
          </cell>
          <cell r="X87" t="str">
            <v>뉴클 파워락 흡착 거치대</v>
          </cell>
          <cell r="Y87" t="str">
            <v>뉴클 파워락 맥세이프 흡착 거치대 화이트</v>
          </cell>
          <cell r="AC87" t="str">
            <v>개당광고비→</v>
          </cell>
          <cell r="AG87">
            <v>5175.8292682926831</v>
          </cell>
          <cell r="AH87">
            <v>212209</v>
          </cell>
        </row>
        <row r="88">
          <cell r="H88">
            <v>93958083413</v>
          </cell>
          <cell r="I88">
            <v>66412609</v>
          </cell>
          <cell r="R88">
            <v>93958083413</v>
          </cell>
          <cell r="X88" t="str">
            <v>뉴클 파워락 흡착 거치대</v>
          </cell>
          <cell r="Y88" t="str">
            <v>맥세이프거치대93958083413</v>
          </cell>
        </row>
        <row r="89">
          <cell r="H89">
            <v>94114222341</v>
          </cell>
          <cell r="I89">
            <v>67058988</v>
          </cell>
          <cell r="J89">
            <v>95</v>
          </cell>
          <cell r="K89" t="str">
            <v>-</v>
          </cell>
          <cell r="L89">
            <v>12900</v>
          </cell>
          <cell r="M89">
            <v>12900</v>
          </cell>
          <cell r="O89">
            <v>16900</v>
          </cell>
          <cell r="Q89">
            <v>12900</v>
          </cell>
          <cell r="R89">
            <v>94114222341</v>
          </cell>
          <cell r="V89">
            <v>12900</v>
          </cell>
          <cell r="W89" t="str">
            <v>https://smartstore.naver.com/sskoreatrade/products/12552492289</v>
          </cell>
          <cell r="X89" t="str">
            <v>뉴클 부착키트 필름 아이폰17</v>
          </cell>
          <cell r="Y89" t="str">
            <v>뉴클 부착키트 강화유리 필름아이폰17</v>
          </cell>
          <cell r="AB89" t="str">
            <v>coupang.com/vp/products/9196373587?itemId=27146368877&amp;vendorItemId=94114222341</v>
          </cell>
          <cell r="AC89">
            <v>1302.7272727272725</v>
          </cell>
          <cell r="AD89">
            <v>130.27272727272725</v>
          </cell>
          <cell r="AE89">
            <v>1433</v>
          </cell>
          <cell r="AG89">
            <v>9090.9090909090901</v>
          </cell>
          <cell r="AH89">
            <v>909.09090909090992</v>
          </cell>
          <cell r="AI89">
            <v>10000</v>
          </cell>
          <cell r="AK89">
            <v>7788.181818181818</v>
          </cell>
        </row>
        <row r="90">
          <cell r="H90" t="str">
            <v>94114222341AD</v>
          </cell>
          <cell r="I90">
            <v>67058988</v>
          </cell>
          <cell r="R90" t="str">
            <v>94114222341AD</v>
          </cell>
          <cell r="X90" t="str">
            <v>뉴클 부착키트 필름 아이폰17</v>
          </cell>
          <cell r="Y90" t="str">
            <v>뉴클 부착키트 강화유리 필름아이폰17</v>
          </cell>
          <cell r="AB90">
            <v>113</v>
          </cell>
          <cell r="AC90">
            <v>880064.54545454541</v>
          </cell>
          <cell r="AG90">
            <v>24</v>
          </cell>
        </row>
        <row r="91">
          <cell r="H91" t="str">
            <v>94114222341S</v>
          </cell>
          <cell r="I91">
            <v>67058988</v>
          </cell>
          <cell r="R91" t="str">
            <v>94114222341S</v>
          </cell>
          <cell r="X91" t="str">
            <v>뉴클 부착키트 필름 아이폰17</v>
          </cell>
          <cell r="Y91" t="str">
            <v>뉴클 부착키트 강화유리 필름아이폰17</v>
          </cell>
          <cell r="AC91" t="str">
            <v>개당광고비→</v>
          </cell>
          <cell r="AG91">
            <v>6733.25</v>
          </cell>
          <cell r="AH91">
            <v>161598</v>
          </cell>
        </row>
        <row r="92">
          <cell r="H92">
            <v>94114222340</v>
          </cell>
          <cell r="I92">
            <v>67058987</v>
          </cell>
          <cell r="J92">
            <v>314</v>
          </cell>
          <cell r="K92" t="str">
            <v>-</v>
          </cell>
          <cell r="L92">
            <v>12900</v>
          </cell>
          <cell r="M92">
            <v>12900</v>
          </cell>
          <cell r="O92">
            <v>16900</v>
          </cell>
          <cell r="Q92">
            <v>12900</v>
          </cell>
          <cell r="R92">
            <v>94114222340</v>
          </cell>
          <cell r="V92">
            <v>12900</v>
          </cell>
          <cell r="W92" t="str">
            <v>https://smartstore.naver.com/sskoreatrade/products/12552492289</v>
          </cell>
          <cell r="X92" t="str">
            <v>뉴클 부착키트 필름 아이폰17</v>
          </cell>
          <cell r="Y92" t="str">
            <v>뉴클 부착키트 강화유리 필름아이폰17프로</v>
          </cell>
          <cell r="AB92" t="str">
            <v>coupang.com/vp/products/9196373587?itemId=27146368874&amp;vendorItemId=94114222340</v>
          </cell>
          <cell r="AC92">
            <v>1302.7272727272725</v>
          </cell>
          <cell r="AD92">
            <v>130.27272727272725</v>
          </cell>
          <cell r="AE92">
            <v>1433</v>
          </cell>
          <cell r="AG92">
            <v>9090.9090909090901</v>
          </cell>
          <cell r="AH92">
            <v>909.09090909090992</v>
          </cell>
          <cell r="AI92">
            <v>10000</v>
          </cell>
          <cell r="AK92">
            <v>7788.181818181818</v>
          </cell>
        </row>
        <row r="93">
          <cell r="H93" t="str">
            <v>94114222340AD</v>
          </cell>
          <cell r="I93">
            <v>67058987</v>
          </cell>
          <cell r="R93" t="str">
            <v>94114222340AD</v>
          </cell>
          <cell r="X93" t="str">
            <v>뉴클 부착키트 필름 아이폰17</v>
          </cell>
          <cell r="Y93" t="str">
            <v>뉴클 부착키트 강화유리 필름아이폰17프로</v>
          </cell>
          <cell r="AB93">
            <v>81</v>
          </cell>
          <cell r="AC93">
            <v>630842.72727272729</v>
          </cell>
          <cell r="AG93">
            <v>10</v>
          </cell>
        </row>
        <row r="94">
          <cell r="H94" t="str">
            <v>94114222340S</v>
          </cell>
          <cell r="I94">
            <v>67058987</v>
          </cell>
          <cell r="R94" t="str">
            <v>94114222340S</v>
          </cell>
          <cell r="X94" t="str">
            <v>뉴클 부착키트 필름 아이폰17</v>
          </cell>
          <cell r="Y94" t="str">
            <v>뉴클 부착키트 강화유리 필름아이폰17프로</v>
          </cell>
          <cell r="AC94" t="str">
            <v>개당광고비→</v>
          </cell>
          <cell r="AG94">
            <v>7396</v>
          </cell>
          <cell r="AH94">
            <v>73960</v>
          </cell>
        </row>
        <row r="95">
          <cell r="H95">
            <v>94114222342</v>
          </cell>
          <cell r="I95">
            <v>67058986</v>
          </cell>
          <cell r="J95">
            <v>306</v>
          </cell>
          <cell r="K95" t="str">
            <v>-</v>
          </cell>
          <cell r="L95">
            <v>12900</v>
          </cell>
          <cell r="M95">
            <v>12900</v>
          </cell>
          <cell r="O95">
            <v>16900</v>
          </cell>
          <cell r="Q95">
            <v>12900</v>
          </cell>
          <cell r="R95">
            <v>94114222342</v>
          </cell>
          <cell r="V95">
            <v>12900</v>
          </cell>
          <cell r="W95" t="str">
            <v>https://smartstore.naver.com/sskoreatrade/products/12552492289</v>
          </cell>
          <cell r="X95" t="str">
            <v>뉴클 부착키트 필름 아이폰17</v>
          </cell>
          <cell r="Y95" t="str">
            <v>뉴클 부착키트 강화유리 필름아이폰17프로맥스</v>
          </cell>
          <cell r="AB95" t="str">
            <v>coupang.com/vp/products/9196373587?itemId=27146368871&amp;vendorItemId=94114222342</v>
          </cell>
          <cell r="AC95">
            <v>1302.7272727272725</v>
          </cell>
          <cell r="AD95">
            <v>130.27272727272725</v>
          </cell>
          <cell r="AE95">
            <v>1433</v>
          </cell>
          <cell r="AG95">
            <v>9090.9090909090901</v>
          </cell>
          <cell r="AH95">
            <v>909.09090909090992</v>
          </cell>
          <cell r="AI95">
            <v>10000</v>
          </cell>
          <cell r="AK95">
            <v>7788.181818181818</v>
          </cell>
        </row>
        <row r="96">
          <cell r="H96" t="str">
            <v>94114222342AD</v>
          </cell>
          <cell r="I96">
            <v>67058986</v>
          </cell>
          <cell r="R96" t="str">
            <v>94114222342AD</v>
          </cell>
          <cell r="X96" t="str">
            <v>뉴클 부착키트 필름 아이폰17</v>
          </cell>
          <cell r="Y96" t="str">
            <v>뉴클 부착키트 강화유리 필름아이폰17프로맥스</v>
          </cell>
          <cell r="AB96">
            <v>114</v>
          </cell>
          <cell r="AC96">
            <v>887852.72727272729</v>
          </cell>
          <cell r="AG96">
            <v>2</v>
          </cell>
        </row>
        <row r="97">
          <cell r="H97" t="str">
            <v>94114222342S</v>
          </cell>
          <cell r="I97">
            <v>67058986</v>
          </cell>
          <cell r="R97" t="str">
            <v>94114222342S</v>
          </cell>
          <cell r="X97" t="str">
            <v>뉴클 부착키트 필름 아이폰17</v>
          </cell>
          <cell r="Y97" t="str">
            <v>뉴클 부착키트 강화유리 필름아이폰17프로맥스</v>
          </cell>
          <cell r="AC97" t="str">
            <v>개당광고비→</v>
          </cell>
          <cell r="AG97">
            <v>18499</v>
          </cell>
          <cell r="AH97">
            <v>36998</v>
          </cell>
        </row>
        <row r="98">
          <cell r="H98">
            <v>94114222344</v>
          </cell>
          <cell r="I98">
            <v>67058985</v>
          </cell>
          <cell r="J98">
            <v>124</v>
          </cell>
          <cell r="K98" t="str">
            <v>-</v>
          </cell>
          <cell r="L98">
            <v>12900</v>
          </cell>
          <cell r="M98">
            <v>12900</v>
          </cell>
          <cell r="O98">
            <v>16900</v>
          </cell>
          <cell r="Q98">
            <v>12900</v>
          </cell>
          <cell r="R98">
            <v>94114222344</v>
          </cell>
          <cell r="V98">
            <v>12900</v>
          </cell>
          <cell r="W98" t="str">
            <v>https://smartstore.naver.com/sskoreatrade/products/12552492289</v>
          </cell>
          <cell r="X98" t="str">
            <v>뉴클 부착키트 필름 아이폰17</v>
          </cell>
          <cell r="Y98" t="str">
            <v>뉴클 부착키트 사생활보호필름 아이폰17</v>
          </cell>
          <cell r="AB98" t="str">
            <v>coupang.com/vp/products/9196373588?itemId=27146368879&amp;vendorItemId=94114222344</v>
          </cell>
          <cell r="AC98">
            <v>1519.9999999999998</v>
          </cell>
          <cell r="AD98">
            <v>151.99999999999997</v>
          </cell>
          <cell r="AE98">
            <v>1672</v>
          </cell>
          <cell r="AG98">
            <v>9090.9090909090901</v>
          </cell>
          <cell r="AH98">
            <v>909.09090909090992</v>
          </cell>
          <cell r="AI98">
            <v>10000</v>
          </cell>
          <cell r="AK98">
            <v>7570.9090909090901</v>
          </cell>
        </row>
        <row r="99">
          <cell r="H99" t="str">
            <v>94114222344AD</v>
          </cell>
          <cell r="I99">
            <v>67058985</v>
          </cell>
          <cell r="R99" t="str">
            <v>94114222344AD</v>
          </cell>
          <cell r="X99" t="str">
            <v>뉴클 부착키트 필름 아이폰17</v>
          </cell>
          <cell r="Y99" t="str">
            <v>뉴클 부착키트 사생활보호필름 아이폰17</v>
          </cell>
          <cell r="AB99">
            <v>-6</v>
          </cell>
          <cell r="AC99">
            <v>-45425.454545454544</v>
          </cell>
          <cell r="AG99">
            <v>7</v>
          </cell>
        </row>
        <row r="100">
          <cell r="H100" t="str">
            <v>94114222344S</v>
          </cell>
          <cell r="I100">
            <v>67058985</v>
          </cell>
          <cell r="R100" t="str">
            <v>94114222344S</v>
          </cell>
          <cell r="X100" t="str">
            <v>뉴클 부착키트 필름 아이폰17</v>
          </cell>
          <cell r="Y100" t="str">
            <v>뉴클 부착키트 사생활보호필름 아이폰17</v>
          </cell>
          <cell r="AC100" t="str">
            <v>개당광고비→</v>
          </cell>
          <cell r="AG100">
            <v>10240</v>
          </cell>
          <cell r="AH100">
            <v>71680</v>
          </cell>
        </row>
        <row r="101">
          <cell r="H101">
            <v>94114222345</v>
          </cell>
          <cell r="I101">
            <v>67058984</v>
          </cell>
          <cell r="J101">
            <v>350</v>
          </cell>
          <cell r="K101" t="str">
            <v>-</v>
          </cell>
          <cell r="L101">
            <v>12900</v>
          </cell>
          <cell r="M101">
            <v>12900</v>
          </cell>
          <cell r="O101">
            <v>16900</v>
          </cell>
          <cell r="Q101">
            <v>12900</v>
          </cell>
          <cell r="R101">
            <v>94114222345</v>
          </cell>
          <cell r="V101">
            <v>12900</v>
          </cell>
          <cell r="W101" t="str">
            <v>https://smartstore.naver.com/sskoreatrade/products/12552492289</v>
          </cell>
          <cell r="X101" t="str">
            <v>뉴클 부착키트 필름 아이폰17</v>
          </cell>
          <cell r="Y101" t="str">
            <v>뉴클 부착키트 사생활보호필름 아이폰17프로</v>
          </cell>
          <cell r="AB101" t="str">
            <v>coupang.com/vp/products/9196373588?itemId=27146368875&amp;vendorItemId=94114222345</v>
          </cell>
          <cell r="AC101">
            <v>1519.9999999999998</v>
          </cell>
          <cell r="AD101">
            <v>151.99999999999997</v>
          </cell>
          <cell r="AE101">
            <v>1672</v>
          </cell>
          <cell r="AG101">
            <v>9090.9090909090901</v>
          </cell>
          <cell r="AH101">
            <v>909.09090909090992</v>
          </cell>
          <cell r="AI101">
            <v>10000</v>
          </cell>
          <cell r="AK101">
            <v>7570.9090909090901</v>
          </cell>
        </row>
        <row r="102">
          <cell r="H102" t="str">
            <v>94114222345AD</v>
          </cell>
          <cell r="I102">
            <v>67058984</v>
          </cell>
          <cell r="R102" t="str">
            <v>94114222345AD</v>
          </cell>
          <cell r="X102" t="str">
            <v>뉴클 부착키트 필름 아이폰17</v>
          </cell>
          <cell r="Y102" t="str">
            <v>뉴클 부착키트 사생활보호필름 아이폰17프로</v>
          </cell>
          <cell r="AB102">
            <v>93</v>
          </cell>
          <cell r="AC102">
            <v>704094.54545454541</v>
          </cell>
          <cell r="AG102">
            <v>10</v>
          </cell>
        </row>
        <row r="103">
          <cell r="H103" t="str">
            <v>94114222345S</v>
          </cell>
          <cell r="I103">
            <v>67058984</v>
          </cell>
          <cell r="R103" t="str">
            <v>94114222345S</v>
          </cell>
          <cell r="X103" t="str">
            <v>뉴클 부착키트 필름 아이폰17</v>
          </cell>
          <cell r="Y103" t="str">
            <v>뉴클 부착키트 사생활보호필름 아이폰17프로</v>
          </cell>
          <cell r="AC103" t="str">
            <v>개당광고비→</v>
          </cell>
          <cell r="AG103">
            <v>5954.8</v>
          </cell>
          <cell r="AH103">
            <v>59548</v>
          </cell>
        </row>
        <row r="104">
          <cell r="H104">
            <v>94114222343</v>
          </cell>
          <cell r="I104">
            <v>67058983</v>
          </cell>
          <cell r="J104">
            <v>571</v>
          </cell>
          <cell r="K104" t="str">
            <v>-</v>
          </cell>
          <cell r="L104">
            <v>12900</v>
          </cell>
          <cell r="M104">
            <v>12900</v>
          </cell>
          <cell r="O104">
            <v>16900</v>
          </cell>
          <cell r="Q104">
            <v>12900</v>
          </cell>
          <cell r="R104">
            <v>94114222343</v>
          </cell>
          <cell r="V104">
            <v>12900</v>
          </cell>
          <cell r="W104" t="str">
            <v>https://smartstore.naver.com/sskoreatrade/products/12552492289</v>
          </cell>
          <cell r="X104" t="str">
            <v>뉴클 부착키트 필름 아이폰17</v>
          </cell>
          <cell r="Y104" t="str">
            <v>뉴클 부착키트 사생활보호필름 아이폰17프로맥스</v>
          </cell>
          <cell r="AB104" t="str">
            <v>coupang.com/vp/products/9196373588?itemId=27146368872&amp;vendorItemId=94114222343</v>
          </cell>
          <cell r="AC104">
            <v>1519.9999999999998</v>
          </cell>
          <cell r="AD104">
            <v>151.99999999999997</v>
          </cell>
          <cell r="AE104">
            <v>1672</v>
          </cell>
          <cell r="AG104">
            <v>9090.9090909090901</v>
          </cell>
          <cell r="AH104">
            <v>909.09090909090992</v>
          </cell>
          <cell r="AI104">
            <v>10000</v>
          </cell>
          <cell r="AK104">
            <v>7570.9090909090901</v>
          </cell>
        </row>
        <row r="105">
          <cell r="H105" t="str">
            <v>94114222343AD</v>
          </cell>
          <cell r="I105">
            <v>67058983</v>
          </cell>
          <cell r="R105" t="str">
            <v>94114222343AD</v>
          </cell>
          <cell r="X105" t="str">
            <v>뉴클 부착키트 필름 아이폰17</v>
          </cell>
          <cell r="Y105" t="str">
            <v>뉴클 부착키트 사생활보호필름 아이폰17프로맥스</v>
          </cell>
          <cell r="AB105">
            <v>79</v>
          </cell>
          <cell r="AC105">
            <v>598101.81818181812</v>
          </cell>
          <cell r="AG105">
            <v>1</v>
          </cell>
        </row>
        <row r="106">
          <cell r="H106" t="str">
            <v>94114222343S</v>
          </cell>
          <cell r="I106">
            <v>67058983</v>
          </cell>
          <cell r="R106" t="str">
            <v>94114222343S</v>
          </cell>
          <cell r="X106" t="str">
            <v>뉴클 부착키트 필름 아이폰17</v>
          </cell>
          <cell r="Y106" t="str">
            <v>뉴클 부착키트 사생활보호필름 아이폰17프로맥스</v>
          </cell>
          <cell r="AC106" t="str">
            <v>개당광고비→</v>
          </cell>
          <cell r="AG106">
            <v>27157</v>
          </cell>
          <cell r="AH106">
            <v>27157</v>
          </cell>
        </row>
        <row r="107">
          <cell r="H107">
            <v>93859230607</v>
          </cell>
          <cell r="I107">
            <v>65853903</v>
          </cell>
          <cell r="J107">
            <v>320</v>
          </cell>
          <cell r="K107" t="str">
            <v>-</v>
          </cell>
          <cell r="L107">
            <v>12900</v>
          </cell>
          <cell r="M107">
            <v>12900</v>
          </cell>
          <cell r="O107">
            <v>18900</v>
          </cell>
          <cell r="Q107">
            <v>12900</v>
          </cell>
          <cell r="R107">
            <v>93859230607</v>
          </cell>
          <cell r="V107">
            <v>12900</v>
          </cell>
          <cell r="W107" t="str">
            <v>https://smartstore.naver.com/sskoreatrade/products/12552492289</v>
          </cell>
          <cell r="X107" t="str">
            <v>뉴클 부착키트 필름 아이폰16</v>
          </cell>
          <cell r="Y107" t="str">
            <v>뉴클 부착키트 강화유리 필름 아이폰16</v>
          </cell>
          <cell r="AB107" t="str">
            <v>coupang.com/vp/products/9136410402?itemId=26889727766&amp;vendorItemId=93859230607</v>
          </cell>
          <cell r="AC107">
            <v>989.99999999999989</v>
          </cell>
          <cell r="AD107">
            <v>99</v>
          </cell>
          <cell r="AE107">
            <v>1089</v>
          </cell>
          <cell r="AG107">
            <v>9090.9090909090901</v>
          </cell>
          <cell r="AH107">
            <v>909.09090909090992</v>
          </cell>
          <cell r="AI107">
            <v>10000</v>
          </cell>
          <cell r="AK107">
            <v>8100.9090909090901</v>
          </cell>
        </row>
        <row r="108">
          <cell r="H108" t="str">
            <v>93859230607AD</v>
          </cell>
          <cell r="I108">
            <v>65853903</v>
          </cell>
          <cell r="R108" t="str">
            <v>93859230607AD</v>
          </cell>
          <cell r="X108" t="str">
            <v>뉴클 부착키트 필름 아이폰16</v>
          </cell>
          <cell r="Y108" t="str">
            <v>뉴클 부착키트 강화유리 필름 아이폰16</v>
          </cell>
          <cell r="AB108">
            <v>0</v>
          </cell>
          <cell r="AC108">
            <v>0</v>
          </cell>
          <cell r="AG108" t="str">
            <v>0</v>
          </cell>
        </row>
        <row r="109">
          <cell r="H109" t="str">
            <v>93859230607S</v>
          </cell>
          <cell r="I109">
            <v>65853903</v>
          </cell>
          <cell r="R109" t="str">
            <v>93859230607S</v>
          </cell>
          <cell r="X109" t="str">
            <v>뉴클 부착키트 필름 아이폰16</v>
          </cell>
          <cell r="Y109" t="str">
            <v>뉴클 부착키트 강화유리 필름 아이폰16</v>
          </cell>
          <cell r="AC109" t="str">
            <v>개당광고비→</v>
          </cell>
          <cell r="AG109" t="str">
            <v>광고X</v>
          </cell>
          <cell r="AH109" t="str">
            <v>광고X</v>
          </cell>
        </row>
        <row r="110">
          <cell r="H110">
            <v>93859230612</v>
          </cell>
          <cell r="I110">
            <v>65853904</v>
          </cell>
          <cell r="J110">
            <v>508</v>
          </cell>
          <cell r="K110" t="str">
            <v>-</v>
          </cell>
          <cell r="L110">
            <v>12900</v>
          </cell>
          <cell r="M110">
            <v>12900</v>
          </cell>
          <cell r="O110">
            <v>18900</v>
          </cell>
          <cell r="Q110">
            <v>12900</v>
          </cell>
          <cell r="R110">
            <v>93859230612</v>
          </cell>
          <cell r="V110">
            <v>12900</v>
          </cell>
          <cell r="W110" t="str">
            <v>https://smartstore.naver.com/sskoreatrade/products/12552492289</v>
          </cell>
          <cell r="X110" t="str">
            <v>뉴클 부착키트 필름 아이폰16</v>
          </cell>
          <cell r="Y110" t="str">
            <v>뉴클 부착키트 강화유리 필름 아이폰16프로</v>
          </cell>
          <cell r="AB110" t="str">
            <v>coupang.com/vp/products/9136410402?itemId=26889727769&amp;vendorItemId=93859230612</v>
          </cell>
          <cell r="AC110">
            <v>989.99999999999989</v>
          </cell>
          <cell r="AD110">
            <v>99</v>
          </cell>
          <cell r="AE110">
            <v>1089</v>
          </cell>
          <cell r="AG110">
            <v>9090.9090909090901</v>
          </cell>
          <cell r="AH110">
            <v>909.09090909090992</v>
          </cell>
          <cell r="AI110">
            <v>10000</v>
          </cell>
          <cell r="AK110">
            <v>8100.9090909090901</v>
          </cell>
        </row>
        <row r="111">
          <cell r="H111" t="str">
            <v>93859230612AD</v>
          </cell>
          <cell r="I111">
            <v>65853904</v>
          </cell>
          <cell r="R111" t="str">
            <v>93859230612AD</v>
          </cell>
          <cell r="X111" t="str">
            <v>뉴클 부착키트 필름 아이폰16</v>
          </cell>
          <cell r="Y111" t="str">
            <v>뉴클 부착키트 강화유리 필름 아이폰16프로</v>
          </cell>
          <cell r="AB111">
            <v>3</v>
          </cell>
          <cell r="AC111">
            <v>24302.727272727272</v>
          </cell>
          <cell r="AG111" t="str">
            <v>0</v>
          </cell>
        </row>
        <row r="112">
          <cell r="H112" t="str">
            <v>93859230612S</v>
          </cell>
          <cell r="I112">
            <v>65853904</v>
          </cell>
          <cell r="R112" t="str">
            <v>93859230612S</v>
          </cell>
          <cell r="X112" t="str">
            <v>뉴클 부착키트 필름 아이폰16</v>
          </cell>
          <cell r="Y112" t="str">
            <v>뉴클 부착키트 강화유리 필름 아이폰16프로</v>
          </cell>
          <cell r="AC112" t="str">
            <v>개당광고비→</v>
          </cell>
          <cell r="AG112" t="str">
            <v>광고X</v>
          </cell>
          <cell r="AH112" t="str">
            <v>광고X</v>
          </cell>
        </row>
        <row r="113">
          <cell r="H113">
            <v>93859230602</v>
          </cell>
          <cell r="I113">
            <v>65853900</v>
          </cell>
          <cell r="J113">
            <v>267</v>
          </cell>
          <cell r="K113" t="str">
            <v>-</v>
          </cell>
          <cell r="L113">
            <v>12900</v>
          </cell>
          <cell r="M113">
            <v>12900</v>
          </cell>
          <cell r="O113">
            <v>18900</v>
          </cell>
          <cell r="Q113">
            <v>12900</v>
          </cell>
          <cell r="R113">
            <v>93859230602</v>
          </cell>
          <cell r="V113">
            <v>12900</v>
          </cell>
          <cell r="W113" t="str">
            <v>https://smartstore.naver.com/sskoreatrade/products/12552491379</v>
          </cell>
          <cell r="X113" t="str">
            <v>뉴클 부착키트 필름 아이폰16</v>
          </cell>
          <cell r="Y113" t="str">
            <v>뉴클 부착키트 사생활보호필름 아이폰16</v>
          </cell>
          <cell r="AB113" t="str">
            <v>coupang.com/vp/products/9136410399?itemId=26889727756&amp;vendorItemId=93859230602</v>
          </cell>
          <cell r="AC113">
            <v>1194.5454545454545</v>
          </cell>
          <cell r="AD113">
            <v>119.45454545454545</v>
          </cell>
          <cell r="AE113">
            <v>1314</v>
          </cell>
          <cell r="AG113">
            <v>9090.9090909090901</v>
          </cell>
          <cell r="AH113">
            <v>909.09090909090992</v>
          </cell>
          <cell r="AI113">
            <v>10000</v>
          </cell>
          <cell r="AK113">
            <v>7896.363636363636</v>
          </cell>
        </row>
        <row r="114">
          <cell r="H114" t="str">
            <v>93859230602AD</v>
          </cell>
          <cell r="I114">
            <v>65853900</v>
          </cell>
          <cell r="R114" t="str">
            <v>93859230602AD</v>
          </cell>
          <cell r="X114" t="str">
            <v>뉴클 부착키트 필름 아이폰16</v>
          </cell>
          <cell r="Y114" t="str">
            <v>뉴클 부착키트 사생활보호필름 아이폰16</v>
          </cell>
          <cell r="AB114">
            <v>3</v>
          </cell>
          <cell r="AC114">
            <v>23689.090909090908</v>
          </cell>
          <cell r="AG114" t="str">
            <v>0</v>
          </cell>
        </row>
        <row r="115">
          <cell r="H115" t="str">
            <v>93859230602S</v>
          </cell>
          <cell r="I115">
            <v>65853900</v>
          </cell>
          <cell r="R115" t="str">
            <v>93859230602S</v>
          </cell>
          <cell r="X115" t="str">
            <v>뉴클 부착키트 필름 아이폰16</v>
          </cell>
          <cell r="Y115" t="str">
            <v>뉴클 부착키트 사생활보호필름 아이폰16</v>
          </cell>
          <cell r="AC115" t="str">
            <v>개당광고비→</v>
          </cell>
          <cell r="AG115" t="str">
            <v>광고X</v>
          </cell>
          <cell r="AH115" t="str">
            <v>광고X</v>
          </cell>
        </row>
        <row r="116">
          <cell r="H116">
            <v>93859230600</v>
          </cell>
          <cell r="I116">
            <v>65853901</v>
          </cell>
          <cell r="J116">
            <v>377</v>
          </cell>
          <cell r="K116" t="str">
            <v>-</v>
          </cell>
          <cell r="L116">
            <v>12900</v>
          </cell>
          <cell r="M116">
            <v>12900</v>
          </cell>
          <cell r="O116">
            <v>18900</v>
          </cell>
          <cell r="Q116">
            <v>12900</v>
          </cell>
          <cell r="R116">
            <v>93859230600</v>
          </cell>
          <cell r="V116">
            <v>12900</v>
          </cell>
          <cell r="W116" t="str">
            <v>https://smartstore.naver.com/sskoreatrade/products/12552491379</v>
          </cell>
          <cell r="X116" t="str">
            <v>뉴클 부착키트 필름 아이폰16</v>
          </cell>
          <cell r="Y116" t="str">
            <v>뉴클 부착키트 사생활보호필름 아이폰16프로</v>
          </cell>
          <cell r="AB116" t="str">
            <v>coupang.com/vp/products/9136410399?itemId=26889727762&amp;vendorItemId=93859230600</v>
          </cell>
          <cell r="AC116">
            <v>1194.5454545454545</v>
          </cell>
          <cell r="AD116">
            <v>119.45454545454545</v>
          </cell>
          <cell r="AE116">
            <v>1314</v>
          </cell>
          <cell r="AG116">
            <v>9090.9090909090901</v>
          </cell>
          <cell r="AH116">
            <v>909.09090909090992</v>
          </cell>
          <cell r="AI116">
            <v>10000</v>
          </cell>
          <cell r="AK116">
            <v>7896.363636363636</v>
          </cell>
        </row>
        <row r="117">
          <cell r="H117" t="str">
            <v>93859230600AD</v>
          </cell>
          <cell r="I117">
            <v>65853901</v>
          </cell>
          <cell r="R117" t="str">
            <v>93859230600AD</v>
          </cell>
          <cell r="X117" t="str">
            <v>뉴클 부착키트 필름 아이폰16</v>
          </cell>
          <cell r="Y117" t="str">
            <v>뉴클 부착키트 사생활보호필름 아이폰16프로</v>
          </cell>
          <cell r="AB117">
            <v>5</v>
          </cell>
          <cell r="AC117">
            <v>39481.818181818177</v>
          </cell>
          <cell r="AG117" t="str">
            <v>0</v>
          </cell>
        </row>
        <row r="118">
          <cell r="H118" t="str">
            <v>93859230600S</v>
          </cell>
          <cell r="I118">
            <v>65853901</v>
          </cell>
          <cell r="R118" t="str">
            <v>93859230600S</v>
          </cell>
          <cell r="X118" t="str">
            <v>뉴클 부착키트 필름 아이폰16</v>
          </cell>
          <cell r="Y118" t="str">
            <v>뉴클 부착키트 사생활보호필름 아이폰16프로</v>
          </cell>
          <cell r="AC118" t="str">
            <v>개당광고비→</v>
          </cell>
          <cell r="AG118" t="str">
            <v>광고X</v>
          </cell>
          <cell r="AH118" t="str">
            <v>광고X</v>
          </cell>
        </row>
        <row r="119">
          <cell r="H119">
            <v>93179130199</v>
          </cell>
          <cell r="I119">
            <v>62914404</v>
          </cell>
          <cell r="J119">
            <v>775</v>
          </cell>
          <cell r="K119">
            <v>85</v>
          </cell>
          <cell r="L119">
            <v>14900</v>
          </cell>
          <cell r="M119">
            <v>14900</v>
          </cell>
          <cell r="O119">
            <v>21900</v>
          </cell>
          <cell r="Q119">
            <v>18900</v>
          </cell>
          <cell r="R119">
            <v>93179130199</v>
          </cell>
          <cell r="V119">
            <v>14900</v>
          </cell>
          <cell r="W119" t="str">
            <v>https://smartstore.naver.com/psglobal1/products/12304094904</v>
          </cell>
          <cell r="X119" t="str">
            <v>뉴클_차량용충전기_릴타입</v>
          </cell>
          <cell r="Y119" t="str">
            <v>뉴클 PD 차량용 릴타입 시거잭 충전기 블랙</v>
          </cell>
          <cell r="AB119" t="str">
            <v>coupang.com/vp/products/8955577311?itemId=26199895388&amp;vendorItemId=93179130199</v>
          </cell>
          <cell r="AC119">
            <v>3831.8181818181815</v>
          </cell>
          <cell r="AD119">
            <v>383.18181818181819</v>
          </cell>
          <cell r="AE119">
            <v>4215</v>
          </cell>
          <cell r="AG119">
            <v>13636.363636363636</v>
          </cell>
          <cell r="AH119">
            <v>1363.636363636364</v>
          </cell>
          <cell r="AI119">
            <v>15000</v>
          </cell>
          <cell r="AK119">
            <v>9804.545454545454</v>
          </cell>
        </row>
        <row r="120">
          <cell r="H120" t="str">
            <v>93179130199AD</v>
          </cell>
          <cell r="I120">
            <v>62914404</v>
          </cell>
          <cell r="R120" t="str">
            <v>93179130199AD</v>
          </cell>
          <cell r="X120" t="str">
            <v>뉴클_차량용충전기_릴타입</v>
          </cell>
          <cell r="Y120" t="str">
            <v>뉴클 PD 차량용 릴타입 시거잭 충전기 블랙</v>
          </cell>
          <cell r="AB120">
            <v>0</v>
          </cell>
          <cell r="AC120">
            <v>0</v>
          </cell>
          <cell r="AG120">
            <v>2</v>
          </cell>
        </row>
        <row r="121">
          <cell r="H121" t="str">
            <v>93179130199S</v>
          </cell>
          <cell r="I121">
            <v>62914404</v>
          </cell>
          <cell r="R121" t="str">
            <v>93179130199S</v>
          </cell>
          <cell r="X121" t="str">
            <v>뉴클_차량용충전기_릴타입</v>
          </cell>
          <cell r="Y121" t="str">
            <v>뉴클 PD 차량용 릴타입 시거잭 충전기 블랙</v>
          </cell>
          <cell r="AC121" t="str">
            <v>개당광고비→</v>
          </cell>
          <cell r="AG121">
            <v>11626.5</v>
          </cell>
          <cell r="AH121">
            <v>23253</v>
          </cell>
        </row>
        <row r="122">
          <cell r="H122">
            <v>93179130199</v>
          </cell>
          <cell r="I122">
            <v>62914404</v>
          </cell>
          <cell r="R122">
            <v>93179130199</v>
          </cell>
          <cell r="X122" t="str">
            <v>뉴클_차량용충전기_릴타입</v>
          </cell>
          <cell r="Y122" t="str">
            <v>차량용C타입케이블93179130199</v>
          </cell>
        </row>
        <row r="123">
          <cell r="H123">
            <v>93179130210</v>
          </cell>
          <cell r="I123">
            <v>62914405</v>
          </cell>
          <cell r="J123">
            <v>660</v>
          </cell>
          <cell r="K123">
            <v>85</v>
          </cell>
          <cell r="L123">
            <v>14900</v>
          </cell>
          <cell r="M123">
            <v>14900</v>
          </cell>
          <cell r="O123">
            <v>21900</v>
          </cell>
          <cell r="Q123">
            <v>18900</v>
          </cell>
          <cell r="R123">
            <v>93179130210</v>
          </cell>
          <cell r="V123">
            <v>14900</v>
          </cell>
          <cell r="W123" t="str">
            <v>https://smartstore.naver.com/psglobal1/products/12304094904</v>
          </cell>
          <cell r="X123" t="str">
            <v>뉴클_차량용충전기_릴타입</v>
          </cell>
          <cell r="Y123" t="str">
            <v>뉴클 PD 차량용 릴타입 시거잭 충전기 화이트</v>
          </cell>
          <cell r="AB123" t="str">
            <v>coupang.com/vp/products/8955577311?itemId=26199895390&amp;vendorItemId=93179130210</v>
          </cell>
          <cell r="AC123">
            <v>3831.8181818181815</v>
          </cell>
          <cell r="AD123">
            <v>383.18181818181819</v>
          </cell>
          <cell r="AE123">
            <v>4215</v>
          </cell>
          <cell r="AG123">
            <v>13636.363636363636</v>
          </cell>
          <cell r="AH123">
            <v>1363.636363636364</v>
          </cell>
          <cell r="AI123">
            <v>15000</v>
          </cell>
          <cell r="AK123">
            <v>9804.545454545454</v>
          </cell>
        </row>
        <row r="124">
          <cell r="H124" t="str">
            <v>93179130210AD</v>
          </cell>
          <cell r="I124">
            <v>62914405</v>
          </cell>
          <cell r="R124" t="str">
            <v>93179130210AD</v>
          </cell>
          <cell r="X124" t="str">
            <v>뉴클_차량용충전기_릴타입</v>
          </cell>
          <cell r="Y124" t="str">
            <v>뉴클 PD 차량용 릴타입 시거잭 충전기 화이트</v>
          </cell>
          <cell r="AB124">
            <v>-2</v>
          </cell>
          <cell r="AC124">
            <v>-17820.519480519481</v>
          </cell>
          <cell r="AG124">
            <v>2</v>
          </cell>
        </row>
        <row r="125">
          <cell r="H125" t="str">
            <v>93179130210S</v>
          </cell>
          <cell r="I125">
            <v>62914405</v>
          </cell>
          <cell r="R125" t="str">
            <v>93179130210S</v>
          </cell>
          <cell r="X125" t="str">
            <v>뉴클_차량용충전기_릴타입</v>
          </cell>
          <cell r="Y125" t="str">
            <v>뉴클 PD 차량용 릴타입 시거잭 충전기 화이트</v>
          </cell>
          <cell r="AC125" t="str">
            <v>개당광고비→</v>
          </cell>
          <cell r="AG125">
            <v>7202</v>
          </cell>
          <cell r="AH125">
            <v>14404</v>
          </cell>
        </row>
        <row r="126">
          <cell r="H126">
            <v>93179130210</v>
          </cell>
          <cell r="I126">
            <v>62914405</v>
          </cell>
          <cell r="R126">
            <v>93179130210</v>
          </cell>
          <cell r="X126" t="str">
            <v>뉴클_차량용충전기_릴타입</v>
          </cell>
          <cell r="Y126" t="str">
            <v>차량용C타입케이블93179130210</v>
          </cell>
        </row>
        <row r="127">
          <cell r="H127">
            <v>93484384970</v>
          </cell>
          <cell r="I127">
            <v>64185546</v>
          </cell>
          <cell r="J127">
            <v>-119</v>
          </cell>
          <cell r="K127">
            <v>86</v>
          </cell>
          <cell r="L127">
            <v>6900</v>
          </cell>
          <cell r="M127">
            <v>6900</v>
          </cell>
          <cell r="O127">
            <v>11900</v>
          </cell>
          <cell r="Q127">
            <v>6900</v>
          </cell>
          <cell r="R127">
            <v>93484384970</v>
          </cell>
          <cell r="V127">
            <v>7500</v>
          </cell>
          <cell r="W127" t="str">
            <v>https://smartstore.naver.com/psglobal1/products/12303997206</v>
          </cell>
          <cell r="X127" t="str">
            <v>뉴클_차량용충전기_3포트헤드</v>
          </cell>
          <cell r="Y127" t="str">
            <v>뉴클 PD 50W 3포트 차량용 충전기 블랙</v>
          </cell>
          <cell r="AB127" t="str">
            <v>coupang.com/vp/products/9036430179?itemId=26509795881&amp;vendorItemId=93484384970</v>
          </cell>
          <cell r="AC127">
            <v>2158.181818181818</v>
          </cell>
          <cell r="AD127">
            <v>215.81818181818181</v>
          </cell>
          <cell r="AE127">
            <v>2374</v>
          </cell>
          <cell r="AG127">
            <v>5363.6363636363631</v>
          </cell>
          <cell r="AH127">
            <v>536.36363636363694</v>
          </cell>
          <cell r="AI127">
            <v>5900</v>
          </cell>
          <cell r="AK127">
            <v>3205.454545454545</v>
          </cell>
        </row>
        <row r="128">
          <cell r="H128" t="str">
            <v>93484384970AD</v>
          </cell>
          <cell r="I128">
            <v>64185546</v>
          </cell>
          <cell r="R128" t="str">
            <v>93484384970AD</v>
          </cell>
          <cell r="X128" t="str">
            <v>뉴클_차량용충전기_3포트헤드</v>
          </cell>
          <cell r="Y128" t="str">
            <v>뉴클 PD 50W 3포트 차량용 충전기 블랙</v>
          </cell>
          <cell r="AB128">
            <v>7</v>
          </cell>
          <cell r="AC128">
            <v>22438.181818181816</v>
          </cell>
          <cell r="AG128">
            <v>8</v>
          </cell>
        </row>
        <row r="129">
          <cell r="H129" t="str">
            <v>93484384970S</v>
          </cell>
          <cell r="I129">
            <v>64185546</v>
          </cell>
          <cell r="R129" t="str">
            <v>93484384970S</v>
          </cell>
          <cell r="X129" t="str">
            <v>뉴클_차량용충전기_3포트헤드</v>
          </cell>
          <cell r="Y129" t="str">
            <v>11/13~11/18 차량용 충전기 블랙 10개</v>
          </cell>
          <cell r="AC129" t="str">
            <v>개당광고비→</v>
          </cell>
          <cell r="AG129">
            <v>3763.75</v>
          </cell>
          <cell r="AH129">
            <v>30110</v>
          </cell>
        </row>
        <row r="130">
          <cell r="H130">
            <v>93484384970</v>
          </cell>
          <cell r="I130">
            <v>64185546</v>
          </cell>
          <cell r="R130">
            <v>93484384970</v>
          </cell>
          <cell r="X130" t="str">
            <v>뉴클_차량용충전기_3포트헤드</v>
          </cell>
          <cell r="Y130" t="str">
            <v>시거잭충전기93484384970</v>
          </cell>
        </row>
        <row r="131">
          <cell r="H131">
            <v>93484384971</v>
          </cell>
          <cell r="I131">
            <v>64185547</v>
          </cell>
          <cell r="J131">
            <v>224</v>
          </cell>
          <cell r="K131">
            <v>86</v>
          </cell>
          <cell r="L131">
            <v>6900</v>
          </cell>
          <cell r="M131">
            <v>6900</v>
          </cell>
          <cell r="O131">
            <v>11900</v>
          </cell>
          <cell r="Q131">
            <v>6900</v>
          </cell>
          <cell r="R131">
            <v>93484384971</v>
          </cell>
          <cell r="V131">
            <v>7500</v>
          </cell>
          <cell r="W131" t="str">
            <v>https://smartstore.naver.com/psglobal1/products/12303997206</v>
          </cell>
          <cell r="X131" t="str">
            <v>뉴클_차량용충전기_3포트헤드</v>
          </cell>
          <cell r="Y131" t="str">
            <v>뉴클 PD 50W 3포트 차량용 충전기 화이트</v>
          </cell>
          <cell r="AB131" t="str">
            <v>coupang.com/vp/products/9036430179?itemId=26509795883&amp;vendorItemId=93484384971</v>
          </cell>
          <cell r="AC131">
            <v>2158.181818181818</v>
          </cell>
          <cell r="AD131">
            <v>215.81818181818181</v>
          </cell>
          <cell r="AE131">
            <v>2374</v>
          </cell>
          <cell r="AG131">
            <v>5363.6363636363631</v>
          </cell>
          <cell r="AH131">
            <v>536.36363636363694</v>
          </cell>
          <cell r="AI131">
            <v>5900</v>
          </cell>
          <cell r="AK131">
            <v>3205.454545454545</v>
          </cell>
        </row>
        <row r="132">
          <cell r="H132" t="str">
            <v>93484384971AD</v>
          </cell>
          <cell r="I132">
            <v>64185547</v>
          </cell>
          <cell r="R132" t="str">
            <v>93484384971AD</v>
          </cell>
          <cell r="X132" t="str">
            <v>뉴클_차량용충전기_3포트헤드</v>
          </cell>
          <cell r="Y132" t="str">
            <v>뉴클 PD 50W 3포트 차량용 충전기 화이트</v>
          </cell>
          <cell r="AB132">
            <v>-1</v>
          </cell>
          <cell r="AC132">
            <v>-3205.454545454545</v>
          </cell>
          <cell r="AG132">
            <v>2</v>
          </cell>
        </row>
        <row r="133">
          <cell r="H133" t="str">
            <v>93484384971S</v>
          </cell>
          <cell r="I133">
            <v>64185547</v>
          </cell>
          <cell r="R133" t="str">
            <v>93484384971S</v>
          </cell>
          <cell r="X133" t="str">
            <v>뉴클_차량용충전기_3포트헤드</v>
          </cell>
          <cell r="Y133" t="str">
            <v>11/13~11/18 차량용 충전기 화이트 2개</v>
          </cell>
          <cell r="AC133" t="str">
            <v>개당광고비→</v>
          </cell>
          <cell r="AG133">
            <v>4926.5</v>
          </cell>
          <cell r="AH133">
            <v>9853</v>
          </cell>
        </row>
        <row r="134">
          <cell r="H134">
            <v>93484384971</v>
          </cell>
          <cell r="I134">
            <v>64185547</v>
          </cell>
          <cell r="R134">
            <v>93484384971</v>
          </cell>
          <cell r="X134" t="str">
            <v>뉴클_차량용충전기_3포트헤드</v>
          </cell>
          <cell r="Y134" t="str">
            <v>시거잭충전기93484384971</v>
          </cell>
        </row>
        <row r="135">
          <cell r="H135">
            <v>93227164587</v>
          </cell>
          <cell r="I135">
            <v>63099218</v>
          </cell>
          <cell r="J135">
            <v>3</v>
          </cell>
          <cell r="K135">
            <v>150</v>
          </cell>
          <cell r="L135">
            <v>19800</v>
          </cell>
          <cell r="M135">
            <v>19800</v>
          </cell>
          <cell r="O135">
            <v>27900</v>
          </cell>
          <cell r="Q135">
            <v>19800</v>
          </cell>
          <cell r="R135">
            <v>93227164587</v>
          </cell>
          <cell r="V135">
            <v>19800</v>
          </cell>
          <cell r="W135" t="str">
            <v>https://smartstore.naver.com/psglobal1/products/12216739412</v>
          </cell>
          <cell r="X135" t="str">
            <v>뉴클 마이핏 맥세이프 보조배터리</v>
          </cell>
          <cell r="Y135" t="str">
            <v>뉴클 마이핏 카드수납 맥세이프 보조배터리+스티커</v>
          </cell>
          <cell r="AB135" t="str">
            <v>coupang.com/vp/products/8969081211?itemId=26248605354&amp;vendorItemId=93227164587</v>
          </cell>
          <cell r="AC135">
            <v>7319.9999999999991</v>
          </cell>
          <cell r="AD135">
            <v>732</v>
          </cell>
          <cell r="AE135">
            <v>8052</v>
          </cell>
          <cell r="AG135">
            <v>14545.454545454544</v>
          </cell>
          <cell r="AH135">
            <v>1454.5454545454559</v>
          </cell>
          <cell r="AI135">
            <v>16000</v>
          </cell>
          <cell r="AK135">
            <v>7225.454545454545</v>
          </cell>
        </row>
        <row r="136">
          <cell r="H136" t="str">
            <v>93227164587AD</v>
          </cell>
          <cell r="I136">
            <v>63099218</v>
          </cell>
          <cell r="R136" t="str">
            <v>93227164587AD</v>
          </cell>
          <cell r="X136" t="str">
            <v>뉴클 마이핏 맥세이프 보조배터리</v>
          </cell>
          <cell r="Y136" t="str">
            <v>뉴클 마이핏 카드수납 맥세이프 보조배터리+스티커</v>
          </cell>
          <cell r="AB136">
            <v>0</v>
          </cell>
          <cell r="AC136">
            <v>0</v>
          </cell>
          <cell r="AG136" t="str">
            <v>0</v>
          </cell>
        </row>
        <row r="137">
          <cell r="H137" t="str">
            <v>93227164587S</v>
          </cell>
          <cell r="I137">
            <v>63099218</v>
          </cell>
          <cell r="R137" t="str">
            <v>93227164587S</v>
          </cell>
          <cell r="X137" t="str">
            <v>뉴클 마이핏 맥세이프 보조배터리</v>
          </cell>
          <cell r="Y137" t="str">
            <v>뉴클 마이핏 카드수납 맥세이프 보조배터리+스티커</v>
          </cell>
          <cell r="AC137" t="str">
            <v>개당광고비→</v>
          </cell>
          <cell r="AG137" t="str">
            <v>광고X</v>
          </cell>
          <cell r="AH137" t="str">
            <v>광고X</v>
          </cell>
        </row>
        <row r="138">
          <cell r="H138">
            <v>93227164587</v>
          </cell>
          <cell r="I138">
            <v>63099218</v>
          </cell>
          <cell r="R138">
            <v>93227164587</v>
          </cell>
          <cell r="X138" t="str">
            <v>뉴클 마이핏 맥세이프 보조배터리</v>
          </cell>
          <cell r="Y138" t="str">
            <v>맥세이프보조배터리93227164587</v>
          </cell>
        </row>
        <row r="139">
          <cell r="H139">
            <v>93993071597</v>
          </cell>
          <cell r="I139">
            <v>66581364</v>
          </cell>
          <cell r="J139">
            <v>-983</v>
          </cell>
          <cell r="K139" t="str">
            <v>-</v>
          </cell>
          <cell r="L139">
            <v>17900</v>
          </cell>
          <cell r="M139">
            <v>17900</v>
          </cell>
          <cell r="N139">
            <v>0</v>
          </cell>
          <cell r="O139">
            <v>23900</v>
          </cell>
          <cell r="Q139">
            <v>0</v>
          </cell>
          <cell r="R139">
            <v>93993071597</v>
          </cell>
          <cell r="V139">
            <v>18000</v>
          </cell>
          <cell r="W139" t="str">
            <v>https://smartstore.naver.com/sskoreatrade/products/12320609325</v>
          </cell>
          <cell r="X139" t="str">
            <v>뉴클 에어볼트 보조배터리 10000</v>
          </cell>
          <cell r="Y139" t="str">
            <v>뉴클 에어볼트 보조배터리 10000mAh 화이트</v>
          </cell>
          <cell r="AB139" t="str">
            <v>coupang.com/vp/products/9170131635?itemId=27024491025&amp;vendorItemId=93993071597</v>
          </cell>
          <cell r="AC139">
            <v>4627.272727272727</v>
          </cell>
          <cell r="AD139">
            <v>462.72727272727275</v>
          </cell>
          <cell r="AE139">
            <v>5090</v>
          </cell>
          <cell r="AG139">
            <v>13181.81818181818</v>
          </cell>
          <cell r="AH139">
            <v>1318.1818181818198</v>
          </cell>
          <cell r="AI139">
            <v>14500</v>
          </cell>
          <cell r="AK139">
            <v>8554.5454545454522</v>
          </cell>
        </row>
        <row r="140">
          <cell r="H140" t="str">
            <v>93993071597AD</v>
          </cell>
          <cell r="I140">
            <v>66581364</v>
          </cell>
          <cell r="R140" t="str">
            <v>93993071597AD</v>
          </cell>
          <cell r="V140" t="str">
            <v>쿠폰8000원예정 12/16</v>
          </cell>
          <cell r="X140" t="str">
            <v>뉴클 에어볼트 보조배터리 10000</v>
          </cell>
          <cell r="Y140" t="str">
            <v>뉴클 에어볼트 보조배터리 10000mAh 화이트</v>
          </cell>
          <cell r="AB140">
            <v>0</v>
          </cell>
          <cell r="AC140">
            <v>0</v>
          </cell>
          <cell r="AG140">
            <v>4</v>
          </cell>
        </row>
        <row r="141">
          <cell r="H141" t="str">
            <v>93993071597S</v>
          </cell>
          <cell r="I141">
            <v>66581364</v>
          </cell>
          <cell r="R141" t="str">
            <v>93993071597S</v>
          </cell>
          <cell r="V141">
            <v>9900</v>
          </cell>
          <cell r="X141" t="str">
            <v>뉴클 에어볼트 보조배터리 10000</v>
          </cell>
          <cell r="Y141" t="str">
            <v>뉴클 에어볼트 보조배터리 10000mAh 화이트</v>
          </cell>
          <cell r="AC141" t="str">
            <v>개당광고비→</v>
          </cell>
          <cell r="AG141">
            <v>7025.75</v>
          </cell>
          <cell r="AH141">
            <v>28103</v>
          </cell>
        </row>
        <row r="142">
          <cell r="H142">
            <v>93993071597</v>
          </cell>
          <cell r="I142">
            <v>66581364</v>
          </cell>
          <cell r="R142">
            <v>93993071597</v>
          </cell>
          <cell r="X142" t="str">
            <v>뉴클 에어볼트 보조배터리 10000</v>
          </cell>
          <cell r="Y142" t="str">
            <v>보조배터리1000093993071597</v>
          </cell>
        </row>
        <row r="143">
          <cell r="H143">
            <v>93993071598</v>
          </cell>
          <cell r="I143">
            <v>66581365</v>
          </cell>
          <cell r="J143">
            <v>1093</v>
          </cell>
          <cell r="K143" t="str">
            <v>-</v>
          </cell>
          <cell r="L143">
            <v>23900</v>
          </cell>
          <cell r="M143">
            <v>23900</v>
          </cell>
          <cell r="N143">
            <v>0</v>
          </cell>
          <cell r="O143">
            <v>31900</v>
          </cell>
          <cell r="Q143">
            <v>0</v>
          </cell>
          <cell r="R143">
            <v>93993071598</v>
          </cell>
          <cell r="V143">
            <v>24000</v>
          </cell>
          <cell r="W143" t="str">
            <v>https://smartstore.naver.com/sskoreatrade/products/12320743273</v>
          </cell>
          <cell r="X143" t="str">
            <v>뉴클 에어볼트 보조배터리 20000</v>
          </cell>
          <cell r="Y143" t="str">
            <v>뉴클 에어볼트 보조배터리 20000mAh 화이트</v>
          </cell>
          <cell r="AB143" t="str">
            <v>coupang.com/vp/products/9170131636?itemId=27024491026&amp;vendorItemId=93993071598</v>
          </cell>
          <cell r="AC143">
            <v>6352.7272727272721</v>
          </cell>
          <cell r="AD143">
            <v>635.27272727272725</v>
          </cell>
          <cell r="AE143">
            <v>6988</v>
          </cell>
          <cell r="AG143">
            <v>17272.727272727272</v>
          </cell>
          <cell r="AH143">
            <v>1727.2727272727279</v>
          </cell>
          <cell r="AI143">
            <v>19000</v>
          </cell>
          <cell r="AK143">
            <v>10920</v>
          </cell>
        </row>
        <row r="144">
          <cell r="H144" t="str">
            <v>93993071598AD</v>
          </cell>
          <cell r="I144">
            <v>66581365</v>
          </cell>
          <cell r="R144" t="str">
            <v>93993071598AD</v>
          </cell>
          <cell r="V144" t="str">
            <v>쿠폰9000원예정 12/16</v>
          </cell>
          <cell r="X144" t="str">
            <v>뉴클 에어볼트 보조배터리 20000</v>
          </cell>
          <cell r="Y144" t="str">
            <v>뉴클 에어볼트 보조배터리 20000mAh 화이트</v>
          </cell>
          <cell r="AB144">
            <v>9</v>
          </cell>
          <cell r="AC144">
            <v>17280</v>
          </cell>
          <cell r="AG144">
            <v>15</v>
          </cell>
        </row>
        <row r="145">
          <cell r="H145" t="str">
            <v>93993071598S</v>
          </cell>
          <cell r="I145">
            <v>66581365</v>
          </cell>
          <cell r="R145" t="str">
            <v>93993071598S</v>
          </cell>
          <cell r="V145">
            <v>14900</v>
          </cell>
          <cell r="X145" t="str">
            <v>뉴클 에어볼트 보조배터리 20000</v>
          </cell>
          <cell r="Y145" t="str">
            <v>뉴클 에어볼트 보조배터리 20000mAh 화이트</v>
          </cell>
          <cell r="AC145" t="str">
            <v>개당광고비→</v>
          </cell>
          <cell r="AG145">
            <v>9228.3333333333339</v>
          </cell>
          <cell r="AH145">
            <v>138425</v>
          </cell>
        </row>
        <row r="146">
          <cell r="H146">
            <v>93993071598</v>
          </cell>
          <cell r="I146">
            <v>66581365</v>
          </cell>
          <cell r="R146">
            <v>93993071598</v>
          </cell>
          <cell r="X146" t="str">
            <v>뉴클 에어볼트 보조배터리 20000</v>
          </cell>
          <cell r="Y146" t="str">
            <v>보조배터리2000093993071598</v>
          </cell>
        </row>
        <row r="147">
          <cell r="H147">
            <v>93991231959</v>
          </cell>
          <cell r="I147">
            <v>66568645</v>
          </cell>
          <cell r="J147">
            <v>-314</v>
          </cell>
          <cell r="K147" t="str">
            <v>-</v>
          </cell>
          <cell r="L147">
            <v>16900</v>
          </cell>
          <cell r="M147">
            <v>16900</v>
          </cell>
          <cell r="N147">
            <v>0</v>
          </cell>
          <cell r="O147">
            <v>22900</v>
          </cell>
          <cell r="Q147">
            <v>0</v>
          </cell>
          <cell r="R147">
            <v>93991231959</v>
          </cell>
          <cell r="V147">
            <v>17000</v>
          </cell>
          <cell r="W147" t="str">
            <v>https://smartstore.naver.com/sskoreatrade/products/12645149417</v>
          </cell>
          <cell r="X147" t="str">
            <v>뉴클 슬림엣지 보조배터리 10000</v>
          </cell>
          <cell r="Y147" t="str">
            <v>뉴클 슬림엣지 보조배터리 10000mAh 화이트</v>
          </cell>
          <cell r="AB147" t="str">
            <v>coupang.com/vp/products/9169684648?itemId=27022629794&amp;vendorItemId=93991231959</v>
          </cell>
          <cell r="AC147">
            <v>3868.181818181818</v>
          </cell>
          <cell r="AD147">
            <v>386.81818181818181</v>
          </cell>
          <cell r="AE147">
            <v>4255</v>
          </cell>
          <cell r="AG147">
            <v>12272.727272727272</v>
          </cell>
          <cell r="AH147">
            <v>1227.2727272727279</v>
          </cell>
          <cell r="AI147">
            <v>13500</v>
          </cell>
          <cell r="AK147">
            <v>8404.545454545454</v>
          </cell>
        </row>
        <row r="148">
          <cell r="H148" t="str">
            <v>93991231959AD</v>
          </cell>
          <cell r="I148">
            <v>66568645</v>
          </cell>
          <cell r="R148" t="str">
            <v>93991231959AD</v>
          </cell>
          <cell r="V148" t="str">
            <v>쿠폰7000원예정 12/16</v>
          </cell>
          <cell r="X148" t="str">
            <v>뉴클 슬림엣지 보조배터리 10000</v>
          </cell>
          <cell r="Y148" t="str">
            <v>뉴클 슬림엣지 보조배터리 10000mAh 화이트</v>
          </cell>
          <cell r="AB148">
            <v>52</v>
          </cell>
          <cell r="AC148">
            <v>73036.363636363589</v>
          </cell>
          <cell r="AG148">
            <v>39</v>
          </cell>
        </row>
        <row r="149">
          <cell r="H149" t="str">
            <v>93991231959S</v>
          </cell>
          <cell r="I149">
            <v>66568645</v>
          </cell>
          <cell r="R149" t="str">
            <v>93991231959S</v>
          </cell>
          <cell r="V149">
            <v>9900</v>
          </cell>
          <cell r="X149" t="str">
            <v>뉴클 슬림엣지 보조배터리 10000</v>
          </cell>
          <cell r="Y149" t="str">
            <v>뉴클 슬림엣지 보조배터리 10000mAh 화이트</v>
          </cell>
          <cell r="AC149" t="str">
            <v>개당광고비→</v>
          </cell>
          <cell r="AG149">
            <v>4901.4358974358975</v>
          </cell>
          <cell r="AH149">
            <v>191156</v>
          </cell>
        </row>
        <row r="150">
          <cell r="H150">
            <v>93991231959</v>
          </cell>
          <cell r="I150">
            <v>66568645</v>
          </cell>
          <cell r="R150">
            <v>93991231959</v>
          </cell>
          <cell r="X150" t="str">
            <v>뉴클 슬림엣지 보조배터리 10000</v>
          </cell>
          <cell r="Y150" t="str">
            <v>보조배터리1000093991231959</v>
          </cell>
        </row>
        <row r="151">
          <cell r="H151">
            <v>92899729512</v>
          </cell>
          <cell r="I151">
            <v>61784335</v>
          </cell>
          <cell r="J151">
            <v>1</v>
          </cell>
          <cell r="K151">
            <v>542</v>
          </cell>
          <cell r="L151">
            <v>15880</v>
          </cell>
          <cell r="M151">
            <v>15880</v>
          </cell>
          <cell r="O151">
            <v>25900</v>
          </cell>
          <cell r="Q151">
            <v>14900</v>
          </cell>
          <cell r="R151">
            <v>92899729512</v>
          </cell>
          <cell r="V151">
            <v>14900</v>
          </cell>
          <cell r="W151" t="str">
            <v>https://smartstore.naver.com/psglobal1/products/11993913068</v>
          </cell>
          <cell r="X151" t="str">
            <v>뉴클 젤리파워_맥세이프</v>
          </cell>
          <cell r="Y151" t="str">
            <v>뉴클 맥세이프 젤리파워 퍼플</v>
          </cell>
          <cell r="AB151" t="str">
            <v>coupang.com/vp/products/8879795155?itemId=25914091445&amp;vendorItemId=92899729512</v>
          </cell>
          <cell r="AC151">
            <v>4970</v>
          </cell>
          <cell r="AD151">
            <v>497</v>
          </cell>
          <cell r="AE151">
            <v>5467</v>
          </cell>
          <cell r="AG151">
            <v>10909.090909090908</v>
          </cell>
          <cell r="AH151">
            <v>1090.9090909090919</v>
          </cell>
          <cell r="AI151">
            <v>12000</v>
          </cell>
          <cell r="AK151">
            <v>5939.0909090909081</v>
          </cell>
        </row>
        <row r="152">
          <cell r="H152" t="str">
            <v>92899729512AD</v>
          </cell>
          <cell r="I152">
            <v>61784335</v>
          </cell>
          <cell r="R152" t="str">
            <v>92899729512AD</v>
          </cell>
          <cell r="X152" t="str">
            <v>뉴클 젤리파워_맥세이프</v>
          </cell>
          <cell r="Y152" t="str">
            <v>뉴클 맥세이프 젤리파워 퍼플</v>
          </cell>
          <cell r="AB152">
            <v>0</v>
          </cell>
          <cell r="AC152">
            <v>0</v>
          </cell>
          <cell r="AG152" t="str">
            <v>0</v>
          </cell>
        </row>
        <row r="153">
          <cell r="H153" t="str">
            <v>92899729512S</v>
          </cell>
          <cell r="I153">
            <v>61784335</v>
          </cell>
          <cell r="R153" t="str">
            <v>92899729512S</v>
          </cell>
          <cell r="X153" t="str">
            <v>뉴클 젤리파워_맥세이프</v>
          </cell>
          <cell r="Y153" t="str">
            <v>뉴클 맥세이프 젤리파워 퍼플</v>
          </cell>
          <cell r="AC153" t="str">
            <v>개당광고비→</v>
          </cell>
          <cell r="AG153" t="str">
            <v>광고X</v>
          </cell>
          <cell r="AH153" t="str">
            <v>광고X</v>
          </cell>
        </row>
        <row r="154">
          <cell r="H154">
            <v>92899729512</v>
          </cell>
          <cell r="I154">
            <v>61784335</v>
          </cell>
          <cell r="R154">
            <v>92899729512</v>
          </cell>
          <cell r="X154" t="str">
            <v>뉴클 젤리파워_맥세이프</v>
          </cell>
          <cell r="Y154" t="str">
            <v>맥세이프보조배터리92899729512</v>
          </cell>
        </row>
        <row r="155">
          <cell r="H155">
            <v>92899729498</v>
          </cell>
          <cell r="I155">
            <v>61784334</v>
          </cell>
          <cell r="J155">
            <v>1</v>
          </cell>
          <cell r="K155">
            <v>542</v>
          </cell>
          <cell r="L155">
            <v>15880</v>
          </cell>
          <cell r="M155">
            <v>15880</v>
          </cell>
          <cell r="O155">
            <v>25900</v>
          </cell>
          <cell r="Q155">
            <v>14900</v>
          </cell>
          <cell r="R155">
            <v>92899729498</v>
          </cell>
          <cell r="V155">
            <v>14900</v>
          </cell>
          <cell r="W155" t="str">
            <v>https://smartstore.naver.com/psglobal1/products/11993913068</v>
          </cell>
          <cell r="X155" t="str">
            <v>뉴클 젤리파워_맥세이프</v>
          </cell>
          <cell r="Y155" t="str">
            <v>뉴클 맥세이프 젤리파워 핑크</v>
          </cell>
          <cell r="AA155" t="str">
            <v>https://smartstore.naver.com/psglobal1/products/11993913068</v>
          </cell>
          <cell r="AB155" t="str">
            <v>coupang.com/vp/products/8879795155?itemId=25914091443&amp;vendorItemId=92899729498</v>
          </cell>
          <cell r="AC155">
            <v>4970</v>
          </cell>
          <cell r="AD155">
            <v>497</v>
          </cell>
          <cell r="AE155">
            <v>5467</v>
          </cell>
          <cell r="AG155">
            <v>10909.090909090908</v>
          </cell>
          <cell r="AH155">
            <v>1090.9090909090919</v>
          </cell>
          <cell r="AI155">
            <v>12000</v>
          </cell>
          <cell r="AK155">
            <v>5939.0909090909081</v>
          </cell>
        </row>
        <row r="156">
          <cell r="H156" t="str">
            <v>92899729498AD</v>
          </cell>
          <cell r="I156">
            <v>61784334</v>
          </cell>
          <cell r="R156" t="str">
            <v>92899729498AD</v>
          </cell>
          <cell r="X156" t="str">
            <v>뉴클 젤리파워_맥세이프</v>
          </cell>
          <cell r="Y156" t="str">
            <v>뉴클 맥세이프 젤리파워 핑크</v>
          </cell>
          <cell r="AB156">
            <v>0</v>
          </cell>
          <cell r="AC156">
            <v>0</v>
          </cell>
          <cell r="AG156" t="str">
            <v>0</v>
          </cell>
        </row>
        <row r="157">
          <cell r="H157" t="str">
            <v>92899729498S</v>
          </cell>
          <cell r="I157">
            <v>61784334</v>
          </cell>
          <cell r="R157" t="str">
            <v>92899729498S</v>
          </cell>
          <cell r="X157" t="str">
            <v>뉴클 젤리파워_맥세이프</v>
          </cell>
          <cell r="Y157" t="str">
            <v>뉴클 맥세이프 젤리파워 핑크</v>
          </cell>
          <cell r="AC157" t="str">
            <v>개당광고비→</v>
          </cell>
          <cell r="AG157" t="str">
            <v>광고X</v>
          </cell>
          <cell r="AH157" t="str">
            <v>광고X</v>
          </cell>
        </row>
        <row r="158">
          <cell r="H158">
            <v>92899729498</v>
          </cell>
          <cell r="I158">
            <v>61784334</v>
          </cell>
          <cell r="R158">
            <v>92899729498</v>
          </cell>
          <cell r="X158" t="str">
            <v>뉴클 젤리파워_맥세이프</v>
          </cell>
          <cell r="Y158" t="str">
            <v>맥세이프보조배터리92899729498</v>
          </cell>
        </row>
        <row r="159">
          <cell r="H159">
            <v>92899729486</v>
          </cell>
          <cell r="I159">
            <v>61784333</v>
          </cell>
          <cell r="J159">
            <v>2</v>
          </cell>
          <cell r="K159">
            <v>542</v>
          </cell>
          <cell r="L159">
            <v>15880</v>
          </cell>
          <cell r="M159">
            <v>15880</v>
          </cell>
          <cell r="O159">
            <v>25900</v>
          </cell>
          <cell r="Q159">
            <v>14900</v>
          </cell>
          <cell r="R159">
            <v>92899729486</v>
          </cell>
          <cell r="V159">
            <v>14900</v>
          </cell>
          <cell r="W159" t="str">
            <v>https://smartstore.naver.com/psglobal1/products/11993913068</v>
          </cell>
          <cell r="X159" t="str">
            <v>뉴클 젤리파워_맥세이프</v>
          </cell>
          <cell r="Y159" t="str">
            <v>뉴클 맥세이프 젤리파워 화이트</v>
          </cell>
          <cell r="AA159" t="str">
            <v>https://smartstore.naver.com/psglobal1/products/11993913068</v>
          </cell>
          <cell r="AB159" t="str">
            <v>coupang.com/vp/products/8879795155?itemId=25914091442&amp;vendorItemId=92899729486</v>
          </cell>
          <cell r="AC159">
            <v>4970</v>
          </cell>
          <cell r="AD159">
            <v>497</v>
          </cell>
          <cell r="AE159">
            <v>5467</v>
          </cell>
          <cell r="AG159">
            <v>10909.090909090908</v>
          </cell>
          <cell r="AH159">
            <v>1090.9090909090919</v>
          </cell>
          <cell r="AI159">
            <v>12000</v>
          </cell>
          <cell r="AK159">
            <v>5939.0909090909081</v>
          </cell>
        </row>
        <row r="160">
          <cell r="H160" t="str">
            <v>92899729486AD</v>
          </cell>
          <cell r="I160">
            <v>61784333</v>
          </cell>
          <cell r="R160" t="str">
            <v>92899729486AD</v>
          </cell>
          <cell r="X160" t="str">
            <v>뉴클 젤리파워_맥세이프</v>
          </cell>
          <cell r="Y160" t="str">
            <v>뉴클 맥세이프 젤리파워 화이트</v>
          </cell>
          <cell r="AB160">
            <v>2</v>
          </cell>
          <cell r="AC160">
            <v>9878.1818181818162</v>
          </cell>
          <cell r="AG160" t="str">
            <v>0</v>
          </cell>
        </row>
        <row r="161">
          <cell r="H161" t="str">
            <v>92899729486S</v>
          </cell>
          <cell r="I161">
            <v>61784333</v>
          </cell>
          <cell r="R161" t="str">
            <v>92899729486S</v>
          </cell>
          <cell r="X161" t="str">
            <v>뉴클 젤리파워_맥세이프</v>
          </cell>
          <cell r="Y161" t="str">
            <v>뉴클 맥세이프 젤리파워 화이트</v>
          </cell>
          <cell r="AC161" t="str">
            <v>개당광고비→</v>
          </cell>
          <cell r="AG161" t="str">
            <v>광고X</v>
          </cell>
          <cell r="AH161" t="str">
            <v>광고X</v>
          </cell>
        </row>
        <row r="162">
          <cell r="H162">
            <v>92899729486</v>
          </cell>
          <cell r="I162">
            <v>61784333</v>
          </cell>
          <cell r="R162">
            <v>92899729486</v>
          </cell>
          <cell r="X162" t="str">
            <v>뉴클 젤리파워_맥세이프</v>
          </cell>
          <cell r="Y162" t="str">
            <v>맥세이프보조배터리92899729486</v>
          </cell>
        </row>
        <row r="163">
          <cell r="H163">
            <v>92678130433</v>
          </cell>
          <cell r="I163">
            <v>60902652</v>
          </cell>
          <cell r="J163">
            <v>119</v>
          </cell>
          <cell r="K163">
            <v>211</v>
          </cell>
          <cell r="L163">
            <v>12900</v>
          </cell>
          <cell r="M163">
            <v>12900</v>
          </cell>
          <cell r="O163">
            <v>16900</v>
          </cell>
          <cell r="Q163">
            <v>12760</v>
          </cell>
          <cell r="R163">
            <v>92678130433</v>
          </cell>
          <cell r="V163">
            <v>12900</v>
          </cell>
          <cell r="W163" t="str">
            <v>https://smartstore.naver.com/psglobal1/products/11915724658</v>
          </cell>
          <cell r="X163" t="str">
            <v>뉴클 선풍기</v>
          </cell>
          <cell r="Y163" t="str">
            <v>뉴클 휴대용선풍기 블랙</v>
          </cell>
          <cell r="AA163" t="str">
            <v>https://store.kakao.com/nucle/products/554221920</v>
          </cell>
          <cell r="AB163" t="str">
            <v>coupang.com/vp/products/8816125561?itemId=25688884234&amp;vendorItemId=92678130433</v>
          </cell>
          <cell r="AC163">
            <v>1955.4545454545453</v>
          </cell>
          <cell r="AD163">
            <v>195.54545454545453</v>
          </cell>
          <cell r="AE163">
            <v>2151</v>
          </cell>
          <cell r="AG163">
            <v>9218.181818181818</v>
          </cell>
          <cell r="AH163">
            <v>921.81818181818198</v>
          </cell>
          <cell r="AI163">
            <v>10140</v>
          </cell>
          <cell r="AK163">
            <v>7262.727272727273</v>
          </cell>
        </row>
        <row r="164">
          <cell r="H164" t="str">
            <v>92678130433AD</v>
          </cell>
          <cell r="I164">
            <v>60902652</v>
          </cell>
          <cell r="R164" t="str">
            <v>92678130433AD</v>
          </cell>
          <cell r="X164" t="str">
            <v>뉴클 선풍기</v>
          </cell>
          <cell r="Y164" t="str">
            <v>뉴클 휴대용선풍기 블랙</v>
          </cell>
          <cell r="AB164">
            <v>0</v>
          </cell>
          <cell r="AC164">
            <v>0</v>
          </cell>
          <cell r="AG164" t="str">
            <v>0</v>
          </cell>
        </row>
        <row r="165">
          <cell r="H165" t="str">
            <v>92678130433S</v>
          </cell>
          <cell r="I165">
            <v>60902652</v>
          </cell>
          <cell r="R165" t="str">
            <v>92678130433S</v>
          </cell>
          <cell r="X165" t="str">
            <v>뉴클 선풍기</v>
          </cell>
          <cell r="Y165" t="str">
            <v>뉴클 휴대용선풍기 블랙</v>
          </cell>
          <cell r="AC165" t="str">
            <v>개당광고비→</v>
          </cell>
          <cell r="AG165" t="str">
            <v>광고X</v>
          </cell>
          <cell r="AH165" t="str">
            <v>광고X</v>
          </cell>
        </row>
        <row r="166">
          <cell r="H166">
            <v>92678130433</v>
          </cell>
          <cell r="I166">
            <v>60902652</v>
          </cell>
          <cell r="R166">
            <v>92678130433</v>
          </cell>
          <cell r="X166" t="str">
            <v>뉴클 선풍기</v>
          </cell>
          <cell r="Y166" t="str">
            <v>휴대용선풍기92678130433</v>
          </cell>
        </row>
        <row r="167">
          <cell r="H167">
            <v>92678130398</v>
          </cell>
          <cell r="I167">
            <v>60902650</v>
          </cell>
          <cell r="J167">
            <v>797</v>
          </cell>
          <cell r="K167">
            <v>211</v>
          </cell>
          <cell r="L167">
            <v>12900</v>
          </cell>
          <cell r="M167">
            <v>12900</v>
          </cell>
          <cell r="O167">
            <v>16900</v>
          </cell>
          <cell r="Q167">
            <v>12760</v>
          </cell>
          <cell r="R167">
            <v>92678130398</v>
          </cell>
          <cell r="V167">
            <v>12900</v>
          </cell>
          <cell r="W167" t="str">
            <v>https://smartstore.naver.com/psglobal1/products/11915724658</v>
          </cell>
          <cell r="X167" t="str">
            <v>뉴클 선풍기</v>
          </cell>
          <cell r="Y167" t="str">
            <v>뉴클 휴대용선풍기 퍼플</v>
          </cell>
          <cell r="AA167" t="str">
            <v>https://store.kakao.com/nucle/products/554221920</v>
          </cell>
          <cell r="AB167" t="str">
            <v>coupang.com/vp/products/8816125561?itemId=25688884231&amp;vendorItemId=92678130398</v>
          </cell>
          <cell r="AC167">
            <v>1955.4545454545453</v>
          </cell>
          <cell r="AD167">
            <v>195.54545454545453</v>
          </cell>
          <cell r="AE167">
            <v>2151</v>
          </cell>
          <cell r="AG167">
            <v>9218.181818181818</v>
          </cell>
          <cell r="AH167">
            <v>921.81818181818198</v>
          </cell>
          <cell r="AI167">
            <v>10140</v>
          </cell>
          <cell r="AK167">
            <v>7262.727272727273</v>
          </cell>
        </row>
        <row r="168">
          <cell r="H168" t="str">
            <v>92678130398AD</v>
          </cell>
          <cell r="I168">
            <v>60902650</v>
          </cell>
          <cell r="R168" t="str">
            <v>92678130398AD</v>
          </cell>
          <cell r="X168" t="str">
            <v>뉴클 선풍기</v>
          </cell>
          <cell r="Y168" t="str">
            <v>뉴클 휴대용선풍기 퍼플</v>
          </cell>
          <cell r="AB168">
            <v>0</v>
          </cell>
          <cell r="AC168">
            <v>0</v>
          </cell>
          <cell r="AG168" t="str">
            <v>0</v>
          </cell>
        </row>
        <row r="169">
          <cell r="H169" t="str">
            <v>92678130398S</v>
          </cell>
          <cell r="I169">
            <v>60902650</v>
          </cell>
          <cell r="R169" t="str">
            <v>92678130398S</v>
          </cell>
          <cell r="X169" t="str">
            <v>뉴클 선풍기</v>
          </cell>
          <cell r="Y169" t="str">
            <v>뉴클 휴대용선풍기 퍼플</v>
          </cell>
          <cell r="AC169" t="str">
            <v>개당광고비→</v>
          </cell>
          <cell r="AG169" t="str">
            <v>광고X</v>
          </cell>
          <cell r="AH169" t="str">
            <v>광고X</v>
          </cell>
        </row>
        <row r="170">
          <cell r="H170">
            <v>92678130398</v>
          </cell>
          <cell r="I170">
            <v>60902650</v>
          </cell>
          <cell r="R170">
            <v>92678130398</v>
          </cell>
          <cell r="X170" t="str">
            <v>뉴클 선풍기</v>
          </cell>
          <cell r="Y170" t="str">
            <v>휴대용선풍기92678130398</v>
          </cell>
        </row>
        <row r="171">
          <cell r="H171">
            <v>92678130416</v>
          </cell>
          <cell r="I171">
            <v>60902651</v>
          </cell>
          <cell r="J171">
            <v>204</v>
          </cell>
          <cell r="K171">
            <v>211</v>
          </cell>
          <cell r="L171">
            <v>12900</v>
          </cell>
          <cell r="M171">
            <v>12900</v>
          </cell>
          <cell r="O171">
            <v>16900</v>
          </cell>
          <cell r="Q171">
            <v>12760</v>
          </cell>
          <cell r="R171">
            <v>92678130416</v>
          </cell>
          <cell r="V171">
            <v>12900</v>
          </cell>
          <cell r="W171" t="str">
            <v>https://smartstore.naver.com/psglobal1/products/11915724658</v>
          </cell>
          <cell r="X171" t="str">
            <v>뉴클 선풍기</v>
          </cell>
          <cell r="Y171" t="str">
            <v>뉴클 휴대용선풍기 화이트</v>
          </cell>
          <cell r="AA171" t="str">
            <v>https://store.kakao.com/nucle/products/554221920</v>
          </cell>
          <cell r="AB171" t="str">
            <v>coupang.com/vp/products/8816125561?itemId=25688884233&amp;vendorItemId=92678130416</v>
          </cell>
          <cell r="AC171">
            <v>1955.4545454545453</v>
          </cell>
          <cell r="AD171">
            <v>195.54545454545453</v>
          </cell>
          <cell r="AE171">
            <v>2151</v>
          </cell>
          <cell r="AG171">
            <v>9218.181818181818</v>
          </cell>
          <cell r="AH171">
            <v>921.81818181818198</v>
          </cell>
          <cell r="AI171">
            <v>10140</v>
          </cell>
          <cell r="AK171">
            <v>7262.727272727273</v>
          </cell>
        </row>
        <row r="172">
          <cell r="H172" t="str">
            <v>92678130416AD</v>
          </cell>
          <cell r="I172">
            <v>60902651</v>
          </cell>
          <cell r="R172" t="str">
            <v>92678130416AD</v>
          </cell>
          <cell r="X172" t="str">
            <v>뉴클 선풍기</v>
          </cell>
          <cell r="Y172" t="str">
            <v>뉴클 휴대용선풍기 화이트</v>
          </cell>
          <cell r="AB172">
            <v>0</v>
          </cell>
          <cell r="AC172">
            <v>0</v>
          </cell>
          <cell r="AG172" t="str">
            <v>0</v>
          </cell>
        </row>
        <row r="173">
          <cell r="H173" t="str">
            <v>92678130416S</v>
          </cell>
          <cell r="I173">
            <v>60902651</v>
          </cell>
          <cell r="R173" t="str">
            <v>92678130416S</v>
          </cell>
          <cell r="X173" t="str">
            <v>뉴클 선풍기</v>
          </cell>
          <cell r="Y173" t="str">
            <v>뉴클 휴대용선풍기 화이트</v>
          </cell>
          <cell r="AC173" t="str">
            <v>개당광고비→</v>
          </cell>
          <cell r="AG173" t="str">
            <v>광고X</v>
          </cell>
          <cell r="AH173" t="str">
            <v>광고X</v>
          </cell>
        </row>
        <row r="174">
          <cell r="H174">
            <v>92678130416</v>
          </cell>
          <cell r="I174">
            <v>60902651</v>
          </cell>
          <cell r="R174">
            <v>92678130416</v>
          </cell>
          <cell r="X174" t="str">
            <v>뉴클 선풍기</v>
          </cell>
          <cell r="Y174" t="str">
            <v>휴대용선풍기92678130416</v>
          </cell>
        </row>
        <row r="175">
          <cell r="H175">
            <v>92678130381</v>
          </cell>
          <cell r="I175">
            <v>60902649</v>
          </cell>
          <cell r="J175">
            <v>1830</v>
          </cell>
          <cell r="K175">
            <v>211</v>
          </cell>
          <cell r="L175">
            <v>12900</v>
          </cell>
          <cell r="M175">
            <v>12900</v>
          </cell>
          <cell r="O175">
            <v>16900</v>
          </cell>
          <cell r="Q175">
            <v>12760</v>
          </cell>
          <cell r="R175">
            <v>92678130381</v>
          </cell>
          <cell r="V175">
            <v>12900</v>
          </cell>
          <cell r="W175" t="str">
            <v>https://smartstore.naver.com/psglobal1/products/11915724658</v>
          </cell>
          <cell r="X175" t="str">
            <v>뉴클 선풍기</v>
          </cell>
          <cell r="Y175" t="str">
            <v>뉴클 휴대용선풍기 핑크</v>
          </cell>
          <cell r="AA175" t="str">
            <v>https://store.kakao.com/nucle/products/554221920</v>
          </cell>
          <cell r="AB175" t="str">
            <v>coupang.com/vp/products/8816125561?itemId=25688884229&amp;vendorItemId=92678130381</v>
          </cell>
          <cell r="AC175">
            <v>1955.4545454545453</v>
          </cell>
          <cell r="AD175">
            <v>195.54545454545453</v>
          </cell>
          <cell r="AE175">
            <v>2151</v>
          </cell>
          <cell r="AG175">
            <v>9218.181818181818</v>
          </cell>
          <cell r="AH175">
            <v>921.81818181818198</v>
          </cell>
          <cell r="AI175">
            <v>10140</v>
          </cell>
          <cell r="AK175">
            <v>7262.727272727273</v>
          </cell>
        </row>
        <row r="176">
          <cell r="H176" t="str">
            <v>92678130381AD</v>
          </cell>
          <cell r="I176">
            <v>60902649</v>
          </cell>
          <cell r="R176" t="str">
            <v>92678130381AD</v>
          </cell>
          <cell r="X176" t="str">
            <v>뉴클 선풍기</v>
          </cell>
          <cell r="Y176" t="str">
            <v>뉴클 휴대용선풍기 핑크</v>
          </cell>
          <cell r="AB176">
            <v>0</v>
          </cell>
          <cell r="AC176">
            <v>0</v>
          </cell>
          <cell r="AG176" t="str">
            <v>0</v>
          </cell>
        </row>
        <row r="177">
          <cell r="H177" t="str">
            <v>92678130381S</v>
          </cell>
          <cell r="I177">
            <v>60902649</v>
          </cell>
          <cell r="R177" t="str">
            <v>92678130381S</v>
          </cell>
          <cell r="X177" t="str">
            <v>뉴클 선풍기</v>
          </cell>
          <cell r="Y177" t="str">
            <v>뉴클 휴대용선풍기 핑크</v>
          </cell>
          <cell r="AC177" t="str">
            <v>개당광고비→</v>
          </cell>
          <cell r="AG177" t="str">
            <v>광고X</v>
          </cell>
          <cell r="AH177" t="str">
            <v>광고X</v>
          </cell>
        </row>
        <row r="178">
          <cell r="H178">
            <v>92678130381</v>
          </cell>
          <cell r="I178">
            <v>60902649</v>
          </cell>
          <cell r="R178">
            <v>92678130381</v>
          </cell>
          <cell r="X178" t="str">
            <v>뉴클 선풍기</v>
          </cell>
          <cell r="Y178" t="str">
            <v>휴대용선풍기92678130381</v>
          </cell>
        </row>
        <row r="179">
          <cell r="H179">
            <v>92284671220</v>
          </cell>
          <cell r="I179">
            <v>58728442</v>
          </cell>
          <cell r="J179">
            <v>4508</v>
          </cell>
          <cell r="K179">
            <v>762</v>
          </cell>
          <cell r="L179">
            <v>9900</v>
          </cell>
          <cell r="M179">
            <v>9900</v>
          </cell>
          <cell r="O179">
            <v>23900</v>
          </cell>
          <cell r="P179">
            <v>59670</v>
          </cell>
          <cell r="Q179">
            <v>13700</v>
          </cell>
          <cell r="R179">
            <v>92284671220</v>
          </cell>
          <cell r="V179">
            <v>10400</v>
          </cell>
          <cell r="W179" t="str">
            <v>https://smartstore.naver.com/sskoreatrade/products/11702368366</v>
          </cell>
          <cell r="X179" t="str">
            <v>뉴클 링거치대</v>
          </cell>
          <cell r="Y179" t="str">
            <v>뉴클 맥세이프 마그네틱 링 거치대 블랙</v>
          </cell>
          <cell r="AA179" t="str">
            <v>https://store.kakao.com/nucle/products/528811390</v>
          </cell>
          <cell r="AB179" t="str">
            <v>coupang.com/vp/products/8708363985?itemId=25289214806&amp;vendorItemId=92284671220</v>
          </cell>
          <cell r="AC179">
            <v>3493.6363636363635</v>
          </cell>
          <cell r="AD179">
            <v>349.36363636363637</v>
          </cell>
          <cell r="AE179">
            <v>3843</v>
          </cell>
          <cell r="AG179">
            <v>7272.7272727272721</v>
          </cell>
          <cell r="AH179">
            <v>727.27272727272793</v>
          </cell>
          <cell r="AI179">
            <v>8000</v>
          </cell>
          <cell r="AK179">
            <v>3779.0909090909086</v>
          </cell>
        </row>
        <row r="180">
          <cell r="H180" t="str">
            <v>92284671220AD</v>
          </cell>
          <cell r="I180">
            <v>58728442</v>
          </cell>
          <cell r="R180" t="str">
            <v>92284671220AD</v>
          </cell>
          <cell r="X180" t="str">
            <v>뉴클 링거치대</v>
          </cell>
          <cell r="Y180" t="str">
            <v>뉴클 맥세이프 마그네틱 링 거치대 블랙</v>
          </cell>
          <cell r="AB180">
            <v>43</v>
          </cell>
          <cell r="AC180">
            <v>121098.05194805191</v>
          </cell>
          <cell r="AG180">
            <v>149</v>
          </cell>
        </row>
        <row r="181">
          <cell r="H181" t="str">
            <v>92284671220S</v>
          </cell>
          <cell r="I181">
            <v>58728442</v>
          </cell>
          <cell r="R181" t="str">
            <v>92284671220S</v>
          </cell>
          <cell r="X181" t="str">
            <v>뉴클 링거치대</v>
          </cell>
          <cell r="Y181" t="str">
            <v>뉴클 맥세이프 마그네틱 링 거치대 블랙</v>
          </cell>
          <cell r="AC181" t="str">
            <v>개당광고비→</v>
          </cell>
          <cell r="AG181">
            <v>2835.7718120805371</v>
          </cell>
          <cell r="AH181">
            <v>422530</v>
          </cell>
        </row>
        <row r="182">
          <cell r="H182">
            <v>92284671220</v>
          </cell>
          <cell r="I182">
            <v>58728442</v>
          </cell>
          <cell r="R182">
            <v>92284671220</v>
          </cell>
          <cell r="X182" t="str">
            <v>뉴클 링거치대</v>
          </cell>
          <cell r="Y182" t="str">
            <v>맥세이프거치대92284671220</v>
          </cell>
        </row>
        <row r="183">
          <cell r="H183">
            <v>92284671239</v>
          </cell>
          <cell r="I183">
            <v>58728444</v>
          </cell>
          <cell r="J183">
            <v>1179</v>
          </cell>
          <cell r="K183">
            <v>762</v>
          </cell>
          <cell r="L183">
            <v>9900</v>
          </cell>
          <cell r="M183">
            <v>9900</v>
          </cell>
          <cell r="O183">
            <v>23900</v>
          </cell>
          <cell r="P183">
            <v>59670</v>
          </cell>
          <cell r="Q183">
            <v>13700</v>
          </cell>
          <cell r="R183">
            <v>92284671239</v>
          </cell>
          <cell r="V183">
            <v>10400</v>
          </cell>
          <cell r="W183" t="str">
            <v>https://smartstore.naver.com/sskoreatrade/products/11702368366</v>
          </cell>
          <cell r="X183" t="str">
            <v>뉴클 링거치대</v>
          </cell>
          <cell r="Y183" t="str">
            <v>뉴클 맥세이프 마그네틱 링 거치대 화이트</v>
          </cell>
          <cell r="AA183" t="str">
            <v>https://store.kakao.com/nucle/products/528811390</v>
          </cell>
          <cell r="AB183" t="str">
            <v>coupang.com/vp/products/8708363985?itemId=25289214810&amp;vendorItemId=92284671239</v>
          </cell>
          <cell r="AC183">
            <v>3493.6363636363635</v>
          </cell>
          <cell r="AD183">
            <v>349.36363636363637</v>
          </cell>
          <cell r="AE183">
            <v>3843</v>
          </cell>
          <cell r="AG183">
            <v>7272.7272727272721</v>
          </cell>
          <cell r="AH183">
            <v>727.27272727272793</v>
          </cell>
          <cell r="AI183">
            <v>8000</v>
          </cell>
          <cell r="AK183">
            <v>3779.0909090909086</v>
          </cell>
        </row>
        <row r="184">
          <cell r="H184" t="str">
            <v>92284671239AD</v>
          </cell>
          <cell r="I184">
            <v>58728444</v>
          </cell>
          <cell r="R184" t="str">
            <v>92284671239AD</v>
          </cell>
          <cell r="X184" t="str">
            <v>뉴클 링거치대</v>
          </cell>
          <cell r="Y184" t="str">
            <v>뉴클 맥세이프 마그네틱 링 거치대 화이트</v>
          </cell>
          <cell r="AB184">
            <v>35</v>
          </cell>
          <cell r="AC184">
            <v>98568.181818181794</v>
          </cell>
          <cell r="AG184" t="str">
            <v>0</v>
          </cell>
        </row>
        <row r="185">
          <cell r="H185" t="str">
            <v>92284671239S</v>
          </cell>
          <cell r="I185">
            <v>58728444</v>
          </cell>
          <cell r="R185" t="str">
            <v>92284671239S</v>
          </cell>
          <cell r="X185" t="str">
            <v>뉴클 링거치대</v>
          </cell>
          <cell r="Y185" t="str">
            <v>뉴클 맥세이프 마그네틱 링 거치대 화이트</v>
          </cell>
          <cell r="AC185" t="str">
            <v>개당광고비→</v>
          </cell>
          <cell r="AG185" t="str">
            <v>광고X</v>
          </cell>
          <cell r="AH185" t="str">
            <v>광고X</v>
          </cell>
        </row>
        <row r="186">
          <cell r="H186">
            <v>92284671239</v>
          </cell>
          <cell r="I186">
            <v>58728444</v>
          </cell>
          <cell r="R186">
            <v>92284671239</v>
          </cell>
          <cell r="X186" t="str">
            <v>뉴클 링거치대</v>
          </cell>
          <cell r="Y186" t="str">
            <v>맥세이프거치대92284671239</v>
          </cell>
        </row>
        <row r="187">
          <cell r="H187">
            <v>92284671207</v>
          </cell>
          <cell r="I187">
            <v>58728441</v>
          </cell>
          <cell r="J187">
            <v>1798</v>
          </cell>
          <cell r="K187">
            <v>762</v>
          </cell>
          <cell r="L187">
            <v>9900</v>
          </cell>
          <cell r="M187">
            <v>9900</v>
          </cell>
          <cell r="O187">
            <v>23900</v>
          </cell>
          <cell r="P187">
            <v>59670</v>
          </cell>
          <cell r="Q187">
            <v>13700</v>
          </cell>
          <cell r="R187">
            <v>92284671207</v>
          </cell>
          <cell r="V187">
            <v>10400</v>
          </cell>
          <cell r="W187" t="str">
            <v>https://smartstore.naver.com/sskoreatrade/products/11702368366</v>
          </cell>
          <cell r="X187" t="str">
            <v>뉴클 링거치대</v>
          </cell>
          <cell r="Y187" t="str">
            <v>뉴클 맥세이프 마그네틱 링 거치대 네이비</v>
          </cell>
          <cell r="AA187" t="str">
            <v>https://store.kakao.com/nucle/products/528811390</v>
          </cell>
          <cell r="AB187" t="str">
            <v>coupang.com/vp/products/8708363985?itemId=25289214804&amp;vendorItemId=92284671207</v>
          </cell>
          <cell r="AC187">
            <v>3493.6363636363635</v>
          </cell>
          <cell r="AD187">
            <v>349.36363636363637</v>
          </cell>
          <cell r="AE187">
            <v>3843</v>
          </cell>
          <cell r="AG187">
            <v>7272.7272727272721</v>
          </cell>
          <cell r="AH187">
            <v>727.27272727272793</v>
          </cell>
          <cell r="AI187">
            <v>8000</v>
          </cell>
          <cell r="AK187">
            <v>3779.0909090909086</v>
          </cell>
        </row>
        <row r="188">
          <cell r="H188" t="str">
            <v>92284671207AD</v>
          </cell>
          <cell r="I188">
            <v>58728441</v>
          </cell>
          <cell r="R188" t="str">
            <v>92284671207AD</v>
          </cell>
          <cell r="X188" t="str">
            <v>뉴클 링거치대</v>
          </cell>
          <cell r="Y188" t="str">
            <v>뉴클 맥세이프 마그네틱 링 거치대 네이비</v>
          </cell>
          <cell r="AB188">
            <v>16</v>
          </cell>
          <cell r="AC188">
            <v>45059.740259740254</v>
          </cell>
          <cell r="AG188" t="str">
            <v>0</v>
          </cell>
        </row>
        <row r="189">
          <cell r="H189" t="str">
            <v>92284671207S</v>
          </cell>
          <cell r="I189">
            <v>58728441</v>
          </cell>
          <cell r="R189" t="str">
            <v>92284671207S</v>
          </cell>
          <cell r="X189" t="str">
            <v>뉴클 링거치대</v>
          </cell>
          <cell r="Y189" t="str">
            <v>뉴클 맥세이프 마그네틱 링 거치대 네이비</v>
          </cell>
          <cell r="AC189" t="str">
            <v>개당광고비→</v>
          </cell>
          <cell r="AG189" t="str">
            <v>광고X</v>
          </cell>
          <cell r="AH189" t="str">
            <v>광고X</v>
          </cell>
        </row>
        <row r="190">
          <cell r="H190">
            <v>92284671207</v>
          </cell>
          <cell r="I190">
            <v>58728441</v>
          </cell>
          <cell r="R190">
            <v>92284671207</v>
          </cell>
          <cell r="X190" t="str">
            <v>뉴클 링거치대</v>
          </cell>
          <cell r="Y190" t="str">
            <v>맥세이프거치대92284671207</v>
          </cell>
        </row>
        <row r="191">
          <cell r="H191">
            <v>92284671229</v>
          </cell>
          <cell r="I191">
            <v>58728443</v>
          </cell>
          <cell r="J191">
            <v>248</v>
          </cell>
          <cell r="K191">
            <v>762</v>
          </cell>
          <cell r="L191">
            <v>9900</v>
          </cell>
          <cell r="M191">
            <v>9900</v>
          </cell>
          <cell r="O191">
            <v>23900</v>
          </cell>
          <cell r="P191">
            <v>59670</v>
          </cell>
          <cell r="Q191">
            <v>13700</v>
          </cell>
          <cell r="R191">
            <v>92284671229</v>
          </cell>
          <cell r="V191">
            <v>10400</v>
          </cell>
          <cell r="W191" t="str">
            <v>https://smartstore.naver.com/sskoreatrade/products/11702368366</v>
          </cell>
          <cell r="X191" t="str">
            <v>뉴클 링거치대</v>
          </cell>
          <cell r="Y191" t="str">
            <v>뉴클 맥세이프 마그네틱 링 거치대 퍼플</v>
          </cell>
          <cell r="AA191" t="str">
            <v>https://store.kakao.com/nucle/products/528811390</v>
          </cell>
          <cell r="AB191" t="str">
            <v>coupang.com/vp/products/8708363985?itemId=25289214808&amp;vendorItemId=92284671229</v>
          </cell>
          <cell r="AC191">
            <v>3493.6363636363635</v>
          </cell>
          <cell r="AD191">
            <v>349.36363636363637</v>
          </cell>
          <cell r="AE191">
            <v>3843</v>
          </cell>
          <cell r="AG191">
            <v>7272.7272727272721</v>
          </cell>
          <cell r="AH191">
            <v>727.27272727272793</v>
          </cell>
          <cell r="AI191">
            <v>8000</v>
          </cell>
          <cell r="AK191">
            <v>3779.0909090909086</v>
          </cell>
        </row>
        <row r="192">
          <cell r="H192" t="str">
            <v>92284671229AD</v>
          </cell>
          <cell r="I192">
            <v>58728443</v>
          </cell>
          <cell r="R192" t="str">
            <v>92284671229AD</v>
          </cell>
          <cell r="X192" t="str">
            <v>뉴클 링거치대</v>
          </cell>
          <cell r="Y192" t="str">
            <v>뉴클 맥세이프 마그네틱 링 거치대 퍼플</v>
          </cell>
          <cell r="AB192">
            <v>0</v>
          </cell>
          <cell r="AC192">
            <v>0</v>
          </cell>
          <cell r="AG192" t="str">
            <v>0</v>
          </cell>
        </row>
        <row r="193">
          <cell r="H193" t="str">
            <v>92284671229S</v>
          </cell>
          <cell r="I193">
            <v>58728443</v>
          </cell>
          <cell r="R193" t="str">
            <v>92284671229S</v>
          </cell>
          <cell r="X193" t="str">
            <v>뉴클 링거치대</v>
          </cell>
          <cell r="Y193" t="str">
            <v>뉴클 맥세이프 마그네틱 링 거치대 퍼플</v>
          </cell>
          <cell r="AC193" t="str">
            <v>개당광고비→</v>
          </cell>
          <cell r="AG193" t="str">
            <v>광고X</v>
          </cell>
          <cell r="AH193" t="str">
            <v>광고X</v>
          </cell>
        </row>
        <row r="194">
          <cell r="H194">
            <v>92284671229</v>
          </cell>
          <cell r="I194">
            <v>58728443</v>
          </cell>
          <cell r="R194">
            <v>92284671229</v>
          </cell>
          <cell r="X194" t="str">
            <v>뉴클 링거치대</v>
          </cell>
          <cell r="Y194" t="str">
            <v>맥세이프거치대92284671229</v>
          </cell>
        </row>
        <row r="195">
          <cell r="H195">
            <v>89626202953</v>
          </cell>
          <cell r="I195">
            <v>45303097</v>
          </cell>
          <cell r="J195">
            <v>1011</v>
          </cell>
          <cell r="K195">
            <v>893</v>
          </cell>
          <cell r="L195">
            <v>6900</v>
          </cell>
          <cell r="M195">
            <v>6900</v>
          </cell>
          <cell r="N195">
            <v>6900</v>
          </cell>
          <cell r="O195">
            <v>9800</v>
          </cell>
          <cell r="P195">
            <v>26340</v>
          </cell>
          <cell r="Q195">
            <v>6900</v>
          </cell>
          <cell r="R195">
            <v>89626202953</v>
          </cell>
          <cell r="S195" t="str">
            <v>윤혜주BM</v>
          </cell>
          <cell r="V195">
            <v>6900</v>
          </cell>
          <cell r="W195" t="str">
            <v>https://smartstore.naver.com/psglobal1/products/10306779898</v>
          </cell>
          <cell r="X195" t="str">
            <v>뉴클 도킹1</v>
          </cell>
          <cell r="Y195" t="str">
            <v>뉴클 도킹형 보조배터리 C+C 화이트</v>
          </cell>
          <cell r="AA195" t="str">
            <v>https://smartstore.naver.com/psglobal1/products/10285920964</v>
          </cell>
          <cell r="AB195" t="str">
            <v>coupang.com/vp/products/8051780714?itemId=22584449089&amp;vendorItemId=89626202953</v>
          </cell>
          <cell r="AC195">
            <v>2694.5454545454545</v>
          </cell>
          <cell r="AD195">
            <v>269.45454545454544</v>
          </cell>
          <cell r="AE195">
            <v>2964</v>
          </cell>
          <cell r="AG195">
            <v>5000</v>
          </cell>
          <cell r="AH195">
            <v>500</v>
          </cell>
          <cell r="AI195">
            <v>5500</v>
          </cell>
          <cell r="AK195">
            <v>2305.4545454545455</v>
          </cell>
        </row>
        <row r="196">
          <cell r="H196" t="str">
            <v>89626202953AD</v>
          </cell>
          <cell r="I196">
            <v>45303097</v>
          </cell>
          <cell r="R196" t="str">
            <v>89626202953AD</v>
          </cell>
          <cell r="S196" t="str">
            <v>hyejooisonly@coupang.com</v>
          </cell>
          <cell r="V196">
            <v>45777</v>
          </cell>
          <cell r="W196" t="str">
            <v>가격연동보류</v>
          </cell>
          <cell r="X196" t="str">
            <v>뉴클 도킹1</v>
          </cell>
          <cell r="Y196" t="str">
            <v>뉴클 도킹형 보조배터리 C+C 화이트</v>
          </cell>
          <cell r="AB196">
            <v>57</v>
          </cell>
          <cell r="AC196">
            <v>74410.909090909088</v>
          </cell>
          <cell r="AG196">
            <v>8</v>
          </cell>
        </row>
        <row r="197">
          <cell r="H197" t="str">
            <v>89626202953S</v>
          </cell>
          <cell r="I197">
            <v>45303097</v>
          </cell>
          <cell r="R197" t="str">
            <v>89626202953S</v>
          </cell>
          <cell r="V197" t="str">
            <v>6800 / 12월20일</v>
          </cell>
          <cell r="X197" t="str">
            <v>뉴클 도킹1</v>
          </cell>
          <cell r="Y197" t="str">
            <v>뉴클 도킹형 보조배터리 C+C 화이트</v>
          </cell>
          <cell r="AC197" t="str">
            <v>개당광고비→</v>
          </cell>
          <cell r="AG197">
            <v>1050</v>
          </cell>
          <cell r="AH197">
            <v>8400</v>
          </cell>
        </row>
        <row r="198">
          <cell r="H198">
            <v>89626202953</v>
          </cell>
          <cell r="I198">
            <v>45303097</v>
          </cell>
          <cell r="R198">
            <v>89626202953</v>
          </cell>
          <cell r="V198" t="str">
            <v>6800 / 12월20일</v>
          </cell>
          <cell r="X198" t="str">
            <v>뉴클 도킹1</v>
          </cell>
          <cell r="Y198" t="str">
            <v>도킹형보조배터리89626202953</v>
          </cell>
        </row>
        <row r="199">
          <cell r="H199">
            <v>86741299651</v>
          </cell>
          <cell r="I199">
            <v>37602842</v>
          </cell>
          <cell r="J199">
            <v>1757</v>
          </cell>
          <cell r="K199">
            <v>1331</v>
          </cell>
          <cell r="L199">
            <v>6900</v>
          </cell>
          <cell r="M199">
            <v>6900</v>
          </cell>
          <cell r="N199">
            <v>6900</v>
          </cell>
          <cell r="O199">
            <v>13900</v>
          </cell>
          <cell r="P199">
            <v>26100</v>
          </cell>
          <cell r="Q199">
            <v>6900</v>
          </cell>
          <cell r="R199">
            <v>86741299651</v>
          </cell>
          <cell r="S199" t="str">
            <v>윤혜주BM</v>
          </cell>
          <cell r="V199">
            <v>6900</v>
          </cell>
          <cell r="W199" t="str">
            <v>https://smartstore.naver.com/psglobal1/products/10285920964</v>
          </cell>
          <cell r="X199" t="str">
            <v>뉴클 도킹1</v>
          </cell>
          <cell r="Y199" t="str">
            <v>뉴클 도킹형 보조배터리 8핀 화이트</v>
          </cell>
          <cell r="AA199" t="str">
            <v>https://smartstore.naver.com/psglobal1/products/10285920964</v>
          </cell>
          <cell r="AB199" t="str">
            <v>coupang.com/vp/products/7500927168?itemId=19634960559&amp;vendorItemId=86741299651</v>
          </cell>
          <cell r="AC199">
            <v>2901.8181818181815</v>
          </cell>
          <cell r="AD199">
            <v>290.18181818181819</v>
          </cell>
          <cell r="AE199">
            <v>3192</v>
          </cell>
          <cell r="AG199">
            <v>5000</v>
          </cell>
          <cell r="AH199">
            <v>500</v>
          </cell>
          <cell r="AI199">
            <v>5500</v>
          </cell>
          <cell r="AK199">
            <v>2098.1818181818185</v>
          </cell>
        </row>
        <row r="200">
          <cell r="H200" t="str">
            <v>86741299651AD</v>
          </cell>
          <cell r="I200">
            <v>37602842</v>
          </cell>
          <cell r="R200" t="str">
            <v>86741299651AD</v>
          </cell>
          <cell r="S200" t="str">
            <v>hyejooisonly@coupang.com</v>
          </cell>
          <cell r="V200">
            <v>45777</v>
          </cell>
          <cell r="W200" t="str">
            <v>스피디쿠팡</v>
          </cell>
          <cell r="X200" t="str">
            <v>뉴클 도킹1</v>
          </cell>
          <cell r="Y200" t="str">
            <v>뉴클 도킹형 보조배터리 8핀 화이트</v>
          </cell>
          <cell r="AB200">
            <v>357</v>
          </cell>
          <cell r="AC200">
            <v>392050.90909090918</v>
          </cell>
          <cell r="AG200">
            <v>46</v>
          </cell>
        </row>
        <row r="201">
          <cell r="H201" t="str">
            <v>86741299651S</v>
          </cell>
          <cell r="I201">
            <v>37602842</v>
          </cell>
          <cell r="R201" t="str">
            <v>86741299651S</v>
          </cell>
          <cell r="V201" t="str">
            <v>7900 12월20일</v>
          </cell>
          <cell r="W201">
            <v>6970</v>
          </cell>
          <cell r="X201" t="str">
            <v>뉴클 도킹1</v>
          </cell>
          <cell r="Y201" t="str">
            <v>뉴클 도킹형 보조배터리 8핀 화이트</v>
          </cell>
          <cell r="AC201" t="str">
            <v>개당광고비→</v>
          </cell>
          <cell r="AG201">
            <v>1277.8695652173913</v>
          </cell>
          <cell r="AH201">
            <v>58782</v>
          </cell>
        </row>
        <row r="202">
          <cell r="H202">
            <v>86741299651</v>
          </cell>
          <cell r="I202">
            <v>37602842</v>
          </cell>
          <cell r="R202">
            <v>86741299651</v>
          </cell>
          <cell r="V202" t="str">
            <v>6900 10월10일</v>
          </cell>
          <cell r="X202" t="str">
            <v>뉴클 도킹1</v>
          </cell>
          <cell r="Y202" t="str">
            <v>도킹형보조배터리86741299651</v>
          </cell>
        </row>
        <row r="203">
          <cell r="H203">
            <v>86741299645</v>
          </cell>
          <cell r="I203">
            <v>37602840</v>
          </cell>
          <cell r="J203">
            <v>662</v>
          </cell>
          <cell r="K203">
            <v>1331</v>
          </cell>
          <cell r="L203">
            <v>6900</v>
          </cell>
          <cell r="M203">
            <v>6900</v>
          </cell>
          <cell r="N203">
            <v>6900</v>
          </cell>
          <cell r="O203">
            <v>13900</v>
          </cell>
          <cell r="P203">
            <v>26100</v>
          </cell>
          <cell r="Q203">
            <v>6900</v>
          </cell>
          <cell r="R203">
            <v>86741299645</v>
          </cell>
          <cell r="S203" t="str">
            <v>윤혜주BM</v>
          </cell>
          <cell r="V203">
            <v>6900</v>
          </cell>
          <cell r="W203" t="str">
            <v>https://smartstore.naver.com/psglobal1/products/10285920964</v>
          </cell>
          <cell r="X203" t="str">
            <v>뉴클 도킹1</v>
          </cell>
          <cell r="Y203" t="str">
            <v>뉴클 도킹형 보조배터리 8핀 블랙</v>
          </cell>
          <cell r="AA203" t="str">
            <v>https://smartstore.naver.com/psglobal1/products/10285920964</v>
          </cell>
          <cell r="AB203" t="str">
            <v>coupang.com/vp/products/7500927168?itemId=19634960552&amp;vendorItemId=86741299645</v>
          </cell>
          <cell r="AC203">
            <v>2901.8181818181815</v>
          </cell>
          <cell r="AD203">
            <v>290.18181818181819</v>
          </cell>
          <cell r="AE203">
            <v>3192</v>
          </cell>
          <cell r="AG203">
            <v>5000</v>
          </cell>
          <cell r="AH203">
            <v>500</v>
          </cell>
          <cell r="AI203">
            <v>5500</v>
          </cell>
          <cell r="AK203">
            <v>2098.1818181818185</v>
          </cell>
        </row>
        <row r="204">
          <cell r="H204" t="str">
            <v>86741299645AD</v>
          </cell>
          <cell r="I204">
            <v>37602840</v>
          </cell>
          <cell r="R204" t="str">
            <v>86741299645AD</v>
          </cell>
          <cell r="S204" t="str">
            <v>hyejooisonly@coupang.com</v>
          </cell>
          <cell r="X204" t="str">
            <v>뉴클 도킹1</v>
          </cell>
          <cell r="Y204" t="str">
            <v>뉴클 도킹형 보조배터리 8핀 블랙</v>
          </cell>
          <cell r="AB204">
            <v>101</v>
          </cell>
          <cell r="AC204">
            <v>110916.36363636368</v>
          </cell>
          <cell r="AG204">
            <v>7</v>
          </cell>
        </row>
        <row r="205">
          <cell r="H205" t="str">
            <v>86741299645S</v>
          </cell>
          <cell r="I205">
            <v>37602840</v>
          </cell>
          <cell r="R205" t="str">
            <v>86741299645S</v>
          </cell>
          <cell r="X205" t="str">
            <v>뉴클 도킹1</v>
          </cell>
          <cell r="Y205" t="str">
            <v>뉴클 도킹형 보조배터리 8핀 블랙</v>
          </cell>
          <cell r="AC205" t="str">
            <v>개당광고비→</v>
          </cell>
          <cell r="AG205">
            <v>1950.7142857142858</v>
          </cell>
          <cell r="AH205">
            <v>13655</v>
          </cell>
        </row>
        <row r="206">
          <cell r="H206">
            <v>86741299645</v>
          </cell>
          <cell r="I206">
            <v>37602840</v>
          </cell>
          <cell r="R206">
            <v>86741299645</v>
          </cell>
          <cell r="X206" t="str">
            <v>뉴클 도킹1</v>
          </cell>
          <cell r="Y206" t="str">
            <v>도킹형보조배터리86741299645</v>
          </cell>
        </row>
        <row r="207">
          <cell r="H207">
            <v>86741299656</v>
          </cell>
          <cell r="I207">
            <v>37602844</v>
          </cell>
          <cell r="J207">
            <v>831</v>
          </cell>
          <cell r="K207">
            <v>1331</v>
          </cell>
          <cell r="L207">
            <v>6900</v>
          </cell>
          <cell r="M207">
            <v>6900</v>
          </cell>
          <cell r="N207">
            <v>6900</v>
          </cell>
          <cell r="O207">
            <v>13900</v>
          </cell>
          <cell r="P207">
            <v>26100</v>
          </cell>
          <cell r="Q207">
            <v>6900</v>
          </cell>
          <cell r="R207">
            <v>86741299656</v>
          </cell>
          <cell r="S207" t="str">
            <v>윤혜주BM</v>
          </cell>
          <cell r="V207">
            <v>6900</v>
          </cell>
          <cell r="W207" t="str">
            <v>https://smartstore.naver.com/psglobal1/products/10285920964</v>
          </cell>
          <cell r="X207" t="str">
            <v>뉴클 도킹1</v>
          </cell>
          <cell r="Y207" t="str">
            <v>뉴클 도킹형 보조배터리 8핀 핑크</v>
          </cell>
          <cell r="AA207" t="str">
            <v>https://smartstore.naver.com/psglobal1/products/10285920964</v>
          </cell>
          <cell r="AB207" t="str">
            <v>coupang.com/vp/products/7500927168?itemId=19634960562&amp;vendorItemId=86741299656</v>
          </cell>
          <cell r="AC207">
            <v>2901.8181818181815</v>
          </cell>
          <cell r="AD207">
            <v>290.18181818181819</v>
          </cell>
          <cell r="AE207">
            <v>3192</v>
          </cell>
          <cell r="AG207">
            <v>5000</v>
          </cell>
          <cell r="AH207">
            <v>500</v>
          </cell>
          <cell r="AI207">
            <v>5500</v>
          </cell>
          <cell r="AK207">
            <v>2098.1818181818185</v>
          </cell>
        </row>
        <row r="208">
          <cell r="H208" t="str">
            <v>86741299656AD</v>
          </cell>
          <cell r="I208">
            <v>37602844</v>
          </cell>
          <cell r="R208" t="str">
            <v>86741299656AD</v>
          </cell>
          <cell r="S208" t="str">
            <v>hyejooisonly@coupang.com</v>
          </cell>
          <cell r="X208" t="str">
            <v>뉴클 도킹1</v>
          </cell>
          <cell r="Y208" t="str">
            <v>뉴클 도킹형 보조배터리 8핀 핑크</v>
          </cell>
          <cell r="AB208">
            <v>48</v>
          </cell>
          <cell r="AC208">
            <v>52712.727272727294</v>
          </cell>
          <cell r="AG208">
            <v>41</v>
          </cell>
        </row>
        <row r="209">
          <cell r="H209" t="str">
            <v>86741299656S</v>
          </cell>
          <cell r="I209">
            <v>37602844</v>
          </cell>
          <cell r="R209" t="str">
            <v>86741299656S</v>
          </cell>
          <cell r="X209" t="str">
            <v>뉴클 도킹1</v>
          </cell>
          <cell r="Y209" t="str">
            <v>뉴클 도킹형 보조배터리 8핀 핑크</v>
          </cell>
          <cell r="AC209" t="str">
            <v>개당광고비→</v>
          </cell>
          <cell r="AG209">
            <v>796.29268292682923</v>
          </cell>
          <cell r="AH209">
            <v>32648</v>
          </cell>
        </row>
        <row r="210">
          <cell r="H210">
            <v>86741299656</v>
          </cell>
          <cell r="I210">
            <v>37602844</v>
          </cell>
          <cell r="R210">
            <v>86741299656</v>
          </cell>
          <cell r="X210" t="str">
            <v>뉴클 도킹1</v>
          </cell>
          <cell r="Y210" t="str">
            <v>도킹형보조배터리86741299656</v>
          </cell>
        </row>
        <row r="211">
          <cell r="H211">
            <v>86741299637</v>
          </cell>
          <cell r="I211">
            <v>37602837</v>
          </cell>
          <cell r="J211">
            <v>221</v>
          </cell>
          <cell r="K211">
            <v>1331</v>
          </cell>
          <cell r="L211">
            <v>6900</v>
          </cell>
          <cell r="M211">
            <v>6900</v>
          </cell>
          <cell r="N211">
            <v>6900</v>
          </cell>
          <cell r="O211">
            <v>13900</v>
          </cell>
          <cell r="P211">
            <v>26100</v>
          </cell>
          <cell r="Q211">
            <v>6900</v>
          </cell>
          <cell r="R211">
            <v>86741299637</v>
          </cell>
          <cell r="S211" t="str">
            <v>윤혜주BM</v>
          </cell>
          <cell r="V211">
            <v>6900</v>
          </cell>
          <cell r="W211" t="str">
            <v>https://smartstore.naver.com/psglobal1/products/10285920964</v>
          </cell>
          <cell r="X211" t="str">
            <v>뉴클 도킹1</v>
          </cell>
          <cell r="Y211" t="str">
            <v>뉴클 도킹형 보조배터리 8핀 민트</v>
          </cell>
          <cell r="AA211" t="str">
            <v>https://smartstore.naver.com/psglobal1/products/10285920964</v>
          </cell>
          <cell r="AB211" t="str">
            <v>coupang.com/vp/products/7500927168?itemId=19634960550&amp;vendorItemId=86741299637</v>
          </cell>
          <cell r="AC211">
            <v>2901.8181818181815</v>
          </cell>
          <cell r="AD211">
            <v>290.18181818181819</v>
          </cell>
          <cell r="AE211">
            <v>3192</v>
          </cell>
          <cell r="AG211">
            <v>5000</v>
          </cell>
          <cell r="AH211">
            <v>500</v>
          </cell>
          <cell r="AI211">
            <v>5500</v>
          </cell>
          <cell r="AK211">
            <v>2098.1818181818185</v>
          </cell>
        </row>
        <row r="212">
          <cell r="H212" t="str">
            <v>86741299637AD</v>
          </cell>
          <cell r="I212">
            <v>37602837</v>
          </cell>
          <cell r="R212" t="str">
            <v>86741299637AD</v>
          </cell>
          <cell r="S212" t="str">
            <v>hyejooisonly@coupang.com</v>
          </cell>
          <cell r="X212" t="str">
            <v>뉴클 도킹1</v>
          </cell>
          <cell r="Y212" t="str">
            <v>뉴클 도킹형 보조배터리 8핀 민트</v>
          </cell>
          <cell r="AB212">
            <v>35</v>
          </cell>
          <cell r="AC212">
            <v>38436.363636363647</v>
          </cell>
          <cell r="AG212">
            <v>6</v>
          </cell>
        </row>
        <row r="213">
          <cell r="H213" t="str">
            <v>86741299637S</v>
          </cell>
          <cell r="I213">
            <v>37602837</v>
          </cell>
          <cell r="R213" t="str">
            <v>86741299637S</v>
          </cell>
          <cell r="X213" t="str">
            <v>뉴클 도킹1</v>
          </cell>
          <cell r="Y213" t="str">
            <v>뉴클 도킹형 보조배터리 8핀 민트</v>
          </cell>
          <cell r="AC213" t="str">
            <v>개당광고비→</v>
          </cell>
          <cell r="AG213">
            <v>2835.8333333333335</v>
          </cell>
          <cell r="AH213">
            <v>17015</v>
          </cell>
        </row>
        <row r="214">
          <cell r="H214">
            <v>86741299637</v>
          </cell>
          <cell r="I214">
            <v>37602837</v>
          </cell>
          <cell r="R214">
            <v>86741299637</v>
          </cell>
          <cell r="X214" t="str">
            <v>뉴클 도킹1</v>
          </cell>
          <cell r="Y214" t="str">
            <v>도킹형보조배터리86741299637</v>
          </cell>
        </row>
        <row r="215">
          <cell r="H215">
            <v>86741299191</v>
          </cell>
          <cell r="I215">
            <v>37602838</v>
          </cell>
          <cell r="J215">
            <v>836</v>
          </cell>
          <cell r="K215">
            <v>893</v>
          </cell>
          <cell r="L215">
            <v>6900</v>
          </cell>
          <cell r="M215">
            <v>6900</v>
          </cell>
          <cell r="N215">
            <v>6900</v>
          </cell>
          <cell r="O215">
            <v>13900</v>
          </cell>
          <cell r="P215">
            <v>26340</v>
          </cell>
          <cell r="Q215">
            <v>6900</v>
          </cell>
          <cell r="R215">
            <v>86741299191</v>
          </cell>
          <cell r="S215" t="str">
            <v>윤혜주BM</v>
          </cell>
          <cell r="V215">
            <v>6900</v>
          </cell>
          <cell r="W215" t="str">
            <v>https://smartstore.naver.com/psglobal1/products/10285920964</v>
          </cell>
          <cell r="X215" t="str">
            <v>뉴클 도킹1</v>
          </cell>
          <cell r="Y215" t="str">
            <v>뉴클 도킹형 보조배터리 C핀 화이트</v>
          </cell>
          <cell r="AA215" t="str">
            <v>https://smartstore.naver.com/psglobal1/products/10285920964</v>
          </cell>
          <cell r="AB215" t="str">
            <v>coupang.com/vp/products/7500927168?itemId=19634959974&amp;vendorItemId=86741299191</v>
          </cell>
          <cell r="AC215">
            <v>2901.8181818181815</v>
          </cell>
          <cell r="AD215">
            <v>290.18181818181819</v>
          </cell>
          <cell r="AE215">
            <v>3192</v>
          </cell>
          <cell r="AG215">
            <v>5000</v>
          </cell>
          <cell r="AH215">
            <v>500</v>
          </cell>
          <cell r="AI215">
            <v>5500</v>
          </cell>
          <cell r="AK215">
            <v>2098.1818181818185</v>
          </cell>
        </row>
        <row r="216">
          <cell r="H216" t="str">
            <v>86741299191AD</v>
          </cell>
          <cell r="I216">
            <v>37602838</v>
          </cell>
          <cell r="R216" t="str">
            <v>86741299191AD</v>
          </cell>
          <cell r="S216" t="str">
            <v>hyejooisonly@coupang.com</v>
          </cell>
          <cell r="X216" t="str">
            <v>뉴클 도킹1</v>
          </cell>
          <cell r="Y216" t="str">
            <v>뉴클 도킹형 보조배터리 C핀 화이트</v>
          </cell>
          <cell r="AB216">
            <v>73</v>
          </cell>
          <cell r="AC216">
            <v>80167.272727272735</v>
          </cell>
          <cell r="AG216">
            <v>25</v>
          </cell>
        </row>
        <row r="217">
          <cell r="H217" t="str">
            <v>86741299191S</v>
          </cell>
          <cell r="I217">
            <v>37602838</v>
          </cell>
          <cell r="R217" t="str">
            <v>86741299191S</v>
          </cell>
          <cell r="X217" t="str">
            <v>뉴클 도킹1</v>
          </cell>
          <cell r="Y217" t="str">
            <v>뉴클 도킹형 보조배터리 C핀 화이트</v>
          </cell>
          <cell r="AC217" t="str">
            <v>개당광고비→</v>
          </cell>
          <cell r="AG217">
            <v>782.88</v>
          </cell>
          <cell r="AH217">
            <v>19572</v>
          </cell>
        </row>
        <row r="218">
          <cell r="H218">
            <v>86741299191</v>
          </cell>
          <cell r="I218">
            <v>37602838</v>
          </cell>
          <cell r="R218">
            <v>86741299191</v>
          </cell>
          <cell r="X218" t="str">
            <v>뉴클 도킹1</v>
          </cell>
          <cell r="Y218" t="str">
            <v>도킹형보조배터리86741299191</v>
          </cell>
        </row>
        <row r="219">
          <cell r="H219">
            <v>86741299172</v>
          </cell>
          <cell r="I219">
            <v>37602836</v>
          </cell>
          <cell r="J219">
            <v>459</v>
          </cell>
          <cell r="K219">
            <v>893</v>
          </cell>
          <cell r="L219">
            <v>6900</v>
          </cell>
          <cell r="M219">
            <v>6900</v>
          </cell>
          <cell r="N219">
            <v>6900</v>
          </cell>
          <cell r="O219">
            <v>13900</v>
          </cell>
          <cell r="P219">
            <v>26340</v>
          </cell>
          <cell r="Q219">
            <v>6900</v>
          </cell>
          <cell r="R219">
            <v>86741299172</v>
          </cell>
          <cell r="S219" t="str">
            <v>윤혜주BM</v>
          </cell>
          <cell r="V219">
            <v>6900</v>
          </cell>
          <cell r="W219" t="str">
            <v>https://smartstore.naver.com/psglobal1/products/10285920964</v>
          </cell>
          <cell r="X219" t="str">
            <v>뉴클 도킹1</v>
          </cell>
          <cell r="Y219" t="str">
            <v>뉴클 도킹형 보조배터리 C핀 블랙</v>
          </cell>
          <cell r="AA219" t="str">
            <v>https://smartstore.naver.com/psglobal1/products/10285920964</v>
          </cell>
          <cell r="AB219" t="str">
            <v>coupang.com/vp/products/7500927168?itemId=19634959972&amp;vendorItemId=86741299172</v>
          </cell>
          <cell r="AC219">
            <v>2901.8181818181815</v>
          </cell>
          <cell r="AD219">
            <v>290.18181818181819</v>
          </cell>
          <cell r="AE219">
            <v>3192</v>
          </cell>
          <cell r="AG219">
            <v>5000</v>
          </cell>
          <cell r="AH219">
            <v>500</v>
          </cell>
          <cell r="AI219">
            <v>5500</v>
          </cell>
          <cell r="AK219">
            <v>2098.1818181818185</v>
          </cell>
        </row>
        <row r="220">
          <cell r="H220" t="str">
            <v>86741299172AD</v>
          </cell>
          <cell r="I220">
            <v>37602836</v>
          </cell>
          <cell r="R220" t="str">
            <v>86741299172AD</v>
          </cell>
          <cell r="S220" t="str">
            <v>hyejooisonly@coupang.com</v>
          </cell>
          <cell r="X220" t="str">
            <v>뉴클 도킹1</v>
          </cell>
          <cell r="Y220" t="str">
            <v>뉴클 도킹형 보조배터리 C핀 블랙</v>
          </cell>
          <cell r="AB220">
            <v>57</v>
          </cell>
          <cell r="AC220">
            <v>62596.363636363647</v>
          </cell>
          <cell r="AG220">
            <v>12</v>
          </cell>
        </row>
        <row r="221">
          <cell r="H221" t="str">
            <v>86741299172S</v>
          </cell>
          <cell r="I221">
            <v>37602836</v>
          </cell>
          <cell r="R221" t="str">
            <v>86741299172S</v>
          </cell>
          <cell r="X221" t="str">
            <v>뉴클 도킹1</v>
          </cell>
          <cell r="Y221" t="str">
            <v>뉴클 도킹형 보조배터리 C핀 블랙</v>
          </cell>
          <cell r="AC221" t="str">
            <v>개당광고비→</v>
          </cell>
          <cell r="AG221">
            <v>732.75</v>
          </cell>
          <cell r="AH221">
            <v>8793</v>
          </cell>
        </row>
        <row r="222">
          <cell r="H222">
            <v>86741299172</v>
          </cell>
          <cell r="I222">
            <v>37602836</v>
          </cell>
          <cell r="R222">
            <v>86741299172</v>
          </cell>
          <cell r="X222" t="str">
            <v>뉴클 도킹1</v>
          </cell>
          <cell r="Y222" t="str">
            <v>도킹형보조배터리86741299172</v>
          </cell>
        </row>
        <row r="223">
          <cell r="H223">
            <v>86741299207</v>
          </cell>
          <cell r="I223">
            <v>37602839</v>
          </cell>
          <cell r="J223">
            <v>735</v>
          </cell>
          <cell r="K223">
            <v>893</v>
          </cell>
          <cell r="L223">
            <v>6900</v>
          </cell>
          <cell r="M223">
            <v>6900</v>
          </cell>
          <cell r="N223">
            <v>6900</v>
          </cell>
          <cell r="O223">
            <v>13900</v>
          </cell>
          <cell r="P223">
            <v>26340</v>
          </cell>
          <cell r="Q223">
            <v>6900</v>
          </cell>
          <cell r="R223">
            <v>86741299207</v>
          </cell>
          <cell r="S223" t="str">
            <v>윤혜주BM</v>
          </cell>
          <cell r="V223">
            <v>6900</v>
          </cell>
          <cell r="W223" t="str">
            <v>https://smartstore.naver.com/psglobal1/products/10285920964</v>
          </cell>
          <cell r="X223" t="str">
            <v>뉴클 도킹1</v>
          </cell>
          <cell r="Y223" t="str">
            <v>뉴클 도킹형 보조배터리 C핀 핑크</v>
          </cell>
          <cell r="AA223" t="str">
            <v>https://smartstore.naver.com/psglobal1/products/10285920964</v>
          </cell>
          <cell r="AB223" t="str">
            <v>coupang.com/vp/products/7500927168?itemId=19634959976&amp;vendorItemId=86741299207</v>
          </cell>
          <cell r="AC223">
            <v>2901.8181818181815</v>
          </cell>
          <cell r="AD223">
            <v>290.18181818181819</v>
          </cell>
          <cell r="AE223">
            <v>3192</v>
          </cell>
          <cell r="AG223">
            <v>5000</v>
          </cell>
          <cell r="AH223">
            <v>500</v>
          </cell>
          <cell r="AI223">
            <v>5500</v>
          </cell>
          <cell r="AK223">
            <v>2098.1818181818185</v>
          </cell>
        </row>
        <row r="224">
          <cell r="H224" t="str">
            <v>86741299207AD</v>
          </cell>
          <cell r="I224">
            <v>37602839</v>
          </cell>
          <cell r="R224" t="str">
            <v>86741299207AD</v>
          </cell>
          <cell r="S224" t="str">
            <v>hyejooisonly@coupang.com</v>
          </cell>
          <cell r="X224" t="str">
            <v>뉴클 도킹1</v>
          </cell>
          <cell r="Y224" t="str">
            <v>뉴클 도킹형 보조배터리 C핀 핑크</v>
          </cell>
          <cell r="AB224">
            <v>50</v>
          </cell>
          <cell r="AC224">
            <v>54909.090909090926</v>
          </cell>
          <cell r="AG224">
            <v>6</v>
          </cell>
        </row>
        <row r="225">
          <cell r="H225" t="str">
            <v>86741299207S</v>
          </cell>
          <cell r="I225">
            <v>37602839</v>
          </cell>
          <cell r="R225" t="str">
            <v>86741299207S</v>
          </cell>
          <cell r="X225" t="str">
            <v>뉴클 도킹1</v>
          </cell>
          <cell r="Y225" t="str">
            <v>뉴클 도킹형 보조배터리 C핀 핑크</v>
          </cell>
          <cell r="AC225" t="str">
            <v>개당광고비→</v>
          </cell>
          <cell r="AG225">
            <v>791</v>
          </cell>
          <cell r="AH225">
            <v>4746</v>
          </cell>
        </row>
        <row r="226">
          <cell r="H226">
            <v>86741299207</v>
          </cell>
          <cell r="I226">
            <v>37602839</v>
          </cell>
          <cell r="R226">
            <v>86741299207</v>
          </cell>
          <cell r="X226" t="str">
            <v>뉴클 도킹1</v>
          </cell>
          <cell r="Y226" t="str">
            <v>도킹형보조배터리86741299207</v>
          </cell>
        </row>
        <row r="227">
          <cell r="H227">
            <v>86741299159</v>
          </cell>
          <cell r="I227">
            <v>37602835</v>
          </cell>
          <cell r="J227">
            <v>871</v>
          </cell>
          <cell r="K227">
            <v>893</v>
          </cell>
          <cell r="L227">
            <v>6900</v>
          </cell>
          <cell r="M227">
            <v>6900</v>
          </cell>
          <cell r="N227">
            <v>6900</v>
          </cell>
          <cell r="O227">
            <v>13900</v>
          </cell>
          <cell r="P227">
            <v>26340</v>
          </cell>
          <cell r="Q227">
            <v>6900</v>
          </cell>
          <cell r="R227">
            <v>86741299159</v>
          </cell>
          <cell r="S227" t="str">
            <v>윤혜주BM</v>
          </cell>
          <cell r="V227">
            <v>6900</v>
          </cell>
          <cell r="W227" t="str">
            <v>https://smartstore.naver.com/psglobal1/products/10285920964</v>
          </cell>
          <cell r="X227" t="str">
            <v>뉴클 도킹1</v>
          </cell>
          <cell r="Y227" t="str">
            <v>뉴클 도킹형 보조배터리 C핀 민트</v>
          </cell>
          <cell r="AA227" t="str">
            <v>https://smartstore.naver.com/psglobal1/products/10285920964</v>
          </cell>
          <cell r="AB227" t="str">
            <v>coupang.com/vp/products/7500927168?itemId=19634959969&amp;vendorItemId=86741299159</v>
          </cell>
          <cell r="AC227">
            <v>2901.8181818181815</v>
          </cell>
          <cell r="AD227">
            <v>290.18181818181819</v>
          </cell>
          <cell r="AE227">
            <v>3192</v>
          </cell>
          <cell r="AG227">
            <v>5000</v>
          </cell>
          <cell r="AH227">
            <v>500</v>
          </cell>
          <cell r="AI227">
            <v>5500</v>
          </cell>
          <cell r="AK227">
            <v>2098.1818181818185</v>
          </cell>
        </row>
        <row r="228">
          <cell r="H228" t="str">
            <v>86741299159AD</v>
          </cell>
          <cell r="I228">
            <v>37602835</v>
          </cell>
          <cell r="R228" t="str">
            <v>86741299159AD</v>
          </cell>
          <cell r="S228" t="str">
            <v>hyejooisonly@coupang.com</v>
          </cell>
          <cell r="X228" t="str">
            <v>뉴클 도킹1</v>
          </cell>
          <cell r="Y228" t="str">
            <v>뉴클 도킹형 보조배터리 C핀 민트</v>
          </cell>
          <cell r="AB228">
            <v>21</v>
          </cell>
          <cell r="AC228">
            <v>23061.818181818191</v>
          </cell>
          <cell r="AG228">
            <v>9</v>
          </cell>
        </row>
        <row r="229">
          <cell r="H229" t="str">
            <v>86741299159S</v>
          </cell>
          <cell r="I229">
            <v>37602835</v>
          </cell>
          <cell r="R229" t="str">
            <v>86741299159S</v>
          </cell>
          <cell r="X229" t="str">
            <v>뉴클 도킹1</v>
          </cell>
          <cell r="Y229" t="str">
            <v>뉴클 도킹형 보조배터리 C핀 민트</v>
          </cell>
          <cell r="AC229" t="str">
            <v>개당광고비→</v>
          </cell>
          <cell r="AG229">
            <v>1736.8888888888889</v>
          </cell>
          <cell r="AH229">
            <v>15632</v>
          </cell>
        </row>
        <row r="230">
          <cell r="H230">
            <v>86741299159</v>
          </cell>
          <cell r="I230">
            <v>37602835</v>
          </cell>
          <cell r="R230">
            <v>86741299159</v>
          </cell>
          <cell r="X230" t="str">
            <v>뉴클 도킹1</v>
          </cell>
          <cell r="Y230" t="str">
            <v>도킹형보조배터리86741299159</v>
          </cell>
        </row>
        <row r="231">
          <cell r="H231">
            <v>93774300785</v>
          </cell>
          <cell r="I231">
            <v>65540321</v>
          </cell>
          <cell r="J231">
            <v>43</v>
          </cell>
          <cell r="K231" t="str">
            <v>-</v>
          </cell>
          <cell r="L231">
            <v>18200</v>
          </cell>
          <cell r="M231">
            <v>18200</v>
          </cell>
          <cell r="O231">
            <v>23900</v>
          </cell>
          <cell r="Q231">
            <v>18200</v>
          </cell>
          <cell r="R231">
            <v>93774300785</v>
          </cell>
          <cell r="V231">
            <v>18200</v>
          </cell>
          <cell r="W231" t="str">
            <v>https://smartstore.naver.com/sskoreatrade/products/12542908477</v>
          </cell>
          <cell r="X231" t="str">
            <v>퀵커 보조배터리10000</v>
          </cell>
          <cell r="Y231" t="str">
            <v>퀵커 PD 보조배터리 10000mAh 화이트</v>
          </cell>
          <cell r="AB231" t="str">
            <v>coupang.com/vp/products/9114469230?itemId=26803887792&amp;vendorItemId=93774300785</v>
          </cell>
          <cell r="AC231">
            <v>4640.9090909090901</v>
          </cell>
          <cell r="AD231">
            <v>464.09090909090901</v>
          </cell>
          <cell r="AE231">
            <v>5105</v>
          </cell>
          <cell r="AG231">
            <v>13181.81818181818</v>
          </cell>
          <cell r="AH231">
            <v>1318.1818181818198</v>
          </cell>
          <cell r="AI231">
            <v>14500</v>
          </cell>
          <cell r="AK231">
            <v>8540.9090909090901</v>
          </cell>
        </row>
        <row r="232">
          <cell r="H232" t="str">
            <v>93774300785AD</v>
          </cell>
          <cell r="I232">
            <v>65540321</v>
          </cell>
          <cell r="R232" t="str">
            <v>93774300785AD</v>
          </cell>
          <cell r="X232" t="str">
            <v>퀵커 보조배터리10000</v>
          </cell>
          <cell r="Y232" t="str">
            <v>퀵커 PD 보조배터리 10000mAh 화이트</v>
          </cell>
          <cell r="AB232">
            <v>0</v>
          </cell>
          <cell r="AC232">
            <v>0</v>
          </cell>
          <cell r="AG232" t="str">
            <v>0</v>
          </cell>
        </row>
        <row r="233">
          <cell r="H233" t="str">
            <v>93774300785S</v>
          </cell>
          <cell r="I233">
            <v>65540321</v>
          </cell>
          <cell r="R233" t="str">
            <v>93774300785S</v>
          </cell>
          <cell r="X233" t="str">
            <v>퀵커 보조배터리10000</v>
          </cell>
          <cell r="Y233" t="str">
            <v>퀵커 PD 보조배터리 10000mAh 화이트</v>
          </cell>
          <cell r="AC233" t="str">
            <v>개당광고비→</v>
          </cell>
          <cell r="AG233" t="str">
            <v>광고X</v>
          </cell>
          <cell r="AH233" t="str">
            <v>광고X</v>
          </cell>
        </row>
        <row r="234">
          <cell r="H234">
            <v>93774300751</v>
          </cell>
          <cell r="I234">
            <v>65540322</v>
          </cell>
          <cell r="J234">
            <v>932</v>
          </cell>
          <cell r="K234" t="str">
            <v>-</v>
          </cell>
          <cell r="L234">
            <v>23800</v>
          </cell>
          <cell r="M234">
            <v>23800</v>
          </cell>
          <cell r="O234">
            <v>31900</v>
          </cell>
          <cell r="Q234">
            <v>23800</v>
          </cell>
          <cell r="R234">
            <v>93774300751</v>
          </cell>
          <cell r="V234">
            <v>23800</v>
          </cell>
          <cell r="W234" t="str">
            <v>https://smartstore.naver.com/sskoreatrade/products/12543039095</v>
          </cell>
          <cell r="X234" t="str">
            <v>퀵커 보조배터리20000</v>
          </cell>
          <cell r="Y234" t="str">
            <v>퀵커 PD 보조배터리 20000mAh 화이트</v>
          </cell>
          <cell r="AB234" t="str">
            <v>coupang.com/vp/products/9114469229?itemId=26803887791&amp;vendorItemId=93774300751</v>
          </cell>
          <cell r="AC234">
            <v>6513.6363636363631</v>
          </cell>
          <cell r="AD234">
            <v>651.36363636363637</v>
          </cell>
          <cell r="AE234">
            <v>7165</v>
          </cell>
          <cell r="AG234">
            <v>17272.727272727272</v>
          </cell>
          <cell r="AH234">
            <v>1727.2727272727279</v>
          </cell>
          <cell r="AI234">
            <v>19000</v>
          </cell>
          <cell r="AK234">
            <v>10759.090909090908</v>
          </cell>
        </row>
        <row r="235">
          <cell r="H235" t="str">
            <v>93774300751AD</v>
          </cell>
          <cell r="I235">
            <v>65540322</v>
          </cell>
          <cell r="R235" t="str">
            <v>93774300751AD</v>
          </cell>
          <cell r="X235" t="str">
            <v>퀵커 보조배터리20000</v>
          </cell>
          <cell r="Y235" t="str">
            <v>퀵커 PD 보조배터리 20000mAh 화이트</v>
          </cell>
          <cell r="AB235">
            <v>0</v>
          </cell>
          <cell r="AC235">
            <v>0</v>
          </cell>
          <cell r="AG235" t="str">
            <v>0</v>
          </cell>
        </row>
        <row r="236">
          <cell r="H236" t="str">
            <v>93774300751S</v>
          </cell>
          <cell r="I236">
            <v>65540322</v>
          </cell>
          <cell r="R236" t="str">
            <v>93774300751S</v>
          </cell>
          <cell r="X236" t="str">
            <v>퀵커 보조배터리20000</v>
          </cell>
          <cell r="Y236" t="str">
            <v>퀵커 PD 보조배터리 20000mAh 화이트</v>
          </cell>
          <cell r="AC236" t="str">
            <v>개당광고비→</v>
          </cell>
          <cell r="AG236" t="str">
            <v>광고X</v>
          </cell>
          <cell r="AH236" t="str">
            <v>광고X</v>
          </cell>
        </row>
        <row r="237">
          <cell r="H237">
            <v>88606144441</v>
          </cell>
          <cell r="I237">
            <v>42467595</v>
          </cell>
          <cell r="J237">
            <v>228</v>
          </cell>
          <cell r="K237">
            <v>137</v>
          </cell>
          <cell r="L237">
            <v>16900</v>
          </cell>
          <cell r="M237">
            <v>16900</v>
          </cell>
          <cell r="N237">
            <v>16800</v>
          </cell>
          <cell r="O237">
            <v>29900</v>
          </cell>
          <cell r="Q237">
            <v>16900</v>
          </cell>
          <cell r="R237">
            <v>88606144441</v>
          </cell>
          <cell r="S237" t="str">
            <v>백승민BM</v>
          </cell>
          <cell r="V237">
            <v>16900</v>
          </cell>
          <cell r="W237" t="str">
            <v>https://smartstore.naver.com/psglobal1/products/10285919199</v>
          </cell>
          <cell r="X237" t="str">
            <v>뉴클 이어폰</v>
          </cell>
          <cell r="Y237" t="str">
            <v>뉴클 크리스탈 이어폰 NCTW-CL-10-IZ 투명</v>
          </cell>
          <cell r="AA237" t="str">
            <v>https://smartstore.naver.com/psglobal1/products/10285919199</v>
          </cell>
          <cell r="AB237" t="str">
            <v>coupang.com/vp/products/7770376238?itemId=20976084798&amp;vendorItemId=88606144441</v>
          </cell>
          <cell r="AC237">
            <v>5762.7272727272721</v>
          </cell>
          <cell r="AD237">
            <v>576.27272727272725</v>
          </cell>
          <cell r="AE237">
            <v>6339</v>
          </cell>
          <cell r="AG237">
            <v>13590.90909090909</v>
          </cell>
          <cell r="AH237">
            <v>1359.0909090909099</v>
          </cell>
          <cell r="AI237">
            <v>14950</v>
          </cell>
          <cell r="AK237">
            <v>7828.181818181818</v>
          </cell>
        </row>
        <row r="238">
          <cell r="H238" t="str">
            <v>88606144441AD</v>
          </cell>
          <cell r="I238">
            <v>42467595</v>
          </cell>
          <cell r="R238" t="str">
            <v>88606144441AD</v>
          </cell>
          <cell r="S238" t="str">
            <v>sebaek64@coupang.com</v>
          </cell>
          <cell r="X238" t="str">
            <v>뉴클 이어폰</v>
          </cell>
          <cell r="Y238" t="str">
            <v>뉴클 크리스탈 이어폰 NCTW-CL-10-IZ 투명</v>
          </cell>
          <cell r="AB238">
            <v>2</v>
          </cell>
          <cell r="AC238">
            <v>15656.363636363636</v>
          </cell>
          <cell r="AG238" t="str">
            <v>0</v>
          </cell>
        </row>
        <row r="239">
          <cell r="H239" t="str">
            <v>88606144441S</v>
          </cell>
          <cell r="I239">
            <v>42467595</v>
          </cell>
          <cell r="R239" t="str">
            <v>88606144441S</v>
          </cell>
          <cell r="X239" t="str">
            <v>뉴클 이어폰</v>
          </cell>
          <cell r="Y239" t="str">
            <v>뉴클 크리스탈 이어폰 NCTW-CL-10-IZ 투명</v>
          </cell>
          <cell r="AC239" t="str">
            <v>개당광고비→</v>
          </cell>
          <cell r="AG239" t="str">
            <v>광고X</v>
          </cell>
          <cell r="AH239" t="str">
            <v>광고X</v>
          </cell>
        </row>
        <row r="240">
          <cell r="H240">
            <v>91227676572</v>
          </cell>
          <cell r="I240">
            <v>51410482</v>
          </cell>
          <cell r="J240">
            <v>2073</v>
          </cell>
          <cell r="K240">
            <v>362</v>
          </cell>
          <cell r="L240">
            <v>14900</v>
          </cell>
          <cell r="M240">
            <v>14900</v>
          </cell>
          <cell r="N240">
            <v>18910</v>
          </cell>
          <cell r="O240">
            <v>19900</v>
          </cell>
          <cell r="P240">
            <v>52670</v>
          </cell>
          <cell r="Q240">
            <v>14650</v>
          </cell>
          <cell r="R240">
            <v>91227676572</v>
          </cell>
          <cell r="S240" t="str">
            <v>백승민BM</v>
          </cell>
          <cell r="V240">
            <v>14900</v>
          </cell>
          <cell r="W240" t="str">
            <v>https://smartstore.naver.com/psglobal1/products/10924500310</v>
          </cell>
          <cell r="X240" t="str">
            <v>뉴클 이어폰_이어핏</v>
          </cell>
          <cell r="Y240" t="str">
            <v>뉴클 이어핏 C타입 오픈형 유선이어폰</v>
          </cell>
          <cell r="AA240" t="str">
            <v>https://smartstore.naver.com/psglobal1/products/10924500310</v>
          </cell>
          <cell r="AB240" t="str">
            <v>coupang.com/vp/products/8365319040?itemId=24168979018&amp;vendorItemId=91227676572</v>
          </cell>
          <cell r="AC240">
            <v>1584.5454545454545</v>
          </cell>
          <cell r="AD240">
            <v>158.45454545454547</v>
          </cell>
          <cell r="AE240">
            <v>1743</v>
          </cell>
          <cell r="AG240">
            <v>11454.545454545454</v>
          </cell>
          <cell r="AH240">
            <v>1145.454545454546</v>
          </cell>
          <cell r="AI240">
            <v>12600</v>
          </cell>
          <cell r="AK240">
            <v>9870</v>
          </cell>
        </row>
        <row r="241">
          <cell r="H241" t="str">
            <v>91227676572AD</v>
          </cell>
          <cell r="I241">
            <v>51410482</v>
          </cell>
          <cell r="R241" t="str">
            <v>91227676572AD</v>
          </cell>
          <cell r="S241" t="str">
            <v>sebaek64@coupang.com</v>
          </cell>
          <cell r="X241" t="str">
            <v>뉴클 이어폰_이어핏</v>
          </cell>
          <cell r="Y241" t="str">
            <v>뉴클 이어핏 C타입 오픈형 유선이어폰</v>
          </cell>
          <cell r="AB241">
            <v>24</v>
          </cell>
          <cell r="AC241">
            <v>221657.14285714284</v>
          </cell>
          <cell r="AG241">
            <v>288</v>
          </cell>
        </row>
        <row r="242">
          <cell r="H242" t="str">
            <v>91227676572S</v>
          </cell>
          <cell r="I242">
            <v>51410482</v>
          </cell>
          <cell r="R242" t="str">
            <v>91227676572S</v>
          </cell>
          <cell r="V242" t="str">
            <v>15800/2월17일</v>
          </cell>
          <cell r="X242" t="str">
            <v>뉴클 이어폰_이어핏</v>
          </cell>
          <cell r="Y242" t="str">
            <v>뉴클 이어핏 C타입 오픈형 유선이어폰</v>
          </cell>
          <cell r="AC242" t="str">
            <v>개당광고비→</v>
          </cell>
          <cell r="AG242">
            <v>6511.604166666667</v>
          </cell>
          <cell r="AH242">
            <v>1875342</v>
          </cell>
        </row>
        <row r="243">
          <cell r="H243">
            <v>91227676572</v>
          </cell>
          <cell r="I243">
            <v>51410482</v>
          </cell>
          <cell r="R243">
            <v>91227676572</v>
          </cell>
          <cell r="X243" t="str">
            <v>뉴클 이어폰_이어핏</v>
          </cell>
          <cell r="Y243" t="str">
            <v>C타입유선이어폰91227676572</v>
          </cell>
        </row>
        <row r="244">
          <cell r="H244">
            <v>91227676564</v>
          </cell>
          <cell r="I244">
            <v>51410481</v>
          </cell>
          <cell r="J244">
            <v>2301</v>
          </cell>
          <cell r="K244">
            <v>438</v>
          </cell>
          <cell r="L244">
            <v>14900</v>
          </cell>
          <cell r="M244">
            <v>14900</v>
          </cell>
          <cell r="N244">
            <v>15800</v>
          </cell>
          <cell r="O244">
            <v>19900</v>
          </cell>
          <cell r="P244">
            <v>52640</v>
          </cell>
          <cell r="Q244">
            <v>14650</v>
          </cell>
          <cell r="R244">
            <v>91227676564</v>
          </cell>
          <cell r="S244" t="str">
            <v>백승민BM</v>
          </cell>
          <cell r="V244">
            <v>14900</v>
          </cell>
          <cell r="W244" t="str">
            <v>https://smartstore.naver.com/psglobal1/products/10924500374</v>
          </cell>
          <cell r="X244" t="str">
            <v>뉴클 이어폰_이어핏</v>
          </cell>
          <cell r="Y244" t="str">
            <v>뉴클 이어핏 8핀 오픈형 유선이어폰</v>
          </cell>
          <cell r="AA244" t="str">
            <v>https://www.lotteon.com/p/product/LO2368403914?mall_no=1</v>
          </cell>
          <cell r="AB244" t="str">
            <v>coupang.com/vp/products/8378542250?itemId=24210284274&amp;vendorItemId=91227676564</v>
          </cell>
          <cell r="AC244">
            <v>1760.9090909090908</v>
          </cell>
          <cell r="AD244">
            <v>176.09090909090909</v>
          </cell>
          <cell r="AE244">
            <v>1937</v>
          </cell>
          <cell r="AG244">
            <v>11454.545454545454</v>
          </cell>
          <cell r="AH244">
            <v>1145.454545454546</v>
          </cell>
          <cell r="AI244">
            <v>12600</v>
          </cell>
          <cell r="AK244">
            <v>9693.636363636364</v>
          </cell>
        </row>
        <row r="245">
          <cell r="H245" t="str">
            <v>91227676564AD</v>
          </cell>
          <cell r="I245">
            <v>51410481</v>
          </cell>
          <cell r="R245" t="str">
            <v>91227676564AD</v>
          </cell>
          <cell r="S245" t="str">
            <v>sebaek64@coupang.com</v>
          </cell>
          <cell r="X245" t="str">
            <v>뉴클 이어폰_이어핏</v>
          </cell>
          <cell r="Y245" t="str">
            <v>뉴클 이어핏 8핀 오픈형 유선이어폰</v>
          </cell>
          <cell r="AB245">
            <v>6</v>
          </cell>
          <cell r="AC245">
            <v>54356.103896103901</v>
          </cell>
          <cell r="AG245">
            <v>93</v>
          </cell>
        </row>
        <row r="246">
          <cell r="H246" t="str">
            <v>91227676564S</v>
          </cell>
          <cell r="I246">
            <v>51410481</v>
          </cell>
          <cell r="R246" t="str">
            <v>91227676564S</v>
          </cell>
          <cell r="X246" t="str">
            <v>뉴클 이어폰_이어핏</v>
          </cell>
          <cell r="Y246" t="str">
            <v>뉴클 이어핏 8핀 오픈형 유선이어폰</v>
          </cell>
          <cell r="AC246" t="str">
            <v>개당광고비→</v>
          </cell>
          <cell r="AG246">
            <v>6648.1505376344085</v>
          </cell>
          <cell r="AH246">
            <v>618278</v>
          </cell>
        </row>
        <row r="247">
          <cell r="H247">
            <v>91227676564</v>
          </cell>
          <cell r="I247">
            <v>51410481</v>
          </cell>
          <cell r="R247">
            <v>91227676564</v>
          </cell>
          <cell r="X247" t="str">
            <v>뉴클 이어폰_이어핏</v>
          </cell>
          <cell r="Y247" t="str">
            <v>아이폰이어폰91227676564</v>
          </cell>
        </row>
        <row r="248">
          <cell r="H248">
            <v>70234227542</v>
          </cell>
          <cell r="I248">
            <v>11203674</v>
          </cell>
          <cell r="J248">
            <v>7452</v>
          </cell>
          <cell r="K248">
            <v>170</v>
          </cell>
          <cell r="L248">
            <v>10540</v>
          </cell>
          <cell r="M248">
            <v>10540</v>
          </cell>
          <cell r="N248">
            <v>9900</v>
          </cell>
          <cell r="O248">
            <v>14900</v>
          </cell>
          <cell r="Q248">
            <v>10540</v>
          </cell>
          <cell r="R248">
            <v>70234227542</v>
          </cell>
          <cell r="S248" t="str">
            <v>백승민BM</v>
          </cell>
          <cell r="V248">
            <v>10900</v>
          </cell>
          <cell r="W248" t="str">
            <v>https://smartstore.naver.com/psglobal1/products/10285915056</v>
          </cell>
          <cell r="X248" t="str">
            <v>뉴클 이어폰_모바일</v>
          </cell>
          <cell r="Y248" t="str">
            <v>뉴클 C타입 이어폰 NCME-01,다크그레이</v>
          </cell>
          <cell r="AB248" t="str">
            <v>coupang.com/vp/products/7989811928?itemId=20216799783&amp;vendorItemId=70234227542</v>
          </cell>
          <cell r="AC248">
            <v>1559.9999999999998</v>
          </cell>
          <cell r="AD248">
            <v>156</v>
          </cell>
          <cell r="AE248">
            <v>1716</v>
          </cell>
          <cell r="AG248">
            <v>5999.9999999999991</v>
          </cell>
          <cell r="AH248">
            <v>600.00000000000091</v>
          </cell>
          <cell r="AI248">
            <v>6600</v>
          </cell>
          <cell r="AK248">
            <v>4439.9999999999991</v>
          </cell>
        </row>
        <row r="249">
          <cell r="H249" t="str">
            <v>70234227542AD</v>
          </cell>
          <cell r="I249">
            <v>11203674</v>
          </cell>
          <cell r="R249" t="str">
            <v>70234227542AD</v>
          </cell>
          <cell r="S249" t="str">
            <v>sebaek64@coupang.com</v>
          </cell>
          <cell r="X249" t="str">
            <v>뉴클 이어폰_모바일</v>
          </cell>
          <cell r="Y249" t="str">
            <v>뉴클 C타입 이어폰 NCME-01,다크그레이</v>
          </cell>
          <cell r="AB249">
            <v>1</v>
          </cell>
          <cell r="AC249">
            <v>4439.9999999999991</v>
          </cell>
          <cell r="AG249">
            <v>0</v>
          </cell>
        </row>
        <row r="250">
          <cell r="H250" t="str">
            <v>70234227542S</v>
          </cell>
          <cell r="I250">
            <v>11203674</v>
          </cell>
          <cell r="R250" t="str">
            <v>70234227542S</v>
          </cell>
          <cell r="X250" t="str">
            <v>뉴클 이어폰_모바일</v>
          </cell>
          <cell r="Y250" t="str">
            <v>뉴클 C타입 이어폰 NCME-01,다크그레이</v>
          </cell>
          <cell r="AC250" t="str">
            <v>개당광고비→</v>
          </cell>
          <cell r="AG250" t="str">
            <v>광고X</v>
          </cell>
          <cell r="AH250">
            <v>936</v>
          </cell>
        </row>
        <row r="251">
          <cell r="H251">
            <v>70234227555</v>
          </cell>
          <cell r="I251">
            <v>11203677</v>
          </cell>
          <cell r="J251">
            <v>6457</v>
          </cell>
          <cell r="K251">
            <v>181</v>
          </cell>
          <cell r="L251">
            <v>9900</v>
          </cell>
          <cell r="M251">
            <v>9900</v>
          </cell>
          <cell r="N251">
            <v>8800</v>
          </cell>
          <cell r="O251">
            <v>14900</v>
          </cell>
          <cell r="Q251">
            <v>8800</v>
          </cell>
          <cell r="R251">
            <v>70234227555</v>
          </cell>
          <cell r="S251" t="str">
            <v>백승민BM</v>
          </cell>
          <cell r="V251">
            <v>10900</v>
          </cell>
          <cell r="W251" t="str">
            <v>https://smartstore.naver.com/psglobal1/products/10285915093</v>
          </cell>
          <cell r="X251" t="str">
            <v>뉴클 이어폰_모바일</v>
          </cell>
          <cell r="Y251" t="str">
            <v>뉴클 아이폰 8핀 이어폰 NCME-02,실버화이트</v>
          </cell>
          <cell r="AA251" t="str">
            <v>https://smartstore.naver.com/psglobal1/products/10285915093?nl-query=NCME-02&amp;nl-au=fe398a965b4949fc8859b1d06aaf03b9&amp;NaPm=ci%3Dfe398a965b4949fc8859b1d06aaf03b9%7Cct%3Dmbn0uxgk%7Ctr%3Dnslctg%7Csn%3D8729604%7Chk%3D1e910156e803b872bab040e02f821530acb715bc</v>
          </cell>
          <cell r="AB251" t="str">
            <v>coupang.com/vp/products/7623456291?itemId=20216793526&amp;vendorItemId=70234227555</v>
          </cell>
          <cell r="AC251">
            <v>1726.3636363636363</v>
          </cell>
          <cell r="AD251">
            <v>172.63636363636363</v>
          </cell>
          <cell r="AE251">
            <v>1899</v>
          </cell>
          <cell r="AG251">
            <v>5999.9999999999991</v>
          </cell>
          <cell r="AH251">
            <v>600.00000000000091</v>
          </cell>
          <cell r="AI251">
            <v>6600</v>
          </cell>
          <cell r="AK251">
            <v>4273.6363636363631</v>
          </cell>
        </row>
        <row r="252">
          <cell r="H252" t="str">
            <v>70234227555AD</v>
          </cell>
          <cell r="I252">
            <v>11203677</v>
          </cell>
          <cell r="R252" t="str">
            <v>70234227555AD</v>
          </cell>
          <cell r="S252" t="str">
            <v>sebaek64@coupang.com</v>
          </cell>
          <cell r="X252" t="str">
            <v>뉴클 이어폰_모바일</v>
          </cell>
          <cell r="Y252" t="str">
            <v>뉴클 아이폰 8핀 이어폰 NCME-02,실버화이트</v>
          </cell>
          <cell r="AB252">
            <v>2</v>
          </cell>
          <cell r="AC252">
            <v>8547.2727272727261</v>
          </cell>
          <cell r="AG252">
            <v>4</v>
          </cell>
        </row>
        <row r="253">
          <cell r="H253" t="str">
            <v>70234227555S</v>
          </cell>
          <cell r="I253">
            <v>11203677</v>
          </cell>
          <cell r="R253" t="str">
            <v>70234227555S</v>
          </cell>
          <cell r="X253" t="str">
            <v>뉴클 이어폰_모바일</v>
          </cell>
          <cell r="Y253" t="str">
            <v>뉴클 아이폰 8핀 이어폰 NCME-02,실버화이트</v>
          </cell>
          <cell r="AC253" t="str">
            <v>개당광고비→</v>
          </cell>
          <cell r="AG253">
            <v>2155.5</v>
          </cell>
          <cell r="AH253">
            <v>8622</v>
          </cell>
        </row>
        <row r="254">
          <cell r="H254">
            <v>92497821434</v>
          </cell>
          <cell r="I254">
            <v>59923742</v>
          </cell>
          <cell r="J254">
            <v>2746</v>
          </cell>
          <cell r="K254">
            <v>46</v>
          </cell>
          <cell r="L254">
            <v>3900</v>
          </cell>
          <cell r="M254">
            <v>3900</v>
          </cell>
          <cell r="O254">
            <v>14900</v>
          </cell>
          <cell r="Q254">
            <v>3900</v>
          </cell>
          <cell r="R254">
            <v>92497821434</v>
          </cell>
          <cell r="V254">
            <v>3900</v>
          </cell>
          <cell r="W254" t="str">
            <v>https://smartstore.naver.com/sskoreatrade/products/10035874516</v>
          </cell>
          <cell r="X254" t="str">
            <v>뉴클 케이블</v>
          </cell>
          <cell r="Y254" t="str">
            <v>뉴클 C to 8 PD 케이블 1.5M</v>
          </cell>
          <cell r="AA254" t="str">
            <v>https://smartstore.naver.com/sskoreatrade/products/10035874516?NaPm=ct%3Dmanet2yg%7Cci%3D8025380e0a1b48c708719dd5abc0fe53f313baea%7Ctr%3Dslsl%7Csn%3D431053%7Chk%3Dc06d943302983beec6bd0b8f3c55ed765c5d1233&amp;nl-au=c56f0308dc194a50a274126180ffc04d&amp;nl-query=%EB%89%B4%ED%81%B4+%EA%B3%A0%EC%86%8D%EC%B6%A9%EC%A0%84+%EB%8D%B0%EC%9D%B4%ED%84%B0+%EC%BC%80%EC%9D%B4%EB%B8%94</v>
          </cell>
          <cell r="AB254" t="str">
            <v>coupang.com/vp/products/8769308998?itemId=25505774393&amp;vendorItemId=92497821434</v>
          </cell>
          <cell r="AC254">
            <v>1089.090909090909</v>
          </cell>
          <cell r="AD254">
            <v>108.90909090909091</v>
          </cell>
          <cell r="AE254">
            <v>1198</v>
          </cell>
          <cell r="AG254">
            <v>2590.9090909090905</v>
          </cell>
          <cell r="AH254">
            <v>259.09090909090946</v>
          </cell>
          <cell r="AI254">
            <v>2850</v>
          </cell>
          <cell r="AK254">
            <v>1501.8181818181815</v>
          </cell>
        </row>
        <row r="255">
          <cell r="H255" t="str">
            <v>92497821434AD</v>
          </cell>
          <cell r="I255">
            <v>59923742</v>
          </cell>
          <cell r="R255" t="str">
            <v>92497821434AD</v>
          </cell>
          <cell r="X255" t="str">
            <v>뉴클 케이블</v>
          </cell>
          <cell r="Y255" t="str">
            <v>뉴클 C to 8 PD 케이블 1.5M</v>
          </cell>
          <cell r="AB255">
            <v>2</v>
          </cell>
          <cell r="AC255">
            <v>3003.6363636363631</v>
          </cell>
          <cell r="AG255" t="str">
            <v>0</v>
          </cell>
        </row>
        <row r="256">
          <cell r="H256" t="str">
            <v>92497821434S</v>
          </cell>
          <cell r="I256">
            <v>59923742</v>
          </cell>
          <cell r="R256" t="str">
            <v>92497821434S</v>
          </cell>
          <cell r="X256" t="str">
            <v>뉴클 케이블</v>
          </cell>
          <cell r="Y256" t="str">
            <v>뉴클 C to 8 PD 케이블 1.5M</v>
          </cell>
          <cell r="AC256" t="str">
            <v>개당광고비→</v>
          </cell>
          <cell r="AG256" t="str">
            <v>광고X</v>
          </cell>
          <cell r="AH256" t="str">
            <v>광고X</v>
          </cell>
        </row>
        <row r="257">
          <cell r="H257">
            <v>92497821434</v>
          </cell>
          <cell r="I257">
            <v>59923742</v>
          </cell>
          <cell r="R257">
            <v>92497821434</v>
          </cell>
          <cell r="X257" t="str">
            <v>뉴클 케이블</v>
          </cell>
          <cell r="Y257" t="str">
            <v>아이폰충전케이블92497821434</v>
          </cell>
        </row>
        <row r="258">
          <cell r="H258">
            <v>92474396408</v>
          </cell>
          <cell r="I258">
            <v>59822961</v>
          </cell>
          <cell r="J258">
            <v>1242</v>
          </cell>
          <cell r="K258">
            <v>293</v>
          </cell>
          <cell r="L258">
            <v>8970</v>
          </cell>
          <cell r="M258">
            <v>8970</v>
          </cell>
          <cell r="O258">
            <v>9900</v>
          </cell>
          <cell r="Q258">
            <v>6920</v>
          </cell>
          <cell r="R258">
            <v>92474396408</v>
          </cell>
          <cell r="V258">
            <v>5900</v>
          </cell>
          <cell r="W258" t="str">
            <v>https://smartstore.naver.com/psglobal1/products/10285903285</v>
          </cell>
          <cell r="X258" t="str">
            <v>뉴클 케이블_마그네틱</v>
          </cell>
          <cell r="Y258" t="str">
            <v>뉴클 마그네틱 케이블 C타입 1M , 1개</v>
          </cell>
          <cell r="AB258" t="str">
            <v>coupang.com/vp/products/8763064738?itemId=25482080080&amp;vendorItemId=92474396408</v>
          </cell>
          <cell r="AC258">
            <v>1426.3636363636363</v>
          </cell>
          <cell r="AD258">
            <v>142.63636363636363</v>
          </cell>
          <cell r="AE258">
            <v>1569</v>
          </cell>
          <cell r="AG258">
            <v>5400</v>
          </cell>
          <cell r="AH258">
            <v>540</v>
          </cell>
          <cell r="AI258">
            <v>5940</v>
          </cell>
          <cell r="AK258">
            <v>3973.636363636364</v>
          </cell>
        </row>
        <row r="259">
          <cell r="H259" t="str">
            <v>92474396408AD</v>
          </cell>
          <cell r="I259">
            <v>59822961</v>
          </cell>
          <cell r="R259" t="str">
            <v>92474396408AD</v>
          </cell>
          <cell r="V259">
            <v>45856</v>
          </cell>
          <cell r="X259" t="str">
            <v>뉴클 케이블_마그네틱</v>
          </cell>
          <cell r="Y259" t="str">
            <v>뉴클 마그네틱 케이블 C타입 1M , 1개</v>
          </cell>
          <cell r="AB259">
            <v>0</v>
          </cell>
          <cell r="AC259">
            <v>0</v>
          </cell>
          <cell r="AG259" t="str">
            <v>0</v>
          </cell>
        </row>
        <row r="260">
          <cell r="H260" t="str">
            <v>92474396408S</v>
          </cell>
          <cell r="I260">
            <v>59822961</v>
          </cell>
          <cell r="R260" t="str">
            <v>92474396408S</v>
          </cell>
          <cell r="X260" t="str">
            <v>뉴클 케이블_마그네틱</v>
          </cell>
          <cell r="Y260" t="str">
            <v>뉴클 마그네틱 케이블 C타입 1M , 1개</v>
          </cell>
          <cell r="AC260" t="str">
            <v>개당광고비→</v>
          </cell>
          <cell r="AG260" t="str">
            <v>광고X</v>
          </cell>
          <cell r="AH260" t="str">
            <v>광고X</v>
          </cell>
        </row>
        <row r="261">
          <cell r="H261">
            <v>84407207321</v>
          </cell>
          <cell r="I261">
            <v>31302109</v>
          </cell>
          <cell r="J261">
            <v>0</v>
          </cell>
          <cell r="K261">
            <v>284</v>
          </cell>
          <cell r="L261">
            <v>6900</v>
          </cell>
          <cell r="M261">
            <v>6900</v>
          </cell>
          <cell r="N261">
            <v>6900</v>
          </cell>
          <cell r="O261">
            <v>9900</v>
          </cell>
          <cell r="Q261">
            <v>6900</v>
          </cell>
          <cell r="R261">
            <v>84407207321</v>
          </cell>
          <cell r="S261" t="str">
            <v>윤석나BM</v>
          </cell>
          <cell r="V261">
            <v>6900</v>
          </cell>
          <cell r="W261" t="str">
            <v>https://smartstore.naver.com/psglobal1/products/10285903316</v>
          </cell>
          <cell r="X261" t="str">
            <v>뉴클 케이블_마그네틱</v>
          </cell>
          <cell r="Y261" t="str">
            <v>뉴클 마그네틱 케이블 C타입 1M , 2개</v>
          </cell>
          <cell r="AA261" t="str">
            <v>https://smartstore.naver.com/psglobal1/products/10285903316</v>
          </cell>
          <cell r="AB261" t="str">
            <v>coupang.com/vp/products/7011992849?itemId=17235567131&amp;vendorItemId=84407207321</v>
          </cell>
          <cell r="AC261">
            <v>2722.7272727272725</v>
          </cell>
          <cell r="AD261">
            <v>272.27272727272725</v>
          </cell>
          <cell r="AE261">
            <v>2995</v>
          </cell>
          <cell r="AG261">
            <v>4950</v>
          </cell>
          <cell r="AH261">
            <v>495</v>
          </cell>
          <cell r="AI261">
            <v>5445</v>
          </cell>
          <cell r="AK261">
            <v>2227.2727272727275</v>
          </cell>
        </row>
        <row r="262">
          <cell r="H262" t="str">
            <v>84407207321AD</v>
          </cell>
          <cell r="I262">
            <v>31302109</v>
          </cell>
          <cell r="R262" t="str">
            <v>84407207321AD</v>
          </cell>
          <cell r="S262" t="str">
            <v>suyoon53@coupang.com</v>
          </cell>
          <cell r="V262">
            <v>45611</v>
          </cell>
          <cell r="X262" t="str">
            <v>뉴클 케이블_마그네틱</v>
          </cell>
          <cell r="Y262" t="str">
            <v>뉴클 마그네틱 케이블 C타입 1M , 2개</v>
          </cell>
          <cell r="AB262">
            <v>5</v>
          </cell>
          <cell r="AC262">
            <v>11136.363636363638</v>
          </cell>
          <cell r="AG262" t="str">
            <v>0</v>
          </cell>
        </row>
        <row r="263">
          <cell r="H263" t="str">
            <v>84407207321S</v>
          </cell>
          <cell r="I263">
            <v>31302109</v>
          </cell>
          <cell r="R263" t="str">
            <v>84407207321S</v>
          </cell>
          <cell r="X263" t="str">
            <v>뉴클 케이블_마그네틱</v>
          </cell>
          <cell r="Y263" t="str">
            <v>뉴클 마그네틱 케이블 C타입 1M , 2개</v>
          </cell>
          <cell r="AC263" t="str">
            <v>개당광고비→</v>
          </cell>
          <cell r="AG263" t="str">
            <v>광고X</v>
          </cell>
          <cell r="AH263" t="str">
            <v>광고X</v>
          </cell>
        </row>
        <row r="264">
          <cell r="H264">
            <v>84407207327</v>
          </cell>
          <cell r="I264">
            <v>31302110</v>
          </cell>
          <cell r="J264" t="str">
            <v/>
          </cell>
          <cell r="K264">
            <v>293</v>
          </cell>
          <cell r="L264">
            <v>9900</v>
          </cell>
          <cell r="M264">
            <v>9900</v>
          </cell>
          <cell r="N264">
            <v>8500</v>
          </cell>
          <cell r="O264">
            <v>12900</v>
          </cell>
          <cell r="Q264">
            <v>9900</v>
          </cell>
          <cell r="R264">
            <v>84407207327</v>
          </cell>
          <cell r="S264" t="str">
            <v>윤석나BM</v>
          </cell>
          <cell r="V264">
            <v>9900</v>
          </cell>
          <cell r="W264" t="str">
            <v>https://smartstore.naver.com/psglobal1/products/10285903344</v>
          </cell>
          <cell r="X264" t="str">
            <v>뉴클 케이블_마그네틱</v>
          </cell>
          <cell r="Y264" t="str">
            <v>뉴클 마그네틱 케이블 C타입 1M , 3개</v>
          </cell>
          <cell r="AA264" t="str">
            <v>https://smartstore.naver.com/psglobal1/products/10285903344</v>
          </cell>
          <cell r="AB264" t="str">
            <v>coupang.com/vp/products/7011992849?itemId=17235567132&amp;vendorItemId=84407207327</v>
          </cell>
          <cell r="AC264">
            <v>4162.7272727272721</v>
          </cell>
          <cell r="AD264">
            <v>416.27272727272725</v>
          </cell>
          <cell r="AE264">
            <v>4579</v>
          </cell>
          <cell r="AG264">
            <v>6449.9999999999991</v>
          </cell>
          <cell r="AH264">
            <v>645.00000000000091</v>
          </cell>
          <cell r="AI264">
            <v>7095</v>
          </cell>
          <cell r="AK264">
            <v>2287.272727272727</v>
          </cell>
        </row>
        <row r="265">
          <cell r="H265" t="str">
            <v>84407207327AD</v>
          </cell>
          <cell r="I265">
            <v>31302110</v>
          </cell>
          <cell r="J265" t="str">
            <v>1P사용</v>
          </cell>
          <cell r="R265" t="str">
            <v>84407207327AD</v>
          </cell>
          <cell r="S265" t="str">
            <v>suyoon53@coupang.com</v>
          </cell>
          <cell r="V265">
            <v>45637</v>
          </cell>
          <cell r="X265" t="str">
            <v>뉴클 케이블_마그네틱</v>
          </cell>
          <cell r="Y265" t="str">
            <v>뉴클 마그네틱 케이블 C타입 1M , 3개</v>
          </cell>
          <cell r="AB265">
            <v>1</v>
          </cell>
          <cell r="AC265">
            <v>2287.272727272727</v>
          </cell>
          <cell r="AG265" t="str">
            <v>0</v>
          </cell>
        </row>
        <row r="266">
          <cell r="H266" t="str">
            <v>84407207327S</v>
          </cell>
          <cell r="I266">
            <v>31302110</v>
          </cell>
          <cell r="R266" t="str">
            <v>84407207327S</v>
          </cell>
          <cell r="X266" t="str">
            <v>뉴클 케이블_마그네틱</v>
          </cell>
          <cell r="Y266" t="str">
            <v>뉴클 마그네틱 케이블 C타입 1M , 3개</v>
          </cell>
          <cell r="AC266" t="str">
            <v>개당광고비→</v>
          </cell>
          <cell r="AG266" t="str">
            <v>광고X</v>
          </cell>
          <cell r="AH266" t="str">
            <v>광고X</v>
          </cell>
        </row>
        <row r="267">
          <cell r="H267">
            <v>89509490224</v>
          </cell>
          <cell r="I267">
            <v>44916043</v>
          </cell>
          <cell r="J267">
            <v>2052</v>
          </cell>
          <cell r="K267">
            <v>62</v>
          </cell>
          <cell r="L267">
            <v>4900</v>
          </cell>
          <cell r="M267">
            <v>4900</v>
          </cell>
          <cell r="N267">
            <v>5070</v>
          </cell>
          <cell r="O267">
            <v>9900</v>
          </cell>
          <cell r="Q267">
            <v>4900</v>
          </cell>
          <cell r="R267">
            <v>89509490224</v>
          </cell>
          <cell r="S267" t="str">
            <v>윤석나BM</v>
          </cell>
          <cell r="V267">
            <v>4900</v>
          </cell>
          <cell r="W267" t="str">
            <v>https://smartstore.naver.com/psglobal1/products/10285903687</v>
          </cell>
          <cell r="X267" t="str">
            <v>뉴클 케이블_100W</v>
          </cell>
          <cell r="Y267" t="str">
            <v>뉴클 PD 100W CtoC 초고속 충전케이블 1m</v>
          </cell>
          <cell r="AB267" t="str">
            <v>coupang.com/vp/products/8032905143?itemId=22466457327&amp;vendorItemId=89509490224</v>
          </cell>
          <cell r="AC267">
            <v>822.72727272727263</v>
          </cell>
          <cell r="AD267">
            <v>82.272727272727266</v>
          </cell>
          <cell r="AE267">
            <v>905</v>
          </cell>
          <cell r="AG267">
            <v>5000</v>
          </cell>
          <cell r="AH267">
            <v>500</v>
          </cell>
          <cell r="AI267">
            <v>5500</v>
          </cell>
          <cell r="AK267">
            <v>4177.272727272727</v>
          </cell>
        </row>
        <row r="268">
          <cell r="H268" t="str">
            <v>89509490224AD</v>
          </cell>
          <cell r="I268">
            <v>44916043</v>
          </cell>
          <cell r="R268" t="str">
            <v>89509490224AD</v>
          </cell>
          <cell r="S268" t="str">
            <v>suyoon53@coupang.com</v>
          </cell>
          <cell r="X268" t="str">
            <v>뉴클 케이블_100W</v>
          </cell>
          <cell r="Y268" t="str">
            <v>뉴클 PD 100W CtoC 초고속 충전케이블 1m</v>
          </cell>
          <cell r="AB268">
            <v>0</v>
          </cell>
          <cell r="AC268">
            <v>0</v>
          </cell>
          <cell r="AG268" t="str">
            <v>0</v>
          </cell>
        </row>
        <row r="269">
          <cell r="H269" t="str">
            <v>89509490224S</v>
          </cell>
          <cell r="I269">
            <v>44916043</v>
          </cell>
          <cell r="R269" t="str">
            <v>89509490224S</v>
          </cell>
          <cell r="V269" t="str">
            <v>6/17 / 3800원</v>
          </cell>
          <cell r="X269" t="str">
            <v>뉴클 케이블_100W</v>
          </cell>
          <cell r="Y269" t="str">
            <v>뉴클 PD 100W CtoC 초고속 충전케이블 1m</v>
          </cell>
          <cell r="AC269" t="str">
            <v>개당광고비→</v>
          </cell>
          <cell r="AG269" t="str">
            <v>광고X</v>
          </cell>
          <cell r="AH269" t="str">
            <v>광고X</v>
          </cell>
        </row>
        <row r="270">
          <cell r="H270">
            <v>92608374373</v>
          </cell>
          <cell r="I270">
            <v>60564202</v>
          </cell>
          <cell r="J270" t="str">
            <v/>
          </cell>
          <cell r="K270">
            <v>175</v>
          </cell>
          <cell r="L270">
            <v>9800</v>
          </cell>
          <cell r="M270">
            <v>9800</v>
          </cell>
          <cell r="O270">
            <v>12900</v>
          </cell>
          <cell r="Q270">
            <v>9800</v>
          </cell>
          <cell r="R270">
            <v>92608374373</v>
          </cell>
          <cell r="V270">
            <v>4900</v>
          </cell>
          <cell r="W270" t="str">
            <v>https://smartstore.naver.com/psglobal1/products/10285903687</v>
          </cell>
          <cell r="X270" t="str">
            <v>뉴클 케이블_100W</v>
          </cell>
          <cell r="Y270" t="str">
            <v>뉴클 PD 100W CtoC 1m, 2개 세트</v>
          </cell>
          <cell r="AB270" t="str">
            <v>coupang.com/vp/products/8798791749?itemId=25618005895&amp;vendorItemId=92608374373</v>
          </cell>
          <cell r="AC270">
            <v>1645.4545454545453</v>
          </cell>
          <cell r="AD270">
            <v>164.54545454545453</v>
          </cell>
          <cell r="AE270">
            <v>1810</v>
          </cell>
          <cell r="AG270">
            <v>7036.363636363636</v>
          </cell>
          <cell r="AH270">
            <v>703.63636363636397</v>
          </cell>
          <cell r="AI270">
            <v>7740</v>
          </cell>
          <cell r="AK270">
            <v>5390.909090909091</v>
          </cell>
        </row>
        <row r="271">
          <cell r="H271" t="str">
            <v>92608374373AD</v>
          </cell>
          <cell r="I271">
            <v>60564202</v>
          </cell>
          <cell r="J271" t="str">
            <v>1P사용</v>
          </cell>
          <cell r="R271" t="str">
            <v>92608374373AD</v>
          </cell>
          <cell r="W271" t="str">
            <v>1P</v>
          </cell>
          <cell r="X271" t="str">
            <v>뉴클 케이블_100W</v>
          </cell>
          <cell r="Y271" t="str">
            <v>뉴클 PD 100W CtoC 1m, 2개 세트</v>
          </cell>
          <cell r="AB271">
            <v>0</v>
          </cell>
          <cell r="AC271">
            <v>0</v>
          </cell>
          <cell r="AG271" t="str">
            <v>0</v>
          </cell>
        </row>
        <row r="272">
          <cell r="H272" t="str">
            <v>92608374373S</v>
          </cell>
          <cell r="I272">
            <v>60564202</v>
          </cell>
          <cell r="R272" t="str">
            <v>92608374373S</v>
          </cell>
          <cell r="X272" t="str">
            <v>뉴클 케이블_100W</v>
          </cell>
          <cell r="Y272" t="str">
            <v>뉴클 PD 100W CtoC 1m, 2개 세트</v>
          </cell>
          <cell r="AC272" t="str">
            <v>개당광고비→</v>
          </cell>
          <cell r="AG272" t="str">
            <v>광고X</v>
          </cell>
          <cell r="AH272" t="str">
            <v>광고X</v>
          </cell>
        </row>
        <row r="273">
          <cell r="H273">
            <v>85253263972</v>
          </cell>
          <cell r="I273">
            <v>33566487</v>
          </cell>
          <cell r="J273">
            <v>238</v>
          </cell>
          <cell r="K273">
            <v>59</v>
          </cell>
          <cell r="L273">
            <v>4900</v>
          </cell>
          <cell r="M273">
            <v>4900</v>
          </cell>
          <cell r="N273">
            <v>6350</v>
          </cell>
          <cell r="O273">
            <v>7900</v>
          </cell>
          <cell r="Q273">
            <v>5910</v>
          </cell>
          <cell r="R273">
            <v>85253263972</v>
          </cell>
          <cell r="S273" t="str">
            <v>윤석나BM</v>
          </cell>
          <cell r="V273">
            <v>4900</v>
          </cell>
          <cell r="W273" t="str">
            <v>https://smartstore.naver.com/psglobal1/products/10285903941</v>
          </cell>
          <cell r="X273" t="str">
            <v>뉴클 케이블</v>
          </cell>
          <cell r="Y273" t="str">
            <v>뉴클 데이터 충전케이블 8핀 2M , 3개</v>
          </cell>
          <cell r="AB273" t="str">
            <v>coupang.com/vp/products/7178757606?itemId=18101145812&amp;vendorItemId=85253263972</v>
          </cell>
          <cell r="AC273">
            <v>1723.6363636363635</v>
          </cell>
          <cell r="AD273">
            <v>172.36363636363637</v>
          </cell>
          <cell r="AE273">
            <v>1896</v>
          </cell>
          <cell r="AG273">
            <v>3545.454545454545</v>
          </cell>
          <cell r="AH273">
            <v>354.54545454545496</v>
          </cell>
          <cell r="AI273">
            <v>3900</v>
          </cell>
          <cell r="AK273">
            <v>1821.8181818181815</v>
          </cell>
        </row>
        <row r="274">
          <cell r="H274" t="str">
            <v>85253263972AD</v>
          </cell>
          <cell r="I274">
            <v>33566487</v>
          </cell>
          <cell r="R274" t="str">
            <v>85253263972AD</v>
          </cell>
          <cell r="S274" t="str">
            <v>suyoon53@coupang.com</v>
          </cell>
          <cell r="X274" t="str">
            <v>뉴클 케이블</v>
          </cell>
          <cell r="Y274" t="str">
            <v>뉴클 데이터 충전케이블 8핀 2M , 3개</v>
          </cell>
          <cell r="AB274">
            <v>4</v>
          </cell>
          <cell r="AC274">
            <v>7287.2727272727261</v>
          </cell>
          <cell r="AG274" t="str">
            <v>0</v>
          </cell>
        </row>
        <row r="275">
          <cell r="H275" t="str">
            <v>85253263972S</v>
          </cell>
          <cell r="I275">
            <v>33566487</v>
          </cell>
          <cell r="R275" t="str">
            <v>85253263972S</v>
          </cell>
          <cell r="X275" t="str">
            <v>뉴클 케이블</v>
          </cell>
          <cell r="Y275" t="str">
            <v>뉴클 데이터 충전케이블 8핀 2M , 3개</v>
          </cell>
          <cell r="AC275" t="str">
            <v>개당광고비→</v>
          </cell>
          <cell r="AG275" t="str">
            <v>광고X</v>
          </cell>
          <cell r="AH275" t="str">
            <v>광고X</v>
          </cell>
        </row>
        <row r="276">
          <cell r="H276">
            <v>85253264364</v>
          </cell>
          <cell r="I276">
            <v>33566488</v>
          </cell>
          <cell r="J276">
            <v>432</v>
          </cell>
          <cell r="K276">
            <v>55</v>
          </cell>
          <cell r="L276">
            <v>4900</v>
          </cell>
          <cell r="M276">
            <v>4900</v>
          </cell>
          <cell r="N276">
            <v>4900</v>
          </cell>
          <cell r="O276">
            <v>7900</v>
          </cell>
          <cell r="Q276">
            <v>4900</v>
          </cell>
          <cell r="R276">
            <v>85253264364</v>
          </cell>
          <cell r="S276" t="str">
            <v>윤석나BM</v>
          </cell>
          <cell r="V276">
            <v>4900</v>
          </cell>
          <cell r="W276" t="str">
            <v>https://smartstore.naver.com/psglobal1/products/10285903835</v>
          </cell>
          <cell r="X276" t="str">
            <v>뉴클 케이블</v>
          </cell>
          <cell r="Y276" t="str">
            <v>뉴클 3in1 충전 케이블 1.5M , 2개</v>
          </cell>
          <cell r="AB276" t="str">
            <v>coupang.com/vp/products/7178757687?itemId=18101146136&amp;vendorItemId=85253264364</v>
          </cell>
          <cell r="AC276">
            <v>1936.3636363636363</v>
          </cell>
          <cell r="AD276">
            <v>193.63636363636363</v>
          </cell>
          <cell r="AE276">
            <v>2130</v>
          </cell>
          <cell r="AG276">
            <v>3545.454545454545</v>
          </cell>
          <cell r="AH276">
            <v>354.54545454545496</v>
          </cell>
          <cell r="AI276">
            <v>3900</v>
          </cell>
          <cell r="AK276">
            <v>1609.0909090909088</v>
          </cell>
        </row>
        <row r="277">
          <cell r="H277" t="str">
            <v>85253264364AD</v>
          </cell>
          <cell r="I277">
            <v>33566488</v>
          </cell>
          <cell r="J277" t="str">
            <v>1P사용</v>
          </cell>
          <cell r="R277" t="str">
            <v>85253264364AD</v>
          </cell>
          <cell r="S277" t="str">
            <v>suyoon53@coupang.com</v>
          </cell>
          <cell r="X277" t="str">
            <v>뉴클 케이블</v>
          </cell>
          <cell r="Y277" t="str">
            <v>뉴클 3in1 충전 케이블 1.5M , 2개</v>
          </cell>
          <cell r="AB277">
            <v>7</v>
          </cell>
          <cell r="AC277">
            <v>11263.636363636362</v>
          </cell>
          <cell r="AG277">
            <v>1</v>
          </cell>
        </row>
        <row r="278">
          <cell r="H278" t="str">
            <v>85253264364S</v>
          </cell>
          <cell r="I278">
            <v>33566488</v>
          </cell>
          <cell r="R278" t="str">
            <v>85253264364S</v>
          </cell>
          <cell r="X278" t="str">
            <v>뉴클 케이블</v>
          </cell>
          <cell r="Y278" t="str">
            <v>뉴클 3in1 충전 케이블 1.5M , 2개</v>
          </cell>
          <cell r="AC278" t="str">
            <v>개당광고비→</v>
          </cell>
          <cell r="AG278">
            <v>776</v>
          </cell>
          <cell r="AH278">
            <v>776</v>
          </cell>
        </row>
        <row r="279">
          <cell r="H279">
            <v>85253264614</v>
          </cell>
          <cell r="I279">
            <v>33566492</v>
          </cell>
          <cell r="J279">
            <v>82</v>
          </cell>
          <cell r="K279">
            <v>11</v>
          </cell>
          <cell r="L279">
            <v>4900</v>
          </cell>
          <cell r="M279">
            <v>4900</v>
          </cell>
          <cell r="N279">
            <v>4900</v>
          </cell>
          <cell r="O279">
            <v>7900</v>
          </cell>
          <cell r="Q279">
            <v>4900</v>
          </cell>
          <cell r="R279">
            <v>85253264614</v>
          </cell>
          <cell r="S279" t="str">
            <v>윤석나BM</v>
          </cell>
          <cell r="V279">
            <v>4900</v>
          </cell>
          <cell r="W279" t="str">
            <v>https://smartstore.naver.com/psglobal1/products/10285903541</v>
          </cell>
          <cell r="X279" t="str">
            <v>뉴클 케이블</v>
          </cell>
          <cell r="Y279" t="str">
            <v>뉴클 CtoC , Cto8 PD 충전 케이블 1.5M</v>
          </cell>
          <cell r="AB279" t="str">
            <v>coupang.com/vp/products/7178757758?itemId=18101146345&amp;vendorItemId=85253264614</v>
          </cell>
          <cell r="AC279">
            <v>2200</v>
          </cell>
          <cell r="AD279">
            <v>220</v>
          </cell>
          <cell r="AE279">
            <v>2420</v>
          </cell>
          <cell r="AG279">
            <v>3545.454545454545</v>
          </cell>
          <cell r="AH279">
            <v>354.54545454545496</v>
          </cell>
          <cell r="AI279">
            <v>3900</v>
          </cell>
          <cell r="AK279">
            <v>1345.454545454545</v>
          </cell>
        </row>
        <row r="280">
          <cell r="H280" t="str">
            <v>85253264614AD</v>
          </cell>
          <cell r="I280">
            <v>33566492</v>
          </cell>
          <cell r="R280" t="str">
            <v>85253264614AD</v>
          </cell>
          <cell r="S280" t="str">
            <v>suyoon53@coupang.com</v>
          </cell>
          <cell r="X280" t="str">
            <v>뉴클 케이블</v>
          </cell>
          <cell r="Y280" t="str">
            <v>뉴클 CtoC , Cto8 PD 충전 케이블 1.5M</v>
          </cell>
          <cell r="AB280">
            <v>0</v>
          </cell>
          <cell r="AC280">
            <v>0</v>
          </cell>
          <cell r="AG280" t="str">
            <v>0</v>
          </cell>
        </row>
        <row r="281">
          <cell r="H281" t="str">
            <v>85253264614S</v>
          </cell>
          <cell r="I281">
            <v>33566492</v>
          </cell>
          <cell r="R281" t="str">
            <v>85253264614S</v>
          </cell>
          <cell r="X281" t="str">
            <v>뉴클 케이블</v>
          </cell>
          <cell r="Y281" t="str">
            <v>뉴클 CtoC , Cto8 PD 충전 케이블 1.5M</v>
          </cell>
          <cell r="AC281" t="str">
            <v>개당광고비→</v>
          </cell>
          <cell r="AG281" t="str">
            <v>광고X</v>
          </cell>
          <cell r="AH281" t="str">
            <v>광고X</v>
          </cell>
        </row>
        <row r="282">
          <cell r="H282">
            <v>85253264468</v>
          </cell>
          <cell r="I282">
            <v>33566490</v>
          </cell>
          <cell r="J282">
            <v>157</v>
          </cell>
          <cell r="K282">
            <v>28</v>
          </cell>
          <cell r="L282">
            <v>4900</v>
          </cell>
          <cell r="M282">
            <v>4900</v>
          </cell>
          <cell r="N282">
            <v>7900</v>
          </cell>
          <cell r="O282">
            <v>7900</v>
          </cell>
          <cell r="Q282">
            <v>5910</v>
          </cell>
          <cell r="R282">
            <v>85253264468</v>
          </cell>
          <cell r="S282" t="str">
            <v>윤석나BM</v>
          </cell>
          <cell r="V282">
            <v>4900</v>
          </cell>
          <cell r="W282" t="str">
            <v>https://smartstore.naver.com/psglobal1/products/10285903971</v>
          </cell>
          <cell r="X282" t="str">
            <v>뉴클 케이블</v>
          </cell>
          <cell r="Y282" t="str">
            <v>뉴클 충전케이블 C타입 2M , 3개</v>
          </cell>
          <cell r="AB282" t="str">
            <v>coupang.com/vp/products/7178757718?itemId=18101146205&amp;vendorItemId=85253264468</v>
          </cell>
          <cell r="AC282">
            <v>1600.9090909090908</v>
          </cell>
          <cell r="AD282">
            <v>160.09090909090909</v>
          </cell>
          <cell r="AE282">
            <v>1761</v>
          </cell>
          <cell r="AG282">
            <v>3545.454545454545</v>
          </cell>
          <cell r="AH282">
            <v>354.54545454545496</v>
          </cell>
          <cell r="AI282">
            <v>3900</v>
          </cell>
          <cell r="AK282">
            <v>1944.5454545454543</v>
          </cell>
        </row>
        <row r="283">
          <cell r="H283" t="str">
            <v>85253264468AD</v>
          </cell>
          <cell r="I283">
            <v>33566490</v>
          </cell>
          <cell r="R283" t="str">
            <v>85253264468AD</v>
          </cell>
          <cell r="S283" t="str">
            <v>suyoon53@coupang.com</v>
          </cell>
          <cell r="X283" t="str">
            <v>뉴클 케이블</v>
          </cell>
          <cell r="Y283" t="str">
            <v>뉴클 충전케이블 C타입 2M , 3개</v>
          </cell>
          <cell r="AB283">
            <v>0</v>
          </cell>
          <cell r="AC283">
            <v>0</v>
          </cell>
          <cell r="AG283" t="str">
            <v>0</v>
          </cell>
        </row>
        <row r="284">
          <cell r="H284" t="str">
            <v>85253264468S</v>
          </cell>
          <cell r="I284">
            <v>33566490</v>
          </cell>
          <cell r="R284" t="str">
            <v>85253264468S</v>
          </cell>
          <cell r="X284" t="str">
            <v>뉴클 케이블</v>
          </cell>
          <cell r="Y284" t="str">
            <v>뉴클 충전케이블 C타입 2M , 3개</v>
          </cell>
          <cell r="AC284" t="str">
            <v>개당광고비→</v>
          </cell>
          <cell r="AG284" t="str">
            <v>광고X</v>
          </cell>
          <cell r="AH284" t="str">
            <v>광고X</v>
          </cell>
        </row>
        <row r="285">
          <cell r="H285">
            <v>85253264375</v>
          </cell>
          <cell r="I285">
            <v>33566489</v>
          </cell>
          <cell r="J285">
            <v>-3</v>
          </cell>
          <cell r="K285">
            <v>15</v>
          </cell>
          <cell r="L285">
            <v>4900</v>
          </cell>
          <cell r="M285">
            <v>4900</v>
          </cell>
          <cell r="N285">
            <v>4900</v>
          </cell>
          <cell r="O285">
            <v>7900</v>
          </cell>
          <cell r="Q285">
            <v>4900</v>
          </cell>
          <cell r="R285">
            <v>85253264375</v>
          </cell>
          <cell r="S285" t="str">
            <v>윤석나BM</v>
          </cell>
          <cell r="V285">
            <v>4900</v>
          </cell>
          <cell r="W285" t="str">
            <v>https://smartstore.naver.com/psglobal1/products/10285903515</v>
          </cell>
          <cell r="X285" t="str">
            <v>뉴클 케이블</v>
          </cell>
          <cell r="Y285" t="str">
            <v>뉴클 CtoC PD 충전 케이블 1.5M , 2개</v>
          </cell>
          <cell r="AB285" t="str">
            <v>coupang.com/vp/products/7178757689?itemId=18101146138&amp;vendorItemId=85253264375</v>
          </cell>
          <cell r="AC285">
            <v>1300</v>
          </cell>
          <cell r="AD285">
            <v>130</v>
          </cell>
          <cell r="AE285">
            <v>1430</v>
          </cell>
          <cell r="AG285">
            <v>3545.454545454545</v>
          </cell>
          <cell r="AH285">
            <v>354.54545454545496</v>
          </cell>
          <cell r="AI285">
            <v>3900</v>
          </cell>
          <cell r="AK285">
            <v>2245.454545454545</v>
          </cell>
        </row>
        <row r="286">
          <cell r="H286" t="str">
            <v>85253264375AD</v>
          </cell>
          <cell r="I286">
            <v>33566489</v>
          </cell>
          <cell r="J286" t="str">
            <v>1P사용</v>
          </cell>
          <cell r="R286" t="str">
            <v>85253264375AD</v>
          </cell>
          <cell r="S286" t="str">
            <v>suyoon53@coupang.com</v>
          </cell>
          <cell r="X286" t="str">
            <v>뉴클 케이블</v>
          </cell>
          <cell r="Y286" t="str">
            <v>뉴클 CtoC PD 충전 케이블 1.5M , 2개</v>
          </cell>
          <cell r="AB286">
            <v>0</v>
          </cell>
          <cell r="AC286">
            <v>0</v>
          </cell>
          <cell r="AG286">
            <v>1</v>
          </cell>
        </row>
        <row r="287">
          <cell r="H287" t="str">
            <v>85253264375S</v>
          </cell>
          <cell r="I287">
            <v>33566489</v>
          </cell>
          <cell r="R287" t="str">
            <v>85253264375S</v>
          </cell>
          <cell r="X287" t="str">
            <v>뉴클 케이블</v>
          </cell>
          <cell r="Y287" t="str">
            <v>뉴클 CtoC PD 충전 케이블 1.5M , 2개</v>
          </cell>
          <cell r="AC287" t="str">
            <v>개당광고비→</v>
          </cell>
          <cell r="AG287">
            <v>393</v>
          </cell>
          <cell r="AH287">
            <v>393</v>
          </cell>
        </row>
        <row r="288">
          <cell r="H288">
            <v>86016895180</v>
          </cell>
          <cell r="I288">
            <v>35811736</v>
          </cell>
          <cell r="J288" t="str">
            <v/>
          </cell>
          <cell r="K288">
            <v>102</v>
          </cell>
          <cell r="L288">
            <v>11650</v>
          </cell>
          <cell r="M288">
            <v>11650</v>
          </cell>
          <cell r="N288">
            <v>5900</v>
          </cell>
          <cell r="O288">
            <v>9900</v>
          </cell>
          <cell r="Q288">
            <v>5900</v>
          </cell>
          <cell r="R288">
            <v>86016895180</v>
          </cell>
          <cell r="S288" t="str">
            <v>윤석나BM</v>
          </cell>
          <cell r="V288">
            <v>5900</v>
          </cell>
          <cell r="W288" t="str">
            <v>https://smartstore.naver.com/psglobal1/products/10285898693</v>
          </cell>
          <cell r="X288" t="str">
            <v>뉴클 케이블</v>
          </cell>
          <cell r="Y288" t="str">
            <v>뉴클 C to 3in1 PD 충전 케이블 1.5M , 2개</v>
          </cell>
          <cell r="AA288" t="str">
            <v>https://smartstore.naver.com/psglobal1/products/10285898693</v>
          </cell>
          <cell r="AB288" t="str">
            <v>coupang.com/vp/products/7345240892?itemId=18888734668&amp;vendorItemId=86016895180</v>
          </cell>
          <cell r="AC288">
            <v>1969.090909090909</v>
          </cell>
          <cell r="AD288">
            <v>196.90909090909091</v>
          </cell>
          <cell r="AE288">
            <v>2166</v>
          </cell>
          <cell r="AG288">
            <v>4500</v>
          </cell>
          <cell r="AH288">
            <v>450</v>
          </cell>
          <cell r="AI288">
            <v>4950</v>
          </cell>
          <cell r="AK288">
            <v>2530.909090909091</v>
          </cell>
        </row>
        <row r="289">
          <cell r="H289" t="str">
            <v>86016895180AD</v>
          </cell>
          <cell r="I289">
            <v>35811736</v>
          </cell>
          <cell r="R289" t="str">
            <v>86016895180AD</v>
          </cell>
          <cell r="S289" t="str">
            <v>suyoon53@coupang.com</v>
          </cell>
          <cell r="X289" t="str">
            <v>뉴클 케이블</v>
          </cell>
          <cell r="Y289" t="str">
            <v>뉴클 C to 3in1 PD 충전 케이블 1.5M , 2개</v>
          </cell>
          <cell r="AB289">
            <v>1</v>
          </cell>
          <cell r="AC289">
            <v>2530.909090909091</v>
          </cell>
          <cell r="AG289">
            <v>2</v>
          </cell>
        </row>
        <row r="290">
          <cell r="H290" t="str">
            <v>86016895180S</v>
          </cell>
          <cell r="I290">
            <v>35811736</v>
          </cell>
          <cell r="R290" t="str">
            <v>86016895180S</v>
          </cell>
          <cell r="X290" t="str">
            <v>뉴클 케이블</v>
          </cell>
          <cell r="Y290" t="str">
            <v>뉴클 C to 3in1 PD 충전 케이블 1.5M , 2개</v>
          </cell>
          <cell r="AC290" t="str">
            <v>개당광고비→</v>
          </cell>
          <cell r="AG290">
            <v>1598.5</v>
          </cell>
          <cell r="AH290">
            <v>3197</v>
          </cell>
        </row>
        <row r="291">
          <cell r="H291">
            <v>83793479254</v>
          </cell>
          <cell r="I291">
            <v>29924928</v>
          </cell>
          <cell r="J291">
            <v>249</v>
          </cell>
          <cell r="K291">
            <v>6</v>
          </cell>
          <cell r="L291">
            <v>8220</v>
          </cell>
          <cell r="M291">
            <v>8220</v>
          </cell>
          <cell r="N291">
            <v>8810</v>
          </cell>
          <cell r="O291">
            <v>9900</v>
          </cell>
          <cell r="Q291">
            <v>8250</v>
          </cell>
          <cell r="R291">
            <v>83793479254</v>
          </cell>
          <cell r="S291" t="str">
            <v>윤석나BM</v>
          </cell>
          <cell r="V291">
            <v>6900</v>
          </cell>
          <cell r="W291" t="str">
            <v>https://smartstore.naver.com/psglobal1/products/10285903622</v>
          </cell>
          <cell r="X291" t="str">
            <v>뉴클 케이블</v>
          </cell>
          <cell r="Y291" t="str">
            <v>뉴클 충전 케이블 C타입 1.2M , 5개</v>
          </cell>
          <cell r="AB291" t="str">
            <v>coupang.com/vp/products/6903030679?itemId=16608667502&amp;vendorItemId=83793479254</v>
          </cell>
          <cell r="AC291">
            <v>1549.9999999999998</v>
          </cell>
          <cell r="AD291">
            <v>155</v>
          </cell>
          <cell r="AE291">
            <v>1705</v>
          </cell>
          <cell r="AG291">
            <v>4950</v>
          </cell>
          <cell r="AH291">
            <v>495</v>
          </cell>
          <cell r="AI291">
            <v>5445</v>
          </cell>
          <cell r="AK291">
            <v>3400</v>
          </cell>
        </row>
        <row r="292">
          <cell r="H292" t="str">
            <v>83793479254AD</v>
          </cell>
          <cell r="I292">
            <v>29924928</v>
          </cell>
          <cell r="R292" t="str">
            <v>83793479254AD</v>
          </cell>
          <cell r="S292" t="str">
            <v>suyoon53@coupang.com</v>
          </cell>
          <cell r="X292" t="str">
            <v>뉴클 케이블</v>
          </cell>
          <cell r="Y292" t="str">
            <v>뉴클 충전 케이블 C타입 1.2M , 5개</v>
          </cell>
          <cell r="AB292">
            <v>0</v>
          </cell>
          <cell r="AC292">
            <v>0</v>
          </cell>
          <cell r="AG292" t="str">
            <v>0</v>
          </cell>
        </row>
        <row r="293">
          <cell r="H293" t="str">
            <v>83793479254S</v>
          </cell>
          <cell r="I293">
            <v>29924928</v>
          </cell>
          <cell r="R293" t="str">
            <v>83793479254S</v>
          </cell>
          <cell r="X293" t="str">
            <v>뉴클 케이블</v>
          </cell>
          <cell r="Y293" t="str">
            <v>뉴클 충전 케이블 C타입 1.2M , 5개</v>
          </cell>
          <cell r="AC293" t="str">
            <v>개당광고비→</v>
          </cell>
          <cell r="AG293" t="str">
            <v>광고X</v>
          </cell>
          <cell r="AH293" t="str">
            <v>광고X</v>
          </cell>
        </row>
        <row r="294">
          <cell r="H294">
            <v>83793481194</v>
          </cell>
          <cell r="I294">
            <v>29924929</v>
          </cell>
          <cell r="J294">
            <v>198</v>
          </cell>
          <cell r="K294">
            <v>4</v>
          </cell>
          <cell r="L294">
            <v>6560</v>
          </cell>
          <cell r="M294">
            <v>6560</v>
          </cell>
          <cell r="N294">
            <v>7030</v>
          </cell>
          <cell r="O294">
            <v>7900</v>
          </cell>
          <cell r="Q294">
            <v>6580</v>
          </cell>
          <cell r="R294">
            <v>83793481194</v>
          </cell>
          <cell r="S294" t="str">
            <v>윤석나BM</v>
          </cell>
          <cell r="V294">
            <v>5500</v>
          </cell>
          <cell r="W294" t="str">
            <v>https://smartstore.naver.com/psglobal1/products/10285903384</v>
          </cell>
          <cell r="X294" t="str">
            <v>뉴클 케이블</v>
          </cell>
          <cell r="Y294" t="str">
            <v>뉴클 충전 케이블 5핀 1.2M , 5개</v>
          </cell>
          <cell r="AB294" t="str">
            <v>coupang.com/vp/products/6903031183?itemId=16608669471&amp;vendorItemId=83793481194</v>
          </cell>
          <cell r="AC294">
            <v>1386.3636363636363</v>
          </cell>
          <cell r="AD294">
            <v>138.63636363636363</v>
          </cell>
          <cell r="AE294">
            <v>1525</v>
          </cell>
          <cell r="AG294">
            <v>3949.9999999999995</v>
          </cell>
          <cell r="AH294">
            <v>395.00000000000045</v>
          </cell>
          <cell r="AI294">
            <v>4345</v>
          </cell>
          <cell r="AK294">
            <v>2563.6363636363631</v>
          </cell>
        </row>
        <row r="295">
          <cell r="H295" t="str">
            <v>83793481194AD</v>
          </cell>
          <cell r="I295">
            <v>29924929</v>
          </cell>
          <cell r="R295" t="str">
            <v>83793481194AD</v>
          </cell>
          <cell r="S295" t="str">
            <v>suyoon53@coupang.com</v>
          </cell>
          <cell r="X295" t="str">
            <v>뉴클 케이블</v>
          </cell>
          <cell r="Y295" t="str">
            <v>뉴클 충전 케이블 5핀 1.2M , 5개</v>
          </cell>
          <cell r="AB295">
            <v>0</v>
          </cell>
          <cell r="AC295">
            <v>0</v>
          </cell>
          <cell r="AG295" t="str">
            <v>0</v>
          </cell>
        </row>
        <row r="296">
          <cell r="H296" t="str">
            <v>83793481194S</v>
          </cell>
          <cell r="I296">
            <v>29924929</v>
          </cell>
          <cell r="R296" t="str">
            <v>83793481194S</v>
          </cell>
          <cell r="X296" t="str">
            <v>뉴클 케이블</v>
          </cell>
          <cell r="Y296" t="str">
            <v>뉴클 충전 케이블 5핀 1.2M , 5개</v>
          </cell>
          <cell r="AC296" t="str">
            <v>개당광고비→</v>
          </cell>
          <cell r="AG296" t="str">
            <v>광고X</v>
          </cell>
          <cell r="AH296" t="str">
            <v>광고X</v>
          </cell>
        </row>
        <row r="297">
          <cell r="H297">
            <v>83793481225</v>
          </cell>
          <cell r="I297">
            <v>29925006</v>
          </cell>
          <cell r="J297">
            <v>296</v>
          </cell>
          <cell r="K297">
            <v>59</v>
          </cell>
          <cell r="L297">
            <v>8220</v>
          </cell>
          <cell r="M297">
            <v>8220</v>
          </cell>
          <cell r="N297">
            <v>8810</v>
          </cell>
          <cell r="O297">
            <v>9900</v>
          </cell>
          <cell r="Q297">
            <v>8250</v>
          </cell>
          <cell r="R297">
            <v>83793481225</v>
          </cell>
          <cell r="S297" t="str">
            <v>윤석나BM</v>
          </cell>
          <cell r="V297">
            <v>6900</v>
          </cell>
          <cell r="W297" t="str">
            <v>https://smartstore.naver.com/psglobal1/products/10285903444</v>
          </cell>
          <cell r="X297" t="str">
            <v>뉴클 케이블</v>
          </cell>
          <cell r="Y297" t="str">
            <v>뉴클 충전 케이블 8핀 1.2M , 5개</v>
          </cell>
          <cell r="AB297" t="str">
            <v>coupang.com/vp/products/6903031191?itemId=16608669499&amp;vendorItemId=83793481225</v>
          </cell>
          <cell r="AC297">
            <v>1822.7272727272725</v>
          </cell>
          <cell r="AD297">
            <v>182.27272727272725</v>
          </cell>
          <cell r="AE297">
            <v>2005</v>
          </cell>
          <cell r="AG297">
            <v>4950</v>
          </cell>
          <cell r="AH297">
            <v>495</v>
          </cell>
          <cell r="AI297">
            <v>5445</v>
          </cell>
          <cell r="AK297">
            <v>3127.2727272727275</v>
          </cell>
        </row>
        <row r="298">
          <cell r="H298" t="str">
            <v>83793481225AD</v>
          </cell>
          <cell r="I298">
            <v>29925006</v>
          </cell>
          <cell r="R298" t="str">
            <v>83793481225AD</v>
          </cell>
          <cell r="S298" t="str">
            <v>suyoon53@coupang.com</v>
          </cell>
          <cell r="X298" t="str">
            <v>뉴클 케이블</v>
          </cell>
          <cell r="Y298" t="str">
            <v>뉴클 충전 케이블 8핀 1.2M , 5개</v>
          </cell>
          <cell r="AB298">
            <v>0</v>
          </cell>
          <cell r="AC298">
            <v>0</v>
          </cell>
          <cell r="AG298" t="str">
            <v>0</v>
          </cell>
        </row>
        <row r="299">
          <cell r="H299" t="str">
            <v>83793481225S</v>
          </cell>
          <cell r="I299">
            <v>29925006</v>
          </cell>
          <cell r="R299" t="str">
            <v>83793481225S</v>
          </cell>
          <cell r="X299" t="str">
            <v>뉴클 케이블</v>
          </cell>
          <cell r="Y299" t="str">
            <v>뉴클 충전 케이블 8핀 1.2M , 5개</v>
          </cell>
          <cell r="AC299" t="str">
            <v>개당광고비→</v>
          </cell>
          <cell r="AG299" t="str">
            <v>광고X</v>
          </cell>
          <cell r="AH299" t="str">
            <v>광고X</v>
          </cell>
        </row>
        <row r="300">
          <cell r="H300">
            <v>89642957370</v>
          </cell>
          <cell r="I300">
            <v>45357980</v>
          </cell>
          <cell r="J300">
            <v>3596</v>
          </cell>
          <cell r="K300">
            <v>529</v>
          </cell>
          <cell r="L300">
            <v>6500</v>
          </cell>
          <cell r="M300">
            <v>6500</v>
          </cell>
          <cell r="N300">
            <v>6300</v>
          </cell>
          <cell r="O300">
            <v>11650</v>
          </cell>
          <cell r="P300">
            <v>21670</v>
          </cell>
          <cell r="Q300">
            <v>6500</v>
          </cell>
          <cell r="R300">
            <v>89642957370</v>
          </cell>
          <cell r="S300" t="str">
            <v>윤석나BM</v>
          </cell>
          <cell r="V300">
            <v>6500</v>
          </cell>
          <cell r="W300" t="str">
            <v>https://smartstore.naver.com/psglobal1/products/10499005583</v>
          </cell>
          <cell r="X300" t="str">
            <v>뉴클 충전기일체형</v>
          </cell>
          <cell r="Y300" t="str">
            <v>뉴클 2.1A 8핀 일체형 충전기</v>
          </cell>
          <cell r="AA300" t="str">
            <v>https://smartstore.naver.com/psglobal1/products/10310114052?NaPm=ct%3Dlygymghk%7Cci%3D730778a7b472ec259fd8bf31c0bc142673cade78%7Ctr%3Dslsl%7Csn%3D8729604%7Chk%3D24f9794aa564d3990bfd91cc9a04b3d5d5b50e17</v>
          </cell>
          <cell r="AB300" t="str">
            <v>coupang.com/vp/products/8054338072?itemId=22601311355&amp;vendorItemId=89642957370</v>
          </cell>
          <cell r="AC300">
            <v>1264.5454545454545</v>
          </cell>
          <cell r="AD300">
            <v>126.45454545454545</v>
          </cell>
          <cell r="AE300">
            <v>1391</v>
          </cell>
          <cell r="AG300">
            <v>4727.272727272727</v>
          </cell>
          <cell r="AH300">
            <v>472.72727272727298</v>
          </cell>
          <cell r="AI300">
            <v>5200</v>
          </cell>
          <cell r="AK300">
            <v>3462.7272727272725</v>
          </cell>
        </row>
        <row r="301">
          <cell r="H301" t="str">
            <v>89642957370AD</v>
          </cell>
          <cell r="I301">
            <v>45357980</v>
          </cell>
          <cell r="R301" t="str">
            <v>89642957370AD</v>
          </cell>
          <cell r="S301" t="str">
            <v>suyoon53@coupang.com</v>
          </cell>
          <cell r="V301">
            <v>45637</v>
          </cell>
          <cell r="X301" t="str">
            <v>뉴클 충전기일체형</v>
          </cell>
          <cell r="Y301" t="str">
            <v>뉴클 2.1A 8핀 일체형 충전기</v>
          </cell>
          <cell r="AB301">
            <v>135</v>
          </cell>
          <cell r="AC301">
            <v>430439.61038961035</v>
          </cell>
          <cell r="AG301">
            <v>418</v>
          </cell>
        </row>
        <row r="302">
          <cell r="H302" t="str">
            <v>89642957370S</v>
          </cell>
          <cell r="I302">
            <v>45357980</v>
          </cell>
          <cell r="R302" t="str">
            <v>89642957370S</v>
          </cell>
          <cell r="V302">
            <v>7900</v>
          </cell>
          <cell r="X302" t="str">
            <v>뉴클 충전기일체형</v>
          </cell>
          <cell r="Y302" t="str">
            <v>뉴클 2.1A 8핀 일체형 충전기</v>
          </cell>
          <cell r="AC302" t="str">
            <v>개당광고비→</v>
          </cell>
          <cell r="AG302">
            <v>2055.6578947368421</v>
          </cell>
          <cell r="AH302">
            <v>859265</v>
          </cell>
        </row>
        <row r="303">
          <cell r="H303">
            <v>89642957370</v>
          </cell>
          <cell r="I303">
            <v>45357980</v>
          </cell>
          <cell r="R303">
            <v>89642957370</v>
          </cell>
          <cell r="X303" t="str">
            <v>뉴클 충전기일체형</v>
          </cell>
          <cell r="Y303" t="str">
            <v>아이폰충전기89642957370</v>
          </cell>
        </row>
        <row r="304">
          <cell r="H304">
            <v>89642957308</v>
          </cell>
          <cell r="I304">
            <v>45357979</v>
          </cell>
          <cell r="J304">
            <v>4008</v>
          </cell>
          <cell r="K304">
            <v>198</v>
          </cell>
          <cell r="L304">
            <v>6500</v>
          </cell>
          <cell r="M304">
            <v>6500</v>
          </cell>
          <cell r="N304">
            <v>6300</v>
          </cell>
          <cell r="O304">
            <v>11650</v>
          </cell>
          <cell r="P304">
            <v>21670</v>
          </cell>
          <cell r="Q304">
            <v>6500</v>
          </cell>
          <cell r="R304">
            <v>89642957308</v>
          </cell>
          <cell r="S304" t="str">
            <v>윤석나BM</v>
          </cell>
          <cell r="V304">
            <v>6500</v>
          </cell>
          <cell r="W304" t="str">
            <v>https://smartstore.naver.com/psglobal1/products/10310114052</v>
          </cell>
          <cell r="X304" t="str">
            <v>뉴클 충전기일체형</v>
          </cell>
          <cell r="Y304" t="str">
            <v>뉴클 2.1A C타입 일체형 충전기</v>
          </cell>
          <cell r="AB304" t="str">
            <v>coupang.com/vp/products/8054338052?itemId=22601311292&amp;vendorItemId=89642957308</v>
          </cell>
          <cell r="AC304">
            <v>1211.8181818181818</v>
          </cell>
          <cell r="AD304">
            <v>121.18181818181819</v>
          </cell>
          <cell r="AE304">
            <v>1333</v>
          </cell>
          <cell r="AG304">
            <v>4818.181818181818</v>
          </cell>
          <cell r="AH304">
            <v>481.81818181818198</v>
          </cell>
          <cell r="AI304">
            <v>5300</v>
          </cell>
          <cell r="AK304">
            <v>3606.363636363636</v>
          </cell>
        </row>
        <row r="305">
          <cell r="H305" t="str">
            <v>89642957308AD</v>
          </cell>
          <cell r="I305">
            <v>45357979</v>
          </cell>
          <cell r="R305" t="str">
            <v>89642957308AD</v>
          </cell>
          <cell r="S305" t="str">
            <v>suyoon53@coupang.com</v>
          </cell>
          <cell r="X305" t="str">
            <v>뉴클 충전기일체형</v>
          </cell>
          <cell r="Y305" t="str">
            <v>뉴클 2.1A C타입 일체형 충전기</v>
          </cell>
          <cell r="AB305">
            <v>1</v>
          </cell>
          <cell r="AC305">
            <v>3606.363636363636</v>
          </cell>
          <cell r="AG305">
            <v>57</v>
          </cell>
        </row>
        <row r="306">
          <cell r="H306" t="str">
            <v>89642957308S</v>
          </cell>
          <cell r="I306">
            <v>45357979</v>
          </cell>
          <cell r="R306" t="str">
            <v>89642957308S</v>
          </cell>
          <cell r="X306" t="str">
            <v>뉴클 충전기일체형</v>
          </cell>
          <cell r="Y306" t="str">
            <v>뉴클 2.1A C타입 일체형 충전기</v>
          </cell>
          <cell r="AC306" t="str">
            <v>개당광고비→</v>
          </cell>
          <cell r="AG306">
            <v>4572.5438596491231</v>
          </cell>
          <cell r="AH306">
            <v>260635</v>
          </cell>
        </row>
        <row r="307">
          <cell r="H307">
            <v>89642957308</v>
          </cell>
          <cell r="I307">
            <v>45357979</v>
          </cell>
          <cell r="R307">
            <v>89642957308</v>
          </cell>
          <cell r="X307" t="str">
            <v>뉴클 충전기일체형</v>
          </cell>
          <cell r="Y307" t="str">
            <v>일체형충전기89642957308</v>
          </cell>
        </row>
        <row r="308">
          <cell r="H308">
            <v>89641877704</v>
          </cell>
          <cell r="I308">
            <v>45350042</v>
          </cell>
          <cell r="J308">
            <v>0</v>
          </cell>
          <cell r="K308">
            <v>206</v>
          </cell>
          <cell r="L308">
            <v>7800</v>
          </cell>
          <cell r="M308">
            <v>7800</v>
          </cell>
          <cell r="N308">
            <v>7800</v>
          </cell>
          <cell r="O308">
            <v>14900</v>
          </cell>
          <cell r="Q308">
            <v>9850</v>
          </cell>
          <cell r="R308">
            <v>89641877704</v>
          </cell>
          <cell r="S308" t="str">
            <v>윤석나BM</v>
          </cell>
          <cell r="V308">
            <v>7800</v>
          </cell>
          <cell r="W308" t="str">
            <v>https://smartstore.naver.com/psglobal1/products/10285907961</v>
          </cell>
          <cell r="X308" t="str">
            <v>뉴클 충전기25W</v>
          </cell>
          <cell r="Y308" t="str">
            <v>뉴클 PD 25W C+A 2포트 PPS 충전기</v>
          </cell>
          <cell r="AA308" t="str">
            <v>https://store.kakao.com/nucle/products/358602905</v>
          </cell>
          <cell r="AB308" t="str">
            <v>coupang.com/vp/products/8054049966?itemId=22600224198&amp;vendorItemId=89641877704</v>
          </cell>
          <cell r="AC308">
            <v>1922.7272727272725</v>
          </cell>
          <cell r="AD308">
            <v>192.27272727272725</v>
          </cell>
          <cell r="AE308">
            <v>2115</v>
          </cell>
          <cell r="AG308">
            <v>6454.545454545454</v>
          </cell>
          <cell r="AH308">
            <v>645.45454545454595</v>
          </cell>
          <cell r="AI308">
            <v>7100</v>
          </cell>
          <cell r="AK308">
            <v>4531.818181818182</v>
          </cell>
        </row>
        <row r="309">
          <cell r="H309" t="str">
            <v>89641877704AD</v>
          </cell>
          <cell r="I309">
            <v>45350042</v>
          </cell>
          <cell r="R309" t="str">
            <v>89641877704AD</v>
          </cell>
          <cell r="S309" t="str">
            <v>suyoon53@coupang.com</v>
          </cell>
          <cell r="V309">
            <v>45611</v>
          </cell>
          <cell r="X309" t="str">
            <v>뉴클 충전기25W</v>
          </cell>
          <cell r="Y309" t="str">
            <v>뉴클 PD 25W C+A 2포트 PPS 충전기</v>
          </cell>
          <cell r="AB309">
            <v>0</v>
          </cell>
          <cell r="AC309">
            <v>0</v>
          </cell>
          <cell r="AG309">
            <v>1</v>
          </cell>
        </row>
        <row r="310">
          <cell r="H310" t="str">
            <v>89641877704S</v>
          </cell>
          <cell r="I310">
            <v>45350042</v>
          </cell>
          <cell r="R310" t="str">
            <v>89641877704S</v>
          </cell>
          <cell r="X310" t="str">
            <v>뉴클 충전기25W</v>
          </cell>
          <cell r="Y310" t="str">
            <v>뉴클 PD 25W C+A 2포트 PPS 충전기</v>
          </cell>
          <cell r="AC310" t="str">
            <v>개당광고비→</v>
          </cell>
          <cell r="AG310">
            <v>2389</v>
          </cell>
          <cell r="AH310">
            <v>2389</v>
          </cell>
        </row>
        <row r="311">
          <cell r="H311">
            <v>92410063476</v>
          </cell>
          <cell r="I311">
            <v>59503678</v>
          </cell>
          <cell r="J311">
            <v>-757</v>
          </cell>
          <cell r="K311">
            <v>198</v>
          </cell>
          <cell r="L311">
            <v>19300</v>
          </cell>
          <cell r="M311">
            <v>19300</v>
          </cell>
          <cell r="O311">
            <v>24900</v>
          </cell>
          <cell r="P311">
            <v>70940</v>
          </cell>
          <cell r="Q311">
            <v>19300</v>
          </cell>
          <cell r="R311">
            <v>92410063476</v>
          </cell>
          <cell r="V311">
            <v>18900</v>
          </cell>
          <cell r="W311" t="str">
            <v>https://smartstore.naver.com/psglobal1/products/11814120621</v>
          </cell>
          <cell r="X311" t="str">
            <v>뉴클 충전기25W</v>
          </cell>
          <cell r="Y311" t="str">
            <v>뉴클 PD 25W C+A 2포트 PPS 충전기 / 2개</v>
          </cell>
          <cell r="AB311" t="str">
            <v>coupang.com/vp/products/8744999238?itemId=25416784612&amp;vendorItemId=92410063476</v>
          </cell>
          <cell r="AC311">
            <v>3694.545454545454</v>
          </cell>
          <cell r="AD311">
            <v>369.45454545454544</v>
          </cell>
          <cell r="AE311">
            <v>4064</v>
          </cell>
          <cell r="AG311">
            <v>13581.81818181818</v>
          </cell>
          <cell r="AH311">
            <v>1358.1818181818198</v>
          </cell>
          <cell r="AI311">
            <v>14940</v>
          </cell>
          <cell r="AK311">
            <v>9887.2727272727261</v>
          </cell>
        </row>
        <row r="312">
          <cell r="H312" t="str">
            <v>92410063476AD</v>
          </cell>
          <cell r="I312">
            <v>59503678</v>
          </cell>
          <cell r="J312" t="str">
            <v>1P사용</v>
          </cell>
          <cell r="R312" t="str">
            <v>92410063476AD</v>
          </cell>
          <cell r="X312" t="str">
            <v>뉴클 충전기25W</v>
          </cell>
          <cell r="Y312" t="str">
            <v>뉴클 PD 25W C+A 2포트 PPS 충전기 / 2개</v>
          </cell>
          <cell r="AB312">
            <v>0</v>
          </cell>
          <cell r="AC312">
            <v>0</v>
          </cell>
          <cell r="AG312" t="str">
            <v>0</v>
          </cell>
        </row>
        <row r="313">
          <cell r="H313" t="str">
            <v>92410063476S</v>
          </cell>
          <cell r="I313">
            <v>59503678</v>
          </cell>
          <cell r="R313" t="str">
            <v>92410063476S</v>
          </cell>
          <cell r="X313" t="str">
            <v>뉴클 충전기25W</v>
          </cell>
          <cell r="Y313" t="str">
            <v>뉴클 PD 25W C+A 2포트 PPS 충전기 / 2개</v>
          </cell>
          <cell r="AC313" t="str">
            <v>개당광고비→</v>
          </cell>
          <cell r="AG313" t="str">
            <v>광고X</v>
          </cell>
          <cell r="AH313" t="str">
            <v>광고X</v>
          </cell>
        </row>
        <row r="314">
          <cell r="H314">
            <v>84112014400</v>
          </cell>
          <cell r="I314">
            <v>30662444</v>
          </cell>
          <cell r="J314" t="str">
            <v/>
          </cell>
          <cell r="K314">
            <v>585</v>
          </cell>
          <cell r="L314">
            <v>5900</v>
          </cell>
          <cell r="M314">
            <v>5900</v>
          </cell>
          <cell r="N314">
            <v>5800</v>
          </cell>
          <cell r="O314">
            <v>9900</v>
          </cell>
          <cell r="P314">
            <v>19340</v>
          </cell>
          <cell r="Q314">
            <v>7900</v>
          </cell>
          <cell r="R314">
            <v>84112014400</v>
          </cell>
          <cell r="S314" t="str">
            <v>윤혜주BM</v>
          </cell>
          <cell r="V314">
            <v>5900</v>
          </cell>
          <cell r="W314" t="str">
            <v>https://smartstore.naver.com/psglobal1/products/10308214524</v>
          </cell>
          <cell r="X314" t="str">
            <v>뉴클 충전기2포트</v>
          </cell>
          <cell r="Y314" t="str">
            <v>뉴클 2.1A 2포트 충전기 케이블 미 포함 2개</v>
          </cell>
          <cell r="AA314" t="str">
            <v>https://smartstore.naver.com/psglobal1/products/10308214524</v>
          </cell>
          <cell r="AB314" t="str">
            <v>coupang.com/vp/products/6958862290?itemId=16934354753&amp;vendorItemId=84112014400</v>
          </cell>
          <cell r="AC314">
            <v>2170</v>
          </cell>
          <cell r="AD314">
            <v>217</v>
          </cell>
          <cell r="AE314">
            <v>2387</v>
          </cell>
          <cell r="AG314">
            <v>3818.181818181818</v>
          </cell>
          <cell r="AH314">
            <v>381.81818181818198</v>
          </cell>
          <cell r="AI314">
            <v>4200</v>
          </cell>
          <cell r="AK314">
            <v>1648.181818181818</v>
          </cell>
        </row>
        <row r="315">
          <cell r="H315" t="str">
            <v>84112014400AD</v>
          </cell>
          <cell r="I315">
            <v>30662444</v>
          </cell>
          <cell r="J315">
            <v>3316</v>
          </cell>
          <cell r="R315" t="str">
            <v>84112014400AD</v>
          </cell>
          <cell r="S315" t="str">
            <v>hyejooisonly@coupang.com</v>
          </cell>
          <cell r="V315">
            <v>45966</v>
          </cell>
          <cell r="X315" t="str">
            <v>뉴클 충전기2포트</v>
          </cell>
          <cell r="Y315" t="str">
            <v>뉴클 2.1A 2포트 충전기 케이블 미 포함 2개</v>
          </cell>
          <cell r="AB315">
            <v>15</v>
          </cell>
          <cell r="AC315">
            <v>24722.727272727272</v>
          </cell>
          <cell r="AG315" t="str">
            <v>0</v>
          </cell>
        </row>
        <row r="316">
          <cell r="H316" t="str">
            <v>84112014400S</v>
          </cell>
          <cell r="I316">
            <v>30662444</v>
          </cell>
          <cell r="J316" t="str">
            <v>↑1P</v>
          </cell>
          <cell r="R316" t="str">
            <v>84112014400S</v>
          </cell>
          <cell r="X316" t="str">
            <v>뉴클 충전기2포트</v>
          </cell>
          <cell r="Y316" t="str">
            <v>뉴클 2.1A 2포트 충전기 케이블 미 포함 2개</v>
          </cell>
          <cell r="AC316" t="str">
            <v>개당광고비→</v>
          </cell>
          <cell r="AG316" t="str">
            <v>광고X</v>
          </cell>
          <cell r="AH316" t="str">
            <v>광고X</v>
          </cell>
        </row>
        <row r="317">
          <cell r="H317">
            <v>84112014400</v>
          </cell>
          <cell r="I317">
            <v>30662444</v>
          </cell>
          <cell r="R317">
            <v>84112014400</v>
          </cell>
          <cell r="X317" t="str">
            <v>뉴클 충전기2포트</v>
          </cell>
          <cell r="Y317" t="str">
            <v>핸드폰충전기84112014400</v>
          </cell>
        </row>
        <row r="318">
          <cell r="H318">
            <v>84112014394</v>
          </cell>
          <cell r="I318">
            <v>30662441</v>
          </cell>
          <cell r="J318" t="str">
            <v/>
          </cell>
          <cell r="K318">
            <v>15</v>
          </cell>
          <cell r="L318">
            <v>8900</v>
          </cell>
          <cell r="M318">
            <v>8900</v>
          </cell>
          <cell r="N318">
            <v>8900</v>
          </cell>
          <cell r="O318">
            <v>12900</v>
          </cell>
          <cell r="Q318">
            <v>8900</v>
          </cell>
          <cell r="R318">
            <v>84112014394</v>
          </cell>
          <cell r="S318" t="str">
            <v>윤혜주BM</v>
          </cell>
          <cell r="V318">
            <v>8900</v>
          </cell>
          <cell r="W318" t="str">
            <v>https://smartstore.naver.com/psglobal1/products/10308214447</v>
          </cell>
          <cell r="X318" t="str">
            <v>뉴클 충전기2포트</v>
          </cell>
          <cell r="Y318" t="str">
            <v>뉴클 2.1A 2포트 (C케이블 포함) 충전기 2개</v>
          </cell>
          <cell r="AB318" t="str">
            <v>coupang.com/vp/products/6958862288?itemId=16934354748&amp;vendorItemId=84112014394</v>
          </cell>
          <cell r="AC318">
            <v>2670.9090909090905</v>
          </cell>
          <cell r="AD318">
            <v>267.09090909090907</v>
          </cell>
          <cell r="AE318">
            <v>2938</v>
          </cell>
          <cell r="AG318">
            <v>6450.9090909090901</v>
          </cell>
          <cell r="AH318">
            <v>645.09090909090992</v>
          </cell>
          <cell r="AI318">
            <v>7096</v>
          </cell>
          <cell r="AK318">
            <v>3779.9999999999995</v>
          </cell>
        </row>
        <row r="319">
          <cell r="H319" t="str">
            <v>84112014394AD</v>
          </cell>
          <cell r="I319">
            <v>30662441</v>
          </cell>
          <cell r="J319" t="str">
            <v>1P사용</v>
          </cell>
          <cell r="O319" t="str">
            <v>22.11.4</v>
          </cell>
          <cell r="R319" t="str">
            <v>84112014394AD</v>
          </cell>
          <cell r="S319" t="str">
            <v>hyejooisonly@coupang.com</v>
          </cell>
          <cell r="X319" t="str">
            <v>뉴클 충전기2포트</v>
          </cell>
          <cell r="Y319" t="str">
            <v>뉴클 2.1A 2포트 (C케이블 포함) 충전기 2개</v>
          </cell>
          <cell r="AB319">
            <v>0</v>
          </cell>
          <cell r="AC319">
            <v>0</v>
          </cell>
          <cell r="AG319" t="str">
            <v>0</v>
          </cell>
        </row>
        <row r="320">
          <cell r="H320" t="str">
            <v>84112014394S</v>
          </cell>
          <cell r="I320">
            <v>30662441</v>
          </cell>
          <cell r="R320" t="str">
            <v>84112014394S</v>
          </cell>
          <cell r="X320" t="str">
            <v>뉴클 충전기2포트</v>
          </cell>
          <cell r="Y320" t="str">
            <v>뉴클 2.1A 2포트 (C케이블 포함) 충전기 2개</v>
          </cell>
          <cell r="AC320" t="str">
            <v>개당광고비→</v>
          </cell>
          <cell r="AG320" t="str">
            <v>광고X</v>
          </cell>
          <cell r="AH320" t="str">
            <v>광고X</v>
          </cell>
        </row>
        <row r="321">
          <cell r="H321">
            <v>84112014369</v>
          </cell>
          <cell r="I321">
            <v>30662438</v>
          </cell>
          <cell r="J321" t="str">
            <v/>
          </cell>
          <cell r="K321">
            <v>15</v>
          </cell>
          <cell r="L321">
            <v>13350</v>
          </cell>
          <cell r="M321">
            <v>13350</v>
          </cell>
          <cell r="N321">
            <v>10900</v>
          </cell>
          <cell r="O321">
            <v>14900</v>
          </cell>
          <cell r="Q321">
            <v>13350</v>
          </cell>
          <cell r="R321">
            <v>84112014369</v>
          </cell>
          <cell r="S321" t="str">
            <v>윤혜주BM</v>
          </cell>
          <cell r="V321">
            <v>10900</v>
          </cell>
          <cell r="W321" t="str">
            <v>https://smartstore.naver.com/psglobal1/products/10311693672</v>
          </cell>
          <cell r="X321" t="str">
            <v>뉴클 충전기2포트</v>
          </cell>
          <cell r="Y321" t="str">
            <v>뉴클 2.1A 2포트 (C케이블 포함) 충전기 3개</v>
          </cell>
          <cell r="AB321" t="str">
            <v>coupang.com/vp/products/6958862288?itemId=16934354742&amp;vendorItemId=84112014369</v>
          </cell>
          <cell r="AC321">
            <v>4272.7272727272721</v>
          </cell>
          <cell r="AD321">
            <v>427.27272727272725</v>
          </cell>
          <cell r="AE321">
            <v>4700</v>
          </cell>
          <cell r="AG321">
            <v>7449.9999999999991</v>
          </cell>
          <cell r="AH321">
            <v>745.00000000000091</v>
          </cell>
          <cell r="AI321">
            <v>8195</v>
          </cell>
          <cell r="AK321">
            <v>3177.272727272727</v>
          </cell>
        </row>
        <row r="322">
          <cell r="H322" t="str">
            <v>84112014369AD</v>
          </cell>
          <cell r="I322">
            <v>30662438</v>
          </cell>
          <cell r="J322" t="str">
            <v>1P사용</v>
          </cell>
          <cell r="R322" t="str">
            <v>84112014369AD</v>
          </cell>
          <cell r="S322" t="str">
            <v>hyejooisonly@coupang.com</v>
          </cell>
          <cell r="X322" t="str">
            <v>뉴클 충전기2포트</v>
          </cell>
          <cell r="Y322" t="str">
            <v>뉴클 2.1A 2포트 (C케이블 포함) 충전기 3개</v>
          </cell>
          <cell r="AB322">
            <v>0</v>
          </cell>
          <cell r="AC322">
            <v>0</v>
          </cell>
          <cell r="AG322" t="str">
            <v>0</v>
          </cell>
        </row>
        <row r="323">
          <cell r="H323" t="str">
            <v>84112014369S</v>
          </cell>
          <cell r="I323">
            <v>30662438</v>
          </cell>
          <cell r="R323" t="str">
            <v>84112014369S</v>
          </cell>
          <cell r="X323" t="str">
            <v>뉴클 충전기2포트</v>
          </cell>
          <cell r="Y323" t="str">
            <v>뉴클 2.1A 2포트 (C케이블 포함) 충전기 3개</v>
          </cell>
          <cell r="AC323" t="str">
            <v>개당광고비→</v>
          </cell>
          <cell r="AG323" t="str">
            <v>광고X</v>
          </cell>
          <cell r="AH323" t="str">
            <v>광고X</v>
          </cell>
        </row>
        <row r="324">
          <cell r="H324">
            <v>84112014384</v>
          </cell>
          <cell r="I324">
            <v>30662440</v>
          </cell>
          <cell r="J324" t="str">
            <v/>
          </cell>
          <cell r="K324">
            <v>146</v>
          </cell>
          <cell r="L324">
            <v>12950</v>
          </cell>
          <cell r="M324">
            <v>12950</v>
          </cell>
          <cell r="N324">
            <v>8850</v>
          </cell>
          <cell r="O324">
            <v>14900</v>
          </cell>
          <cell r="Q324">
            <v>13090</v>
          </cell>
          <cell r="R324">
            <v>84112014384</v>
          </cell>
          <cell r="S324" t="str">
            <v>윤혜주BM</v>
          </cell>
          <cell r="V324">
            <v>10900</v>
          </cell>
          <cell r="W324" t="str">
            <v>https://smartstore.naver.com/psglobal1/products/10311692842</v>
          </cell>
          <cell r="X324" t="str">
            <v>뉴클 충전기2포트</v>
          </cell>
          <cell r="Y324" t="str">
            <v>뉴클 2.1A 2포트 (8케이블 포함) 충전기 3개</v>
          </cell>
          <cell r="AB324" t="str">
            <v>coupang.com/vp/products/6958862293?itemId=16934354762&amp;vendorItemId=84112014384</v>
          </cell>
          <cell r="AC324">
            <v>4363.6363636363631</v>
          </cell>
          <cell r="AD324">
            <v>436.36363636363632</v>
          </cell>
          <cell r="AE324">
            <v>4800</v>
          </cell>
          <cell r="AG324">
            <v>7449.9999999999991</v>
          </cell>
          <cell r="AH324">
            <v>745.00000000000091</v>
          </cell>
          <cell r="AI324">
            <v>8195</v>
          </cell>
          <cell r="AK324">
            <v>3086.363636363636</v>
          </cell>
        </row>
        <row r="325">
          <cell r="H325" t="str">
            <v>84112014384AD</v>
          </cell>
          <cell r="I325">
            <v>30662440</v>
          </cell>
          <cell r="J325" t="str">
            <v>1P사용</v>
          </cell>
          <cell r="R325" t="str">
            <v>84112014384AD</v>
          </cell>
          <cell r="S325" t="str">
            <v>hyejooisonly@coupang.com</v>
          </cell>
          <cell r="X325" t="str">
            <v>뉴클 충전기2포트</v>
          </cell>
          <cell r="Y325" t="str">
            <v>뉴클 2.1A 2포트 (8케이블 포함) 충전기 3개</v>
          </cell>
          <cell r="AB325">
            <v>0</v>
          </cell>
          <cell r="AC325">
            <v>0</v>
          </cell>
          <cell r="AG325" t="str">
            <v>0</v>
          </cell>
        </row>
        <row r="326">
          <cell r="H326" t="str">
            <v>84112014384S</v>
          </cell>
          <cell r="I326">
            <v>30662440</v>
          </cell>
          <cell r="R326" t="str">
            <v>84112014384S</v>
          </cell>
          <cell r="X326" t="str">
            <v>뉴클 충전기2포트</v>
          </cell>
          <cell r="Y326" t="str">
            <v>뉴클 2.1A 2포트 (8케이블 포함) 충전기 3개</v>
          </cell>
          <cell r="AC326" t="str">
            <v>개당광고비→</v>
          </cell>
          <cell r="AG326" t="str">
            <v>광고X</v>
          </cell>
          <cell r="AH326" t="str">
            <v>광고X</v>
          </cell>
        </row>
        <row r="327">
          <cell r="H327">
            <v>84112014403</v>
          </cell>
          <cell r="I327">
            <v>30662443</v>
          </cell>
          <cell r="J327" t="str">
            <v/>
          </cell>
          <cell r="K327">
            <v>146</v>
          </cell>
          <cell r="L327">
            <v>11220</v>
          </cell>
          <cell r="M327">
            <v>11220</v>
          </cell>
          <cell r="N327">
            <v>5900</v>
          </cell>
          <cell r="O327">
            <v>12900</v>
          </cell>
          <cell r="Q327">
            <v>11330</v>
          </cell>
          <cell r="R327">
            <v>84112014403</v>
          </cell>
          <cell r="S327" t="str">
            <v>윤혜주BM</v>
          </cell>
          <cell r="V327">
            <v>5900</v>
          </cell>
          <cell r="W327" t="str">
            <v>https://smartstore.naver.com/psglobal1/products/10311691900</v>
          </cell>
          <cell r="X327" t="str">
            <v>뉴클 충전기2포트</v>
          </cell>
          <cell r="Y327" t="str">
            <v>뉴클 2.1A 2포트 (8케이블 포함) 충전기 2개</v>
          </cell>
          <cell r="AB327" t="str">
            <v>coupang.com/vp/products/6958862293?itemId=16934354767&amp;vendorItemId=84112014403</v>
          </cell>
          <cell r="AC327">
            <v>2999.9999999999995</v>
          </cell>
          <cell r="AD327">
            <v>299.99999999999994</v>
          </cell>
          <cell r="AE327">
            <v>3300</v>
          </cell>
          <cell r="AG327">
            <v>4145.454545454545</v>
          </cell>
          <cell r="AH327">
            <v>414.54545454545496</v>
          </cell>
          <cell r="AI327">
            <v>4560</v>
          </cell>
          <cell r="AK327">
            <v>1145.4545454545455</v>
          </cell>
        </row>
        <row r="328">
          <cell r="H328" t="str">
            <v>84112014403AD</v>
          </cell>
          <cell r="I328">
            <v>30662443</v>
          </cell>
          <cell r="J328" t="str">
            <v>1P사용</v>
          </cell>
          <cell r="R328" t="str">
            <v>84112014403AD</v>
          </cell>
          <cell r="S328" t="str">
            <v>hyejooisonly@coupang.com</v>
          </cell>
          <cell r="X328" t="str">
            <v>뉴클 충전기2포트</v>
          </cell>
          <cell r="Y328" t="str">
            <v>뉴클 2.1A 2포트 (8케이블 포함) 충전기 2개</v>
          </cell>
          <cell r="AB328">
            <v>0</v>
          </cell>
          <cell r="AC328">
            <v>0</v>
          </cell>
          <cell r="AG328" t="str">
            <v>0</v>
          </cell>
        </row>
        <row r="329">
          <cell r="H329" t="str">
            <v>84112014403S</v>
          </cell>
          <cell r="I329">
            <v>30662443</v>
          </cell>
          <cell r="R329" t="str">
            <v>84112014403S</v>
          </cell>
          <cell r="X329" t="str">
            <v>뉴클 충전기2포트</v>
          </cell>
          <cell r="Y329" t="str">
            <v>뉴클 2.1A 2포트 (8케이블 포함) 충전기 2개</v>
          </cell>
          <cell r="AC329" t="str">
            <v>개당광고비→</v>
          </cell>
          <cell r="AG329" t="str">
            <v>광고X</v>
          </cell>
          <cell r="AH329" t="str">
            <v>광고X</v>
          </cell>
        </row>
        <row r="330">
          <cell r="H330">
            <v>94198822358</v>
          </cell>
          <cell r="I330">
            <v>67446050</v>
          </cell>
          <cell r="J330">
            <v>-258</v>
          </cell>
          <cell r="K330" t="str">
            <v>-</v>
          </cell>
          <cell r="L330">
            <v>7900</v>
          </cell>
          <cell r="M330">
            <v>7900</v>
          </cell>
          <cell r="N330">
            <v>5900</v>
          </cell>
          <cell r="O330">
            <v>12900</v>
          </cell>
          <cell r="Q330">
            <v>11330</v>
          </cell>
          <cell r="R330">
            <v>94198822358</v>
          </cell>
          <cell r="S330" t="str">
            <v>윤혜주BM</v>
          </cell>
          <cell r="V330">
            <v>7900</v>
          </cell>
          <cell r="W330" t="str">
            <v>https://smartstore.naver.com/psglobal1/products/11915742424</v>
          </cell>
          <cell r="X330" t="str">
            <v>뉴클 케이스_프레임리스_아이폰17</v>
          </cell>
          <cell r="Y330" t="str">
            <v>뉴클 프레임리스 케이스 블루 아이폰17</v>
          </cell>
          <cell r="AB330" t="str">
            <v>coupang.com/vp/products/9216974369?itemId=27231680401&amp;vendorItemId=94198822358</v>
          </cell>
          <cell r="AC330">
            <v>1454.5454545454545</v>
          </cell>
          <cell r="AD330">
            <v>145.45454545454547</v>
          </cell>
          <cell r="AE330">
            <v>1600</v>
          </cell>
          <cell r="AG330">
            <v>6363.6363636363631</v>
          </cell>
          <cell r="AH330">
            <v>636.36363636363694</v>
          </cell>
          <cell r="AI330">
            <v>7000</v>
          </cell>
          <cell r="AK330">
            <v>4909.0909090909081</v>
          </cell>
        </row>
        <row r="331">
          <cell r="H331" t="str">
            <v>94198822358AD</v>
          </cell>
          <cell r="I331">
            <v>67446050</v>
          </cell>
          <cell r="R331" t="str">
            <v>94198822358AD</v>
          </cell>
          <cell r="S331" t="str">
            <v>hyejooisonly@coupang.com</v>
          </cell>
          <cell r="X331" t="str">
            <v>뉴클 케이스_프레임리스_아이폰17</v>
          </cell>
          <cell r="Y331" t="str">
            <v>뉴클 프레임리스 케이스 블루 아이폰17</v>
          </cell>
          <cell r="AB331">
            <v>0</v>
          </cell>
          <cell r="AC331">
            <v>0</v>
          </cell>
          <cell r="AG331" t="str">
            <v>0</v>
          </cell>
        </row>
        <row r="332">
          <cell r="H332" t="str">
            <v>94198822358S</v>
          </cell>
          <cell r="I332">
            <v>67446050</v>
          </cell>
          <cell r="R332" t="str">
            <v>94198822358S</v>
          </cell>
          <cell r="X332" t="str">
            <v>뉴클 케이스_프레임리스_아이폰17</v>
          </cell>
          <cell r="Y332" t="str">
            <v>뉴클 프레임리스 케이스 블루 아이폰17</v>
          </cell>
          <cell r="AC332" t="str">
            <v>개당광고비→</v>
          </cell>
          <cell r="AG332" t="str">
            <v>광고X</v>
          </cell>
          <cell r="AH332" t="str">
            <v>광고X</v>
          </cell>
        </row>
        <row r="333">
          <cell r="H333">
            <v>94198822356</v>
          </cell>
          <cell r="I333">
            <v>67446061</v>
          </cell>
          <cell r="J333">
            <v>167</v>
          </cell>
          <cell r="K333" t="str">
            <v>-</v>
          </cell>
          <cell r="L333">
            <v>7900</v>
          </cell>
          <cell r="M333">
            <v>7900</v>
          </cell>
          <cell r="N333">
            <v>5900</v>
          </cell>
          <cell r="O333">
            <v>12900</v>
          </cell>
          <cell r="Q333">
            <v>11330</v>
          </cell>
          <cell r="R333">
            <v>94198822356</v>
          </cell>
          <cell r="S333" t="str">
            <v>윤혜주BM</v>
          </cell>
          <cell r="V333">
            <v>7900</v>
          </cell>
          <cell r="W333" t="str">
            <v>https://smartstore.naver.com/psglobal1/products/11915742424</v>
          </cell>
          <cell r="X333" t="str">
            <v>뉴클 케이스_프레임리스_아이폰17</v>
          </cell>
          <cell r="Y333" t="str">
            <v>뉴클 프레임리스 케이스 블루 아이폰17 프로</v>
          </cell>
          <cell r="AB333" t="str">
            <v>coupang.com/vp/products/9216974369?itemId=27231680417&amp;vendorItemId=94198822356</v>
          </cell>
          <cell r="AC333">
            <v>1454.5454545454545</v>
          </cell>
          <cell r="AD333">
            <v>145.45454545454547</v>
          </cell>
          <cell r="AE333">
            <v>1600</v>
          </cell>
          <cell r="AG333">
            <v>6363.6363636363631</v>
          </cell>
          <cell r="AH333">
            <v>636.36363636363694</v>
          </cell>
          <cell r="AI333">
            <v>7000</v>
          </cell>
          <cell r="AK333">
            <v>4909.0909090909081</v>
          </cell>
        </row>
        <row r="334">
          <cell r="H334" t="str">
            <v>94198822356AD</v>
          </cell>
          <cell r="I334">
            <v>67446061</v>
          </cell>
          <cell r="R334" t="str">
            <v>94198822356AD</v>
          </cell>
          <cell r="S334" t="str">
            <v>hyejooisonly@coupang.com</v>
          </cell>
          <cell r="X334" t="str">
            <v>뉴클 케이스_프레임리스_아이폰17</v>
          </cell>
          <cell r="Y334" t="str">
            <v>뉴클 프레임리스 케이스 블루 아이폰17 프로</v>
          </cell>
          <cell r="AB334">
            <v>10</v>
          </cell>
          <cell r="AC334">
            <v>49090.909090909081</v>
          </cell>
          <cell r="AG334">
            <v>8</v>
          </cell>
        </row>
        <row r="335">
          <cell r="H335" t="str">
            <v>94198822356S</v>
          </cell>
          <cell r="I335">
            <v>67446061</v>
          </cell>
          <cell r="R335" t="str">
            <v>94198822356S</v>
          </cell>
          <cell r="X335" t="str">
            <v>뉴클 케이스_프레임리스_아이폰17</v>
          </cell>
          <cell r="Y335" t="str">
            <v>뉴클 프레임리스 케이스 블루 아이폰17 프로</v>
          </cell>
          <cell r="AC335" t="str">
            <v>개당광고비→</v>
          </cell>
          <cell r="AG335">
            <v>5882.75</v>
          </cell>
          <cell r="AH335">
            <v>47062</v>
          </cell>
        </row>
        <row r="336">
          <cell r="H336">
            <v>94198822355</v>
          </cell>
          <cell r="I336">
            <v>67446055</v>
          </cell>
          <cell r="J336">
            <v>-1318</v>
          </cell>
          <cell r="K336" t="str">
            <v>-</v>
          </cell>
          <cell r="L336">
            <v>7900</v>
          </cell>
          <cell r="M336">
            <v>7900</v>
          </cell>
          <cell r="N336">
            <v>5900</v>
          </cell>
          <cell r="O336">
            <v>12900</v>
          </cell>
          <cell r="Q336">
            <v>11330</v>
          </cell>
          <cell r="R336">
            <v>94198822355</v>
          </cell>
          <cell r="S336" t="str">
            <v>윤혜주BM</v>
          </cell>
          <cell r="V336">
            <v>7900</v>
          </cell>
          <cell r="W336" t="str">
            <v>https://smartstore.naver.com/psglobal1/products/11915742424</v>
          </cell>
          <cell r="X336" t="str">
            <v>뉴클 케이스_프레임리스_아이폰17</v>
          </cell>
          <cell r="Y336" t="str">
            <v>뉴클 프레임리스 케이스 밀키 화이트 아이폰17</v>
          </cell>
          <cell r="AB336" t="str">
            <v>coupang.com/vp/products/9216974369?itemId=27231680409&amp;vendorItemId=94198822355</v>
          </cell>
          <cell r="AC336">
            <v>1454.5454545454545</v>
          </cell>
          <cell r="AD336">
            <v>145.45454545454547</v>
          </cell>
          <cell r="AE336">
            <v>1600</v>
          </cell>
          <cell r="AG336">
            <v>6363.6363636363631</v>
          </cell>
          <cell r="AH336">
            <v>636.36363636363694</v>
          </cell>
          <cell r="AI336">
            <v>7000</v>
          </cell>
          <cell r="AK336">
            <v>4909.0909090909081</v>
          </cell>
        </row>
        <row r="337">
          <cell r="H337" t="str">
            <v>94198822355AD</v>
          </cell>
          <cell r="I337">
            <v>67446055</v>
          </cell>
          <cell r="R337" t="str">
            <v>94198822355AD</v>
          </cell>
          <cell r="S337" t="str">
            <v>hyejooisonly@coupang.com</v>
          </cell>
          <cell r="X337" t="str">
            <v>뉴클 케이스_프레임리스_아이폰17</v>
          </cell>
          <cell r="Y337" t="str">
            <v>뉴클 프레임리스 케이스 밀키 화이트 아이폰17</v>
          </cell>
          <cell r="AB337">
            <v>0</v>
          </cell>
          <cell r="AC337">
            <v>0</v>
          </cell>
          <cell r="AG337">
            <v>0</v>
          </cell>
        </row>
        <row r="338">
          <cell r="H338" t="str">
            <v>94198822355S</v>
          </cell>
          <cell r="I338">
            <v>67446055</v>
          </cell>
          <cell r="R338" t="str">
            <v>94198822355S</v>
          </cell>
          <cell r="X338" t="str">
            <v>뉴클 케이스_프레임리스_아이폰17</v>
          </cell>
          <cell r="Y338" t="str">
            <v>뉴클 프레임리스 케이스 밀키 화이트 아이폰17</v>
          </cell>
          <cell r="AC338" t="str">
            <v>개당광고비→</v>
          </cell>
          <cell r="AG338" t="str">
            <v>광고X</v>
          </cell>
          <cell r="AH338">
            <v>4289</v>
          </cell>
        </row>
        <row r="339">
          <cell r="H339">
            <v>94198822357</v>
          </cell>
          <cell r="I339">
            <v>67446066</v>
          </cell>
          <cell r="J339">
            <v>-497</v>
          </cell>
          <cell r="K339" t="str">
            <v>-</v>
          </cell>
          <cell r="L339">
            <v>7900</v>
          </cell>
          <cell r="M339">
            <v>7900</v>
          </cell>
          <cell r="N339">
            <v>5900</v>
          </cell>
          <cell r="O339">
            <v>12900</v>
          </cell>
          <cell r="Q339">
            <v>11330</v>
          </cell>
          <cell r="R339">
            <v>94198822357</v>
          </cell>
          <cell r="S339" t="str">
            <v>윤혜주BM</v>
          </cell>
          <cell r="V339">
            <v>7900</v>
          </cell>
          <cell r="W339" t="str">
            <v>https://smartstore.naver.com/psglobal1/products/11915742424</v>
          </cell>
          <cell r="X339" t="str">
            <v>뉴클 케이스_프레임리스_아이폰17</v>
          </cell>
          <cell r="Y339" t="str">
            <v>뉴클 프레임리스 케이스 밀키 화이트 아이폰17 프로</v>
          </cell>
          <cell r="AB339" t="str">
            <v>coupang.com/vp/products/9216974369?itemId=27231680424&amp;vendorItemId=94198822357</v>
          </cell>
          <cell r="AC339">
            <v>1454.5454545454545</v>
          </cell>
          <cell r="AD339">
            <v>145.45454545454547</v>
          </cell>
          <cell r="AE339">
            <v>1600</v>
          </cell>
          <cell r="AG339">
            <v>6363.6363636363631</v>
          </cell>
          <cell r="AH339">
            <v>636.36363636363694</v>
          </cell>
          <cell r="AI339">
            <v>7000</v>
          </cell>
          <cell r="AK339">
            <v>4909.0909090909081</v>
          </cell>
        </row>
        <row r="340">
          <cell r="H340" t="str">
            <v>94198822357AD</v>
          </cell>
          <cell r="I340">
            <v>67446066</v>
          </cell>
          <cell r="R340" t="str">
            <v>94198822357AD</v>
          </cell>
          <cell r="S340" t="str">
            <v>hyejooisonly@coupang.com</v>
          </cell>
          <cell r="X340" t="str">
            <v>뉴클 케이스_프레임리스_아이폰17</v>
          </cell>
          <cell r="Y340" t="str">
            <v>뉴클 프레임리스 케이스 밀키 화이트 아이폰17 프로</v>
          </cell>
          <cell r="AB340">
            <v>0</v>
          </cell>
          <cell r="AC340">
            <v>0</v>
          </cell>
          <cell r="AG340" t="str">
            <v>0</v>
          </cell>
        </row>
        <row r="341">
          <cell r="H341" t="str">
            <v>94198822357S</v>
          </cell>
          <cell r="I341">
            <v>67446066</v>
          </cell>
          <cell r="R341" t="str">
            <v>94198822357S</v>
          </cell>
          <cell r="X341" t="str">
            <v>뉴클 케이스_프레임리스_아이폰17</v>
          </cell>
          <cell r="Y341" t="str">
            <v>뉴클 프레임리스 케이스 밀키 화이트 아이폰17 프로</v>
          </cell>
          <cell r="AC341" t="str">
            <v>개당광고비→</v>
          </cell>
          <cell r="AG341" t="str">
            <v>광고X</v>
          </cell>
          <cell r="AH341" t="str">
            <v>광고X</v>
          </cell>
        </row>
        <row r="342">
          <cell r="H342">
            <v>94198822351</v>
          </cell>
          <cell r="I342">
            <v>67446053</v>
          </cell>
          <cell r="J342">
            <v>-30</v>
          </cell>
          <cell r="K342" t="str">
            <v>-</v>
          </cell>
          <cell r="L342">
            <v>7900</v>
          </cell>
          <cell r="M342">
            <v>7900</v>
          </cell>
          <cell r="N342">
            <v>5900</v>
          </cell>
          <cell r="O342">
            <v>12900</v>
          </cell>
          <cell r="Q342">
            <v>11330</v>
          </cell>
          <cell r="R342">
            <v>94198822351</v>
          </cell>
          <cell r="S342" t="str">
            <v>윤혜주BM</v>
          </cell>
          <cell r="V342">
            <v>7900</v>
          </cell>
          <cell r="W342" t="str">
            <v>https://smartstore.naver.com/psglobal1/products/11915742424</v>
          </cell>
          <cell r="X342" t="str">
            <v>뉴클 케이스_프레임리스_아이폰17</v>
          </cell>
          <cell r="Y342" t="str">
            <v>뉴클 프레임리스 케이스 핑크 아이폰17</v>
          </cell>
          <cell r="AB342" t="str">
            <v>coupang.com/vp/products/9216974369?itemId=27231680406&amp;vendorItemId=94198822351</v>
          </cell>
          <cell r="AC342">
            <v>1454.5454545454545</v>
          </cell>
          <cell r="AD342">
            <v>145.45454545454547</v>
          </cell>
          <cell r="AE342">
            <v>1600</v>
          </cell>
          <cell r="AG342">
            <v>6363.6363636363631</v>
          </cell>
          <cell r="AH342">
            <v>636.36363636363694</v>
          </cell>
          <cell r="AI342">
            <v>7000</v>
          </cell>
          <cell r="AK342">
            <v>4909.0909090909081</v>
          </cell>
        </row>
        <row r="343">
          <cell r="H343" t="str">
            <v>94198822351AD</v>
          </cell>
          <cell r="I343">
            <v>67446053</v>
          </cell>
          <cell r="R343" t="str">
            <v>94198822351AD</v>
          </cell>
          <cell r="S343" t="str">
            <v>hyejooisonly@coupang.com</v>
          </cell>
          <cell r="X343" t="str">
            <v>뉴클 케이스_프레임리스_아이폰17</v>
          </cell>
          <cell r="Y343" t="str">
            <v>뉴클 프레임리스 케이스 핑크 아이폰17</v>
          </cell>
          <cell r="AB343">
            <v>0</v>
          </cell>
          <cell r="AC343">
            <v>0</v>
          </cell>
          <cell r="AG343">
            <v>1</v>
          </cell>
        </row>
        <row r="344">
          <cell r="H344" t="str">
            <v>94198822351S</v>
          </cell>
          <cell r="I344">
            <v>67446053</v>
          </cell>
          <cell r="R344" t="str">
            <v>94198822351S</v>
          </cell>
          <cell r="X344" t="str">
            <v>뉴클 케이스_프레임리스_아이폰17</v>
          </cell>
          <cell r="Y344" t="str">
            <v>뉴클 프레임리스 케이스 핑크 아이폰17</v>
          </cell>
          <cell r="AC344" t="str">
            <v>개당광고비→</v>
          </cell>
          <cell r="AG344">
            <v>3648</v>
          </cell>
          <cell r="AH344">
            <v>3648</v>
          </cell>
        </row>
        <row r="345">
          <cell r="H345">
            <v>94198822354</v>
          </cell>
          <cell r="I345">
            <v>67446064</v>
          </cell>
          <cell r="J345">
            <v>-111</v>
          </cell>
          <cell r="K345" t="str">
            <v>-</v>
          </cell>
          <cell r="L345">
            <v>7900</v>
          </cell>
          <cell r="M345">
            <v>7900</v>
          </cell>
          <cell r="N345">
            <v>5900</v>
          </cell>
          <cell r="O345">
            <v>12900</v>
          </cell>
          <cell r="Q345">
            <v>11330</v>
          </cell>
          <cell r="R345">
            <v>94198822354</v>
          </cell>
          <cell r="S345" t="str">
            <v>윤혜주BM</v>
          </cell>
          <cell r="V345">
            <v>7900</v>
          </cell>
          <cell r="W345" t="str">
            <v>https://smartstore.naver.com/psglobal1/products/11915742424</v>
          </cell>
          <cell r="X345" t="str">
            <v>뉴클 케이스_프레임리스_아이폰17</v>
          </cell>
          <cell r="Y345" t="str">
            <v>뉴클 프레임리스 케이스 핑크 아이폰17 프로</v>
          </cell>
          <cell r="AB345" t="str">
            <v>coupang.com/vp/products/9216974369?itemId=27231680422&amp;vendorItemId=94198822354</v>
          </cell>
          <cell r="AC345">
            <v>1454.5454545454545</v>
          </cell>
          <cell r="AD345">
            <v>145.45454545454547</v>
          </cell>
          <cell r="AE345">
            <v>1600</v>
          </cell>
          <cell r="AG345">
            <v>6363.6363636363631</v>
          </cell>
          <cell r="AH345">
            <v>636.36363636363694</v>
          </cell>
          <cell r="AI345">
            <v>7000</v>
          </cell>
          <cell r="AK345">
            <v>4909.0909090909081</v>
          </cell>
        </row>
        <row r="346">
          <cell r="H346" t="str">
            <v>94198822354AD</v>
          </cell>
          <cell r="I346">
            <v>67446064</v>
          </cell>
          <cell r="R346" t="str">
            <v>94198822354AD</v>
          </cell>
          <cell r="S346" t="str">
            <v>hyejooisonly@coupang.com</v>
          </cell>
          <cell r="X346" t="str">
            <v>뉴클 케이스_프레임리스_아이폰17</v>
          </cell>
          <cell r="Y346" t="str">
            <v>뉴클 프레임리스 케이스 핑크 아이폰17 프로</v>
          </cell>
          <cell r="AB346">
            <v>0</v>
          </cell>
          <cell r="AC346">
            <v>0</v>
          </cell>
          <cell r="AG346" t="str">
            <v>0</v>
          </cell>
        </row>
        <row r="347">
          <cell r="H347" t="str">
            <v>94198822354S</v>
          </cell>
          <cell r="I347">
            <v>67446064</v>
          </cell>
          <cell r="R347" t="str">
            <v>94198822354S</v>
          </cell>
          <cell r="X347" t="str">
            <v>뉴클 케이스_프레임리스_아이폰17</v>
          </cell>
          <cell r="Y347" t="str">
            <v>뉴클 프레임리스 케이스 핑크 아이폰17 프로</v>
          </cell>
          <cell r="AC347" t="str">
            <v>개당광고비→</v>
          </cell>
          <cell r="AG347" t="str">
            <v>광고X</v>
          </cell>
          <cell r="AH347" t="str">
            <v>광고X</v>
          </cell>
        </row>
        <row r="348">
          <cell r="H348">
            <v>94198822350</v>
          </cell>
          <cell r="I348">
            <v>67446049</v>
          </cell>
          <cell r="J348">
            <v>-146</v>
          </cell>
          <cell r="K348" t="str">
            <v>-</v>
          </cell>
          <cell r="L348">
            <v>7900</v>
          </cell>
          <cell r="M348">
            <v>7900</v>
          </cell>
          <cell r="N348">
            <v>5900</v>
          </cell>
          <cell r="O348">
            <v>12900</v>
          </cell>
          <cell r="Q348">
            <v>11330</v>
          </cell>
          <cell r="R348">
            <v>94198822350</v>
          </cell>
          <cell r="S348" t="str">
            <v>윤혜주BM</v>
          </cell>
          <cell r="V348">
            <v>7900</v>
          </cell>
          <cell r="W348" t="str">
            <v>https://smartstore.naver.com/psglobal1/products/11915742424</v>
          </cell>
          <cell r="X348" t="str">
            <v>뉴클 케이스_프레임리스_아이폰17</v>
          </cell>
          <cell r="Y348" t="str">
            <v>뉴클 프레임리스 케이스 블랙 아이폰17</v>
          </cell>
          <cell r="AB348" t="str">
            <v>coupang.com/vp/products/9216974369?itemId=27231680399&amp;vendorItemId=94198822350</v>
          </cell>
          <cell r="AC348">
            <v>1454.5454545454545</v>
          </cell>
          <cell r="AD348">
            <v>145.45454545454547</v>
          </cell>
          <cell r="AE348">
            <v>1600</v>
          </cell>
          <cell r="AG348">
            <v>6363.6363636363631</v>
          </cell>
          <cell r="AH348">
            <v>636.36363636363694</v>
          </cell>
          <cell r="AI348">
            <v>7000</v>
          </cell>
          <cell r="AK348">
            <v>4909.0909090909081</v>
          </cell>
        </row>
        <row r="349">
          <cell r="H349" t="str">
            <v>94198822350AD</v>
          </cell>
          <cell r="I349">
            <v>67446049</v>
          </cell>
          <cell r="R349" t="str">
            <v>94198822350AD</v>
          </cell>
          <cell r="S349" t="str">
            <v>hyejooisonly@coupang.com</v>
          </cell>
          <cell r="X349" t="str">
            <v>뉴클 케이스_프레임리스_아이폰17</v>
          </cell>
          <cell r="Y349" t="str">
            <v>뉴클 프레임리스 케이스 블랙 아이폰17</v>
          </cell>
          <cell r="AB349">
            <v>1</v>
          </cell>
          <cell r="AC349">
            <v>4909.0909090909081</v>
          </cell>
          <cell r="AG349">
            <v>0</v>
          </cell>
        </row>
        <row r="350">
          <cell r="H350" t="str">
            <v>94198822350S</v>
          </cell>
          <cell r="I350">
            <v>67446049</v>
          </cell>
          <cell r="R350" t="str">
            <v>94198822350S</v>
          </cell>
          <cell r="X350" t="str">
            <v>뉴클 케이스_프레임리스_아이폰17</v>
          </cell>
          <cell r="Y350" t="str">
            <v>뉴클 프레임리스 케이스 블랙 아이폰17</v>
          </cell>
          <cell r="AC350" t="str">
            <v>개당광고비→</v>
          </cell>
          <cell r="AG350" t="str">
            <v>광고X</v>
          </cell>
          <cell r="AH350">
            <v>355</v>
          </cell>
        </row>
        <row r="351">
          <cell r="H351">
            <v>94198822359</v>
          </cell>
          <cell r="I351">
            <v>67446060</v>
          </cell>
          <cell r="J351">
            <v>-58</v>
          </cell>
          <cell r="K351" t="str">
            <v>-</v>
          </cell>
          <cell r="L351">
            <v>7900</v>
          </cell>
          <cell r="M351">
            <v>7900</v>
          </cell>
          <cell r="N351">
            <v>5900</v>
          </cell>
          <cell r="O351">
            <v>12900</v>
          </cell>
          <cell r="Q351">
            <v>11330</v>
          </cell>
          <cell r="R351">
            <v>94198822359</v>
          </cell>
          <cell r="S351" t="str">
            <v>윤혜주BM</v>
          </cell>
          <cell r="V351">
            <v>7900</v>
          </cell>
          <cell r="W351" t="str">
            <v>https://smartstore.naver.com/psglobal1/products/11915742424</v>
          </cell>
          <cell r="X351" t="str">
            <v>뉴클 케이스_프레임리스_아이폰17</v>
          </cell>
          <cell r="Y351" t="str">
            <v>뉴클 프레임리스 케이스 블랙 아이폰17 프로</v>
          </cell>
          <cell r="AB351" t="str">
            <v>coupang.com/vp/products/9216974369?itemId=27231680413&amp;vendorItemId=94198822359</v>
          </cell>
          <cell r="AC351">
            <v>1454.5454545454545</v>
          </cell>
          <cell r="AD351">
            <v>145.45454545454547</v>
          </cell>
          <cell r="AE351">
            <v>1600</v>
          </cell>
          <cell r="AG351">
            <v>6363.6363636363631</v>
          </cell>
          <cell r="AH351">
            <v>636.36363636363694</v>
          </cell>
          <cell r="AI351">
            <v>7000</v>
          </cell>
          <cell r="AK351">
            <v>4909.0909090909081</v>
          </cell>
        </row>
        <row r="352">
          <cell r="H352" t="str">
            <v>94198822359AD</v>
          </cell>
          <cell r="I352">
            <v>67446060</v>
          </cell>
          <cell r="R352" t="str">
            <v>94198822359AD</v>
          </cell>
          <cell r="S352" t="str">
            <v>hyejooisonly@coupang.com</v>
          </cell>
          <cell r="X352" t="str">
            <v>뉴클 케이스_프레임리스_아이폰17</v>
          </cell>
          <cell r="Y352" t="str">
            <v>뉴클 프레임리스 케이스 블랙 아이폰17 프로</v>
          </cell>
          <cell r="AB352">
            <v>0</v>
          </cell>
          <cell r="AC352">
            <v>0</v>
          </cell>
          <cell r="AG352">
            <v>0</v>
          </cell>
        </row>
        <row r="353">
          <cell r="H353" t="str">
            <v>94198822359S</v>
          </cell>
          <cell r="I353">
            <v>67446060</v>
          </cell>
          <cell r="R353" t="str">
            <v>94198822359S</v>
          </cell>
          <cell r="X353" t="str">
            <v>뉴클 케이스_프레임리스_아이폰17</v>
          </cell>
          <cell r="Y353" t="str">
            <v>뉴클 프레임리스 케이스 블랙 아이폰17 프로</v>
          </cell>
          <cell r="AC353" t="str">
            <v>개당광고비→</v>
          </cell>
          <cell r="AG353" t="str">
            <v>광고X</v>
          </cell>
          <cell r="AH353">
            <v>1235</v>
          </cell>
        </row>
        <row r="354">
          <cell r="H354">
            <v>94198822352</v>
          </cell>
          <cell r="I354">
            <v>67446052</v>
          </cell>
          <cell r="J354">
            <v>124</v>
          </cell>
          <cell r="K354" t="str">
            <v>-</v>
          </cell>
          <cell r="L354">
            <v>7900</v>
          </cell>
          <cell r="M354">
            <v>7900</v>
          </cell>
          <cell r="N354">
            <v>5900</v>
          </cell>
          <cell r="O354">
            <v>12900</v>
          </cell>
          <cell r="Q354">
            <v>11330</v>
          </cell>
          <cell r="R354">
            <v>94198822352</v>
          </cell>
          <cell r="S354" t="str">
            <v>윤혜주BM</v>
          </cell>
          <cell r="V354">
            <v>7900</v>
          </cell>
          <cell r="W354" t="str">
            <v>https://smartstore.naver.com/psglobal1/products/11915742424</v>
          </cell>
          <cell r="X354" t="str">
            <v>뉴클 케이스_프레임리스_아이폰17</v>
          </cell>
          <cell r="Y354" t="str">
            <v>뉴클 프레임리스 케이스 오렌지 아이폰17</v>
          </cell>
          <cell r="AB354" t="str">
            <v>coupang.com/vp/products/9216974369?itemId=27231680403&amp;vendorItemId=94198822352</v>
          </cell>
          <cell r="AC354">
            <v>1454.5454545454545</v>
          </cell>
          <cell r="AD354">
            <v>145.45454545454547</v>
          </cell>
          <cell r="AE354">
            <v>1600</v>
          </cell>
          <cell r="AG354">
            <v>6363.6363636363631</v>
          </cell>
          <cell r="AH354">
            <v>636.36363636363694</v>
          </cell>
          <cell r="AI354">
            <v>7000</v>
          </cell>
          <cell r="AK354">
            <v>4909.0909090909081</v>
          </cell>
        </row>
        <row r="355">
          <cell r="H355" t="str">
            <v>94198822352AD</v>
          </cell>
          <cell r="I355">
            <v>67446052</v>
          </cell>
          <cell r="R355" t="str">
            <v>94198822352AD</v>
          </cell>
          <cell r="S355" t="str">
            <v>hyejooisonly@coupang.com</v>
          </cell>
          <cell r="X355" t="str">
            <v>뉴클 케이스_프레임리스_아이폰17</v>
          </cell>
          <cell r="Y355" t="str">
            <v>뉴클 프레임리스 케이스 오렌지 아이폰17</v>
          </cell>
          <cell r="AB355">
            <v>10</v>
          </cell>
          <cell r="AC355">
            <v>49090.909090909081</v>
          </cell>
          <cell r="AG355">
            <v>7</v>
          </cell>
        </row>
        <row r="356">
          <cell r="H356" t="str">
            <v>94198822352S</v>
          </cell>
          <cell r="I356">
            <v>67446052</v>
          </cell>
          <cell r="R356" t="str">
            <v>94198822352S</v>
          </cell>
          <cell r="X356" t="str">
            <v>뉴클 케이스_프레임리스_아이폰17</v>
          </cell>
          <cell r="Y356" t="str">
            <v>뉴클 프레임리스 케이스 오렌지 아이폰17</v>
          </cell>
          <cell r="AC356" t="str">
            <v>개당광고비→</v>
          </cell>
          <cell r="AG356">
            <v>3506</v>
          </cell>
          <cell r="AH356">
            <v>24542</v>
          </cell>
        </row>
        <row r="357">
          <cell r="H357">
            <v>94198822360</v>
          </cell>
          <cell r="I357">
            <v>67446063</v>
          </cell>
          <cell r="J357">
            <v>109</v>
          </cell>
          <cell r="K357" t="str">
            <v>-</v>
          </cell>
          <cell r="L357">
            <v>7900</v>
          </cell>
          <cell r="M357">
            <v>7900</v>
          </cell>
          <cell r="N357">
            <v>5900</v>
          </cell>
          <cell r="O357">
            <v>12900</v>
          </cell>
          <cell r="Q357">
            <v>11330</v>
          </cell>
          <cell r="R357">
            <v>94198822360</v>
          </cell>
          <cell r="S357" t="str">
            <v>윤혜주BM</v>
          </cell>
          <cell r="V357">
            <v>7900</v>
          </cell>
          <cell r="W357" t="str">
            <v>https://smartstore.naver.com/psglobal1/products/11915742424</v>
          </cell>
          <cell r="X357" t="str">
            <v>뉴클 케이스_프레임리스_아이폰17</v>
          </cell>
          <cell r="Y357" t="str">
            <v>뉴클 프레임리스 케이스 오렌지 아이폰17 프로</v>
          </cell>
          <cell r="AB357" t="str">
            <v>coupang.com/vp/products/9216974369?itemId=27231680420&amp;vendorItemId=94198822360</v>
          </cell>
          <cell r="AC357">
            <v>1454.5454545454545</v>
          </cell>
          <cell r="AD357">
            <v>145.45454545454547</v>
          </cell>
          <cell r="AE357">
            <v>1600</v>
          </cell>
          <cell r="AG357">
            <v>6363.6363636363631</v>
          </cell>
          <cell r="AH357">
            <v>636.36363636363694</v>
          </cell>
          <cell r="AI357">
            <v>7000</v>
          </cell>
          <cell r="AK357">
            <v>4909.0909090909081</v>
          </cell>
        </row>
        <row r="358">
          <cell r="H358" t="str">
            <v>94198822360AD</v>
          </cell>
          <cell r="I358">
            <v>67446063</v>
          </cell>
          <cell r="R358" t="str">
            <v>94198822360AD</v>
          </cell>
          <cell r="S358" t="str">
            <v>hyejooisonly@coupang.com</v>
          </cell>
          <cell r="X358" t="str">
            <v>뉴클 케이스_프레임리스_아이폰17</v>
          </cell>
          <cell r="Y358" t="str">
            <v>뉴클 프레임리스 케이스 오렌지 아이폰17 프로</v>
          </cell>
          <cell r="AB358">
            <v>23</v>
          </cell>
          <cell r="AC358">
            <v>112909.09090909088</v>
          </cell>
          <cell r="AG358">
            <v>9</v>
          </cell>
        </row>
        <row r="359">
          <cell r="H359" t="str">
            <v>94198822360S</v>
          </cell>
          <cell r="I359">
            <v>67446063</v>
          </cell>
          <cell r="R359" t="str">
            <v>94198822360S</v>
          </cell>
          <cell r="X359" t="str">
            <v>뉴클 케이스_프레임리스_아이폰17</v>
          </cell>
          <cell r="Y359" t="str">
            <v>뉴클 프레임리스 케이스 오렌지 아이폰17 프로</v>
          </cell>
          <cell r="AC359" t="str">
            <v>개당광고비→</v>
          </cell>
          <cell r="AG359">
            <v>3765.2222222222222</v>
          </cell>
          <cell r="AH359">
            <v>33887</v>
          </cell>
        </row>
        <row r="360">
          <cell r="H360">
            <v>94198822349</v>
          </cell>
          <cell r="I360">
            <v>67446048</v>
          </cell>
          <cell r="J360">
            <v>-45</v>
          </cell>
          <cell r="K360" t="str">
            <v>-</v>
          </cell>
          <cell r="L360">
            <v>7900</v>
          </cell>
          <cell r="M360">
            <v>7900</v>
          </cell>
          <cell r="N360">
            <v>5900</v>
          </cell>
          <cell r="O360">
            <v>12900</v>
          </cell>
          <cell r="Q360">
            <v>11330</v>
          </cell>
          <cell r="R360">
            <v>94198822349</v>
          </cell>
          <cell r="S360" t="str">
            <v>윤혜주BM</v>
          </cell>
          <cell r="V360">
            <v>7900</v>
          </cell>
          <cell r="W360" t="str">
            <v>https://smartstore.naver.com/psglobal1/products/11915742424</v>
          </cell>
          <cell r="X360" t="str">
            <v>뉴클 케이스_프레임리스_아이폰17</v>
          </cell>
          <cell r="Y360" t="str">
            <v>뉴클 프레임리스 케이스 그레이 아이폰17</v>
          </cell>
          <cell r="AB360" t="str">
            <v>coupang.com/vp/products/9216974369?itemId=27231680397&amp;vendorItemId=94198822349</v>
          </cell>
          <cell r="AC360">
            <v>1454.5454545454545</v>
          </cell>
          <cell r="AD360">
            <v>145.45454545454547</v>
          </cell>
          <cell r="AE360">
            <v>1600</v>
          </cell>
          <cell r="AG360">
            <v>6363.6363636363631</v>
          </cell>
          <cell r="AH360">
            <v>636.36363636363694</v>
          </cell>
          <cell r="AI360">
            <v>7000</v>
          </cell>
          <cell r="AK360">
            <v>4909.0909090909081</v>
          </cell>
        </row>
        <row r="361">
          <cell r="H361" t="str">
            <v>94198822349AD</v>
          </cell>
          <cell r="I361">
            <v>67446048</v>
          </cell>
          <cell r="R361" t="str">
            <v>94198822349AD</v>
          </cell>
          <cell r="S361" t="str">
            <v>hyejooisonly@coupang.com</v>
          </cell>
          <cell r="X361" t="str">
            <v>뉴클 케이스_프레임리스_아이폰17</v>
          </cell>
          <cell r="Y361" t="str">
            <v>뉴클 프레임리스 케이스 그레이 아이폰17</v>
          </cell>
          <cell r="AB361">
            <v>1</v>
          </cell>
          <cell r="AC361">
            <v>4909.0909090909081</v>
          </cell>
          <cell r="AG361">
            <v>0</v>
          </cell>
        </row>
        <row r="362">
          <cell r="H362" t="str">
            <v>94198822349S</v>
          </cell>
          <cell r="I362">
            <v>67446048</v>
          </cell>
          <cell r="R362" t="str">
            <v>94198822349S</v>
          </cell>
          <cell r="X362" t="str">
            <v>뉴클 케이스_프레임리스_아이폰17</v>
          </cell>
          <cell r="Y362" t="str">
            <v>뉴클 프레임리스 케이스 그레이 아이폰17</v>
          </cell>
          <cell r="AC362" t="str">
            <v>개당광고비→</v>
          </cell>
          <cell r="AG362" t="str">
            <v>광고X</v>
          </cell>
          <cell r="AH362">
            <v>2890</v>
          </cell>
        </row>
        <row r="363">
          <cell r="H363">
            <v>94198822353</v>
          </cell>
          <cell r="I363">
            <v>67446057</v>
          </cell>
          <cell r="J363">
            <v>258</v>
          </cell>
          <cell r="K363" t="str">
            <v>-</v>
          </cell>
          <cell r="L363">
            <v>7900</v>
          </cell>
          <cell r="M363">
            <v>7900</v>
          </cell>
          <cell r="N363">
            <v>5900</v>
          </cell>
          <cell r="O363">
            <v>12900</v>
          </cell>
          <cell r="Q363">
            <v>11330</v>
          </cell>
          <cell r="R363">
            <v>94198822353</v>
          </cell>
          <cell r="S363" t="str">
            <v>윤혜주BM</v>
          </cell>
          <cell r="V363">
            <v>7900</v>
          </cell>
          <cell r="W363" t="str">
            <v>https://smartstore.naver.com/psglobal1/products/11915742424</v>
          </cell>
          <cell r="X363" t="str">
            <v>뉴클 케이스_프레임리스_아이폰17</v>
          </cell>
          <cell r="Y363" t="str">
            <v>뉴클 프레임리스 케이스 그레이 아이폰17 프로</v>
          </cell>
          <cell r="AB363" t="str">
            <v>coupang.com/vp/products/9216974369?itemId=27231680411&amp;vendorItemId=94198822353</v>
          </cell>
          <cell r="AC363">
            <v>1454.5454545454545</v>
          </cell>
          <cell r="AD363">
            <v>145.45454545454547</v>
          </cell>
          <cell r="AE363">
            <v>1600</v>
          </cell>
          <cell r="AG363">
            <v>6363.6363636363631</v>
          </cell>
          <cell r="AH363">
            <v>636.36363636363694</v>
          </cell>
          <cell r="AI363">
            <v>7000</v>
          </cell>
          <cell r="AK363">
            <v>4909.0909090909081</v>
          </cell>
        </row>
        <row r="364">
          <cell r="H364" t="str">
            <v>94198822353AD</v>
          </cell>
          <cell r="I364">
            <v>67446057</v>
          </cell>
          <cell r="R364" t="str">
            <v>94198822353AD</v>
          </cell>
          <cell r="S364" t="str">
            <v>hyejooisonly@coupang.com</v>
          </cell>
          <cell r="X364" t="str">
            <v>뉴클 케이스_프레임리스_아이폰17</v>
          </cell>
          <cell r="Y364" t="str">
            <v>뉴클 프레임리스 케이스 그레이 아이폰17 프로</v>
          </cell>
          <cell r="AB364">
            <v>10</v>
          </cell>
          <cell r="AC364">
            <v>49090.909090909081</v>
          </cell>
          <cell r="AG364">
            <v>0</v>
          </cell>
        </row>
        <row r="365">
          <cell r="H365" t="str">
            <v>94198822353S</v>
          </cell>
          <cell r="I365">
            <v>67446057</v>
          </cell>
          <cell r="R365" t="str">
            <v>94198822353S</v>
          </cell>
          <cell r="X365" t="str">
            <v>뉴클 케이스_프레임리스_아이폰17</v>
          </cell>
          <cell r="Y365" t="str">
            <v>뉴클 프레임리스 케이스 그레이 아이폰17 프로</v>
          </cell>
          <cell r="AC365" t="str">
            <v>개당광고비→</v>
          </cell>
          <cell r="AG365" t="str">
            <v>광고X</v>
          </cell>
          <cell r="AH365">
            <v>2827</v>
          </cell>
        </row>
        <row r="366">
          <cell r="H366">
            <v>92679069345</v>
          </cell>
          <cell r="I366">
            <v>60924682</v>
          </cell>
          <cell r="J366">
            <v>463</v>
          </cell>
          <cell r="K366">
            <v>89</v>
          </cell>
          <cell r="L366">
            <v>7900</v>
          </cell>
          <cell r="M366">
            <v>7900</v>
          </cell>
          <cell r="O366">
            <v>19900</v>
          </cell>
          <cell r="Q366">
            <v>7900</v>
          </cell>
          <cell r="R366">
            <v>92679069345</v>
          </cell>
          <cell r="V366">
            <v>7900</v>
          </cell>
          <cell r="W366" t="str">
            <v>https://smartstore.naver.com/psglobal1/products/11915742424</v>
          </cell>
          <cell r="X366" t="str">
            <v>뉴클 케이스_프레임리스_아이폰15.16</v>
          </cell>
          <cell r="Y366" t="str">
            <v>뉴클 프레임리스 케이스 아이폰16PRO 화이트</v>
          </cell>
          <cell r="AA366" t="str">
            <v>https://www.lotteon.com/p/product/LO2493898911?sitmNo=LO2493898911_2493898930&amp;mall_no=1</v>
          </cell>
          <cell r="AB366" t="str">
            <v>coupang.com/vp/products/8816321184?itemId=25689854795&amp;vendorItemId=92679069345</v>
          </cell>
          <cell r="AC366">
            <v>1308.181818181818</v>
          </cell>
          <cell r="AD366">
            <v>130.81818181818181</v>
          </cell>
          <cell r="AE366">
            <v>1439</v>
          </cell>
          <cell r="AG366">
            <v>5727.272727272727</v>
          </cell>
          <cell r="AH366">
            <v>572.72727272727298</v>
          </cell>
          <cell r="AI366">
            <v>6300</v>
          </cell>
          <cell r="AK366">
            <v>4419.090909090909</v>
          </cell>
        </row>
        <row r="367">
          <cell r="H367" t="str">
            <v>92679069345AD</v>
          </cell>
          <cell r="I367">
            <v>60924682</v>
          </cell>
          <cell r="R367" t="str">
            <v>92679069345AD</v>
          </cell>
          <cell r="X367" t="str">
            <v>뉴클 케이스_프레임리스_아이폰15.16</v>
          </cell>
          <cell r="Y367" t="str">
            <v>뉴클 프레임리스 케이스 아이폰16PRO 화이트</v>
          </cell>
          <cell r="AB367">
            <v>4</v>
          </cell>
          <cell r="AC367">
            <v>17676.363636363636</v>
          </cell>
          <cell r="AG367">
            <v>0</v>
          </cell>
        </row>
        <row r="368">
          <cell r="H368" t="str">
            <v>92679069345S</v>
          </cell>
          <cell r="I368">
            <v>60924682</v>
          </cell>
          <cell r="R368" t="str">
            <v>92679069345S</v>
          </cell>
          <cell r="X368" t="str">
            <v>뉴클 케이스_프레임리스_아이폰15.16</v>
          </cell>
          <cell r="Y368" t="str">
            <v>뉴클 프레임리스 케이스 아이폰16PRO 화이트</v>
          </cell>
          <cell r="AC368" t="str">
            <v>개당광고비→</v>
          </cell>
          <cell r="AG368" t="str">
            <v>광고X</v>
          </cell>
          <cell r="AH368">
            <v>3608</v>
          </cell>
        </row>
        <row r="369">
          <cell r="H369">
            <v>92679069328</v>
          </cell>
          <cell r="I369">
            <v>60924681</v>
          </cell>
          <cell r="J369">
            <v>511</v>
          </cell>
          <cell r="K369">
            <v>89</v>
          </cell>
          <cell r="L369">
            <v>7900</v>
          </cell>
          <cell r="M369">
            <v>7900</v>
          </cell>
          <cell r="O369">
            <v>19900</v>
          </cell>
          <cell r="Q369">
            <v>7900</v>
          </cell>
          <cell r="R369">
            <v>92679069328</v>
          </cell>
          <cell r="V369">
            <v>7900</v>
          </cell>
          <cell r="W369" t="str">
            <v>https://smartstore.naver.com/psglobal1/products/11915742424</v>
          </cell>
          <cell r="X369" t="str">
            <v>뉴클 케이스_프레임리스_아이폰15.16</v>
          </cell>
          <cell r="Y369" t="str">
            <v>뉴클 프레임리스 케이스 아이폰16PRO 핑크</v>
          </cell>
          <cell r="AB369" t="str">
            <v>coupang.com/vp/products/8816321184?itemId=25689854794&amp;vendorItemId=92679069328</v>
          </cell>
          <cell r="AC369">
            <v>1308.181818181818</v>
          </cell>
          <cell r="AD369">
            <v>130.81818181818181</v>
          </cell>
          <cell r="AE369">
            <v>1439</v>
          </cell>
          <cell r="AG369">
            <v>5727.272727272727</v>
          </cell>
          <cell r="AH369">
            <v>572.72727272727298</v>
          </cell>
          <cell r="AI369">
            <v>6300</v>
          </cell>
          <cell r="AK369">
            <v>4419.090909090909</v>
          </cell>
        </row>
        <row r="370">
          <cell r="H370" t="str">
            <v>92679069328AD</v>
          </cell>
          <cell r="I370">
            <v>60924681</v>
          </cell>
          <cell r="R370" t="str">
            <v>92679069328AD</v>
          </cell>
          <cell r="X370" t="str">
            <v>뉴클 케이스_프레임리스_아이폰15.16</v>
          </cell>
          <cell r="Y370" t="str">
            <v>뉴클 프레임리스 케이스 아이폰16PRO 핑크</v>
          </cell>
          <cell r="AB370">
            <v>0</v>
          </cell>
          <cell r="AC370">
            <v>0</v>
          </cell>
          <cell r="AG370">
            <v>0</v>
          </cell>
        </row>
        <row r="371">
          <cell r="H371" t="str">
            <v>92679069328S</v>
          </cell>
          <cell r="I371">
            <v>60924681</v>
          </cell>
          <cell r="R371" t="str">
            <v>92679069328S</v>
          </cell>
          <cell r="X371" t="str">
            <v>뉴클 케이스_프레임리스_아이폰15.16</v>
          </cell>
          <cell r="Y371" t="str">
            <v>뉴클 프레임리스 케이스 아이폰16PRO 핑크</v>
          </cell>
          <cell r="AC371" t="str">
            <v>개당광고비→</v>
          </cell>
          <cell r="AG371" t="str">
            <v>광고X</v>
          </cell>
          <cell r="AH371">
            <v>1732</v>
          </cell>
        </row>
        <row r="372">
          <cell r="H372">
            <v>92679069314</v>
          </cell>
          <cell r="I372">
            <v>60924680</v>
          </cell>
          <cell r="J372">
            <v>561</v>
          </cell>
          <cell r="K372">
            <v>89</v>
          </cell>
          <cell r="L372">
            <v>7900</v>
          </cell>
          <cell r="M372">
            <v>7900</v>
          </cell>
          <cell r="O372">
            <v>19900</v>
          </cell>
          <cell r="Q372">
            <v>7900</v>
          </cell>
          <cell r="R372">
            <v>92679069314</v>
          </cell>
          <cell r="V372">
            <v>7900</v>
          </cell>
          <cell r="W372" t="str">
            <v>https://smartstore.naver.com/psglobal1/products/11915742424</v>
          </cell>
          <cell r="X372" t="str">
            <v>뉴클 케이스_프레임리스_아이폰15.16</v>
          </cell>
          <cell r="Y372" t="str">
            <v>뉴클 프레임리스 케이스 아이폰16PRO 블루</v>
          </cell>
          <cell r="AA372" t="str">
            <v>https://www.lotteon.com/p/product/LO2493898911?sitmNo=LO2493898911_2493898930&amp;mall_no=1</v>
          </cell>
          <cell r="AB372" t="str">
            <v>coupang.com/vp/products/8816321184?itemId=25689854793&amp;vendorItemId=92679069314</v>
          </cell>
          <cell r="AC372">
            <v>1308.181818181818</v>
          </cell>
          <cell r="AD372">
            <v>130.81818181818181</v>
          </cell>
          <cell r="AE372">
            <v>1439</v>
          </cell>
          <cell r="AG372">
            <v>5727.272727272727</v>
          </cell>
          <cell r="AH372">
            <v>572.72727272727298</v>
          </cell>
          <cell r="AI372">
            <v>6300</v>
          </cell>
          <cell r="AK372">
            <v>4419.090909090909</v>
          </cell>
        </row>
        <row r="373">
          <cell r="H373" t="str">
            <v>92679069314AD</v>
          </cell>
          <cell r="I373">
            <v>60924680</v>
          </cell>
          <cell r="R373" t="str">
            <v>92679069314AD</v>
          </cell>
          <cell r="X373" t="str">
            <v>뉴클 케이스_프레임리스_아이폰15.16</v>
          </cell>
          <cell r="Y373" t="str">
            <v>뉴클 프레임리스 케이스 아이폰16PRO 블루</v>
          </cell>
          <cell r="AB373">
            <v>1</v>
          </cell>
          <cell r="AC373">
            <v>4419.090909090909</v>
          </cell>
          <cell r="AG373">
            <v>1</v>
          </cell>
        </row>
        <row r="374">
          <cell r="H374" t="str">
            <v>92679069314S</v>
          </cell>
          <cell r="I374">
            <v>60924680</v>
          </cell>
          <cell r="R374" t="str">
            <v>92679069314S</v>
          </cell>
          <cell r="X374" t="str">
            <v>뉴클 케이스_프레임리스_아이폰15.16</v>
          </cell>
          <cell r="Y374" t="str">
            <v>뉴클 프레임리스 케이스 아이폰16PRO 블루</v>
          </cell>
          <cell r="AC374" t="str">
            <v>개당광고비→</v>
          </cell>
          <cell r="AG374">
            <v>10051</v>
          </cell>
          <cell r="AH374">
            <v>10051</v>
          </cell>
        </row>
        <row r="375">
          <cell r="H375">
            <v>92679069300</v>
          </cell>
          <cell r="I375">
            <v>60924679</v>
          </cell>
          <cell r="J375">
            <v>512</v>
          </cell>
          <cell r="K375">
            <v>89</v>
          </cell>
          <cell r="L375">
            <v>7900</v>
          </cell>
          <cell r="M375">
            <v>7900</v>
          </cell>
          <cell r="O375">
            <v>19900</v>
          </cell>
          <cell r="Q375">
            <v>7900</v>
          </cell>
          <cell r="R375">
            <v>92679069300</v>
          </cell>
          <cell r="V375">
            <v>7900</v>
          </cell>
          <cell r="W375" t="str">
            <v>https://smartstore.naver.com/psglobal1/products/11915742424</v>
          </cell>
          <cell r="X375" t="str">
            <v>뉴클 케이스_프레임리스_아이폰15.16</v>
          </cell>
          <cell r="Y375" t="str">
            <v>뉴클 프레임리스 케이스 아이폰16PRO 블랙</v>
          </cell>
          <cell r="AA375" t="str">
            <v>https://www.lotteon.com/p/product/LO2493898911?sitmNo=LO2493898911_2493898930&amp;mall_no=1</v>
          </cell>
          <cell r="AB375" t="str">
            <v>coupang.com/vp/products/8816321184?itemId=25689854792&amp;vendorItemId=92679069300</v>
          </cell>
          <cell r="AC375">
            <v>1308.181818181818</v>
          </cell>
          <cell r="AD375">
            <v>130.81818181818181</v>
          </cell>
          <cell r="AE375">
            <v>1439</v>
          </cell>
          <cell r="AG375">
            <v>5727.272727272727</v>
          </cell>
          <cell r="AH375">
            <v>572.72727272727298</v>
          </cell>
          <cell r="AI375">
            <v>6300</v>
          </cell>
          <cell r="AK375">
            <v>4419.090909090909</v>
          </cell>
        </row>
        <row r="376">
          <cell r="H376" t="str">
            <v>92679069300AD</v>
          </cell>
          <cell r="I376">
            <v>60924679</v>
          </cell>
          <cell r="R376" t="str">
            <v>92679069300AD</v>
          </cell>
          <cell r="X376" t="str">
            <v>뉴클 케이스_프레임리스_아이폰15.16</v>
          </cell>
          <cell r="Y376" t="str">
            <v>뉴클 프레임리스 케이스 아이폰16PRO 블랙</v>
          </cell>
          <cell r="AB376">
            <v>3</v>
          </cell>
          <cell r="AC376">
            <v>13257.272727272728</v>
          </cell>
          <cell r="AG376">
            <v>0</v>
          </cell>
        </row>
        <row r="377">
          <cell r="H377" t="str">
            <v>92679069300S</v>
          </cell>
          <cell r="I377">
            <v>60924679</v>
          </cell>
          <cell r="R377" t="str">
            <v>92679069300S</v>
          </cell>
          <cell r="X377" t="str">
            <v>뉴클 케이스_프레임리스_아이폰15.16</v>
          </cell>
          <cell r="Y377" t="str">
            <v>뉴클 프레임리스 케이스 아이폰16PRO 블랙</v>
          </cell>
          <cell r="AC377" t="str">
            <v>개당광고비→</v>
          </cell>
          <cell r="AG377" t="str">
            <v>광고X</v>
          </cell>
          <cell r="AH377">
            <v>4309</v>
          </cell>
        </row>
        <row r="378">
          <cell r="H378">
            <v>92679069289</v>
          </cell>
          <cell r="I378">
            <v>60924678</v>
          </cell>
          <cell r="J378">
            <v>568</v>
          </cell>
          <cell r="K378">
            <v>89</v>
          </cell>
          <cell r="L378">
            <v>7900</v>
          </cell>
          <cell r="M378">
            <v>7900</v>
          </cell>
          <cell r="O378">
            <v>19900</v>
          </cell>
          <cell r="Q378">
            <v>7900</v>
          </cell>
          <cell r="R378">
            <v>92679069289</v>
          </cell>
          <cell r="V378">
            <v>7900</v>
          </cell>
          <cell r="W378" t="str">
            <v>https://smartstore.naver.com/psglobal1/products/11915742424</v>
          </cell>
          <cell r="X378" t="str">
            <v>뉴클 케이스_프레임리스_아이폰15.16</v>
          </cell>
          <cell r="Y378" t="str">
            <v>뉴클 프레임리스 케이스 아이폰16PRO 브라운</v>
          </cell>
          <cell r="AB378" t="str">
            <v>coupang.com/vp/products/8816321184?itemId=25689854788&amp;vendorItemId=92679069289</v>
          </cell>
          <cell r="AC378">
            <v>1308.181818181818</v>
          </cell>
          <cell r="AD378">
            <v>130.81818181818181</v>
          </cell>
          <cell r="AE378">
            <v>1439</v>
          </cell>
          <cell r="AG378">
            <v>5727.272727272727</v>
          </cell>
          <cell r="AH378">
            <v>572.72727272727298</v>
          </cell>
          <cell r="AI378">
            <v>6300</v>
          </cell>
          <cell r="AK378">
            <v>4419.090909090909</v>
          </cell>
        </row>
        <row r="379">
          <cell r="H379" t="str">
            <v>92679069289AD</v>
          </cell>
          <cell r="I379">
            <v>60924678</v>
          </cell>
          <cell r="R379" t="str">
            <v>92679069289AD</v>
          </cell>
          <cell r="X379" t="str">
            <v>뉴클 케이스_프레임리스_아이폰15.16</v>
          </cell>
          <cell r="Y379" t="str">
            <v>뉴클 프레임리스 케이스 아이폰16PRO 브라운</v>
          </cell>
          <cell r="AB379">
            <v>0</v>
          </cell>
          <cell r="AC379">
            <v>0</v>
          </cell>
          <cell r="AG379">
            <v>0</v>
          </cell>
        </row>
        <row r="380">
          <cell r="H380" t="str">
            <v>92679069289S</v>
          </cell>
          <cell r="I380">
            <v>60924678</v>
          </cell>
          <cell r="R380" t="str">
            <v>92679069289S</v>
          </cell>
          <cell r="X380" t="str">
            <v>뉴클 케이스_프레임리스_아이폰15.16</v>
          </cell>
          <cell r="Y380" t="str">
            <v>뉴클 프레임리스 케이스 아이폰16PRO 브라운</v>
          </cell>
          <cell r="AC380" t="str">
            <v>개당광고비→</v>
          </cell>
          <cell r="AG380" t="str">
            <v>광고X</v>
          </cell>
          <cell r="AH380">
            <v>1406</v>
          </cell>
        </row>
        <row r="381">
          <cell r="H381">
            <v>92679069272</v>
          </cell>
          <cell r="I381">
            <v>60924677</v>
          </cell>
          <cell r="J381">
            <v>546</v>
          </cell>
          <cell r="K381">
            <v>89</v>
          </cell>
          <cell r="L381">
            <v>7900</v>
          </cell>
          <cell r="M381">
            <v>7900</v>
          </cell>
          <cell r="O381">
            <v>19900</v>
          </cell>
          <cell r="Q381">
            <v>7900</v>
          </cell>
          <cell r="R381">
            <v>92679069272</v>
          </cell>
          <cell r="V381">
            <v>7900</v>
          </cell>
          <cell r="W381" t="str">
            <v>https://smartstore.naver.com/psglobal1/products/11915742424</v>
          </cell>
          <cell r="X381" t="str">
            <v>뉴클 케이스_프레임리스_아이폰15.16</v>
          </cell>
          <cell r="Y381" t="str">
            <v>뉴클 프레임리스 케이스 아이폰16PRO 그레이</v>
          </cell>
          <cell r="AA381" t="str">
            <v>https://www.lotteon.com/p/product/LO2493898911?sitmNo=LO2493898911_2493898930&amp;mall_no=1</v>
          </cell>
          <cell r="AB381" t="str">
            <v>coupang.com/vp/products/8816321184?itemId=25689854785&amp;vendorItemId=92679069272</v>
          </cell>
          <cell r="AC381">
            <v>1308.181818181818</v>
          </cell>
          <cell r="AD381">
            <v>130.81818181818181</v>
          </cell>
          <cell r="AE381">
            <v>1439</v>
          </cell>
          <cell r="AG381">
            <v>5727.272727272727</v>
          </cell>
          <cell r="AH381">
            <v>572.72727272727298</v>
          </cell>
          <cell r="AI381">
            <v>6300</v>
          </cell>
          <cell r="AK381">
            <v>4419.090909090909</v>
          </cell>
        </row>
        <row r="382">
          <cell r="H382" t="str">
            <v>92679069272AD</v>
          </cell>
          <cell r="I382">
            <v>60924677</v>
          </cell>
          <cell r="R382" t="str">
            <v>92679069272AD</v>
          </cell>
          <cell r="X382" t="str">
            <v>뉴클 케이스_프레임리스_아이폰15.16</v>
          </cell>
          <cell r="Y382" t="str">
            <v>뉴클 프레임리스 케이스 아이폰16PRO 그레이</v>
          </cell>
          <cell r="AB382">
            <v>2</v>
          </cell>
          <cell r="AC382">
            <v>8838.181818181818</v>
          </cell>
          <cell r="AG382">
            <v>0</v>
          </cell>
        </row>
        <row r="383">
          <cell r="H383" t="str">
            <v>92679069272S</v>
          </cell>
          <cell r="I383">
            <v>60924677</v>
          </cell>
          <cell r="R383" t="str">
            <v>92679069272S</v>
          </cell>
          <cell r="X383" t="str">
            <v>뉴클 케이스_프레임리스_아이폰15.16</v>
          </cell>
          <cell r="Y383" t="str">
            <v>뉴클 프레임리스 케이스 아이폰16PRO 그레이</v>
          </cell>
          <cell r="AC383" t="str">
            <v>개당광고비→</v>
          </cell>
          <cell r="AG383" t="str">
            <v>광고X</v>
          </cell>
          <cell r="AH383">
            <v>2376</v>
          </cell>
        </row>
        <row r="384">
          <cell r="H384">
            <v>92680186369</v>
          </cell>
          <cell r="I384">
            <v>60930504</v>
          </cell>
          <cell r="J384">
            <v>502</v>
          </cell>
          <cell r="K384">
            <v>86</v>
          </cell>
          <cell r="L384">
            <v>7900</v>
          </cell>
          <cell r="M384">
            <v>7900</v>
          </cell>
          <cell r="O384">
            <v>19900</v>
          </cell>
          <cell r="Q384">
            <v>7900</v>
          </cell>
          <cell r="R384">
            <v>92680186369</v>
          </cell>
          <cell r="V384">
            <v>7900</v>
          </cell>
          <cell r="W384" t="str">
            <v>https://smartstore.naver.com/psglobal1/products/11915742424</v>
          </cell>
          <cell r="X384" t="str">
            <v>뉴클 케이스_프레임리스_아이폰15.16</v>
          </cell>
          <cell r="Y384" t="str">
            <v>뉴클 프레임리스 케이스 아이폰15PRO 화이트</v>
          </cell>
          <cell r="AA384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84" t="str">
            <v>coupang.com/vp/products/8816879367?itemId=25690999352&amp;vendorItemId=92680186369</v>
          </cell>
          <cell r="AC384">
            <v>1308.181818181818</v>
          </cell>
          <cell r="AD384">
            <v>130.81818181818181</v>
          </cell>
          <cell r="AE384">
            <v>1439</v>
          </cell>
          <cell r="AG384">
            <v>5727.272727272727</v>
          </cell>
          <cell r="AH384">
            <v>572.72727272727298</v>
          </cell>
          <cell r="AI384">
            <v>6300</v>
          </cell>
          <cell r="AK384">
            <v>4419.090909090909</v>
          </cell>
        </row>
        <row r="385">
          <cell r="H385" t="str">
            <v>92680186369AD</v>
          </cell>
          <cell r="I385">
            <v>60930504</v>
          </cell>
          <cell r="R385" t="str">
            <v>92680186369AD</v>
          </cell>
          <cell r="X385" t="str">
            <v>뉴클 케이스_프레임리스_아이폰15.16</v>
          </cell>
          <cell r="Y385" t="str">
            <v>뉴클 프레임리스 케이스 아이폰15PRO 화이트</v>
          </cell>
          <cell r="AB385">
            <v>2</v>
          </cell>
          <cell r="AC385">
            <v>8838.181818181818</v>
          </cell>
          <cell r="AG385">
            <v>0</v>
          </cell>
        </row>
        <row r="386">
          <cell r="H386" t="str">
            <v>92680186369S</v>
          </cell>
          <cell r="I386">
            <v>60930504</v>
          </cell>
          <cell r="R386" t="str">
            <v>92680186369S</v>
          </cell>
          <cell r="X386" t="str">
            <v>뉴클 케이스_프레임리스_아이폰15.16</v>
          </cell>
          <cell r="Y386" t="str">
            <v>뉴클 프레임리스 케이스 아이폰15PRO 화이트</v>
          </cell>
          <cell r="AC386" t="str">
            <v>개당광고비→</v>
          </cell>
          <cell r="AG386" t="str">
            <v>광고X</v>
          </cell>
          <cell r="AH386">
            <v>2435</v>
          </cell>
        </row>
        <row r="387">
          <cell r="H387">
            <v>92680186353</v>
          </cell>
          <cell r="I387">
            <v>60930503</v>
          </cell>
          <cell r="J387">
            <v>546</v>
          </cell>
          <cell r="K387">
            <v>86</v>
          </cell>
          <cell r="L387">
            <v>7900</v>
          </cell>
          <cell r="M387">
            <v>7900</v>
          </cell>
          <cell r="O387">
            <v>19900</v>
          </cell>
          <cell r="Q387">
            <v>7900</v>
          </cell>
          <cell r="R387">
            <v>92680186353</v>
          </cell>
          <cell r="V387">
            <v>7900</v>
          </cell>
          <cell r="W387" t="str">
            <v>https://smartstore.naver.com/psglobal1/products/11915742424</v>
          </cell>
          <cell r="X387" t="str">
            <v>뉴클 케이스_프레임리스_아이폰15.16</v>
          </cell>
          <cell r="Y387" t="str">
            <v>뉴클 프레임리스 케이스 아이폰15PRO 핑크</v>
          </cell>
          <cell r="AB387" t="str">
            <v>coupang.com/vp/products/8816879367?itemId=25690999350&amp;vendorItemId=92680186353</v>
          </cell>
          <cell r="AC387">
            <v>1308.181818181818</v>
          </cell>
          <cell r="AD387">
            <v>130.81818181818181</v>
          </cell>
          <cell r="AE387">
            <v>1439</v>
          </cell>
          <cell r="AG387">
            <v>5727.272727272727</v>
          </cell>
          <cell r="AH387">
            <v>572.72727272727298</v>
          </cell>
          <cell r="AI387">
            <v>6300</v>
          </cell>
          <cell r="AK387">
            <v>4419.090909090909</v>
          </cell>
        </row>
        <row r="388">
          <cell r="H388" t="str">
            <v>92680186353AD</v>
          </cell>
          <cell r="I388">
            <v>60930503</v>
          </cell>
          <cell r="R388" t="str">
            <v>92680186353AD</v>
          </cell>
          <cell r="X388" t="str">
            <v>뉴클 케이스_프레임리스_아이폰15.16</v>
          </cell>
          <cell r="Y388" t="str">
            <v>뉴클 프레임리스 케이스 아이폰15PRO 핑크</v>
          </cell>
          <cell r="AB388">
            <v>1</v>
          </cell>
          <cell r="AC388">
            <v>4419.090909090909</v>
          </cell>
          <cell r="AG388">
            <v>0</v>
          </cell>
        </row>
        <row r="389">
          <cell r="H389" t="str">
            <v>92680186353S</v>
          </cell>
          <cell r="I389">
            <v>60930503</v>
          </cell>
          <cell r="R389" t="str">
            <v>92680186353S</v>
          </cell>
          <cell r="X389" t="str">
            <v>뉴클 케이스_프레임리스_아이폰15.16</v>
          </cell>
          <cell r="Y389" t="str">
            <v>뉴클 프레임리스 케이스 아이폰15PRO 핑크</v>
          </cell>
          <cell r="AC389" t="str">
            <v>개당광고비→</v>
          </cell>
          <cell r="AG389" t="str">
            <v>광고X</v>
          </cell>
          <cell r="AH389">
            <v>1523</v>
          </cell>
        </row>
        <row r="390">
          <cell r="H390">
            <v>92680186339</v>
          </cell>
          <cell r="I390">
            <v>60930502</v>
          </cell>
          <cell r="J390">
            <v>565</v>
          </cell>
          <cell r="K390">
            <v>86</v>
          </cell>
          <cell r="L390">
            <v>7900</v>
          </cell>
          <cell r="M390">
            <v>7900</v>
          </cell>
          <cell r="O390">
            <v>19900</v>
          </cell>
          <cell r="Q390">
            <v>7900</v>
          </cell>
          <cell r="R390">
            <v>92680186339</v>
          </cell>
          <cell r="V390">
            <v>7900</v>
          </cell>
          <cell r="W390" t="str">
            <v>https://smartstore.naver.com/psglobal1/products/11915742424</v>
          </cell>
          <cell r="X390" t="str">
            <v>뉴클 케이스_프레임리스_아이폰15.16</v>
          </cell>
          <cell r="Y390" t="str">
            <v>뉴클 프레임리스 케이스 아이폰15PRO 블루</v>
          </cell>
          <cell r="AB390" t="str">
            <v>coupang.com/vp/products/8816879367?itemId=25690999348&amp;vendorItemId=92680186339</v>
          </cell>
          <cell r="AC390">
            <v>1308.181818181818</v>
          </cell>
          <cell r="AD390">
            <v>130.81818181818181</v>
          </cell>
          <cell r="AE390">
            <v>1439</v>
          </cell>
          <cell r="AG390">
            <v>5727.272727272727</v>
          </cell>
          <cell r="AH390">
            <v>572.72727272727298</v>
          </cell>
          <cell r="AI390">
            <v>6300</v>
          </cell>
          <cell r="AK390">
            <v>4419.090909090909</v>
          </cell>
        </row>
        <row r="391">
          <cell r="H391" t="str">
            <v>92680186339AD</v>
          </cell>
          <cell r="I391">
            <v>60930502</v>
          </cell>
          <cell r="R391" t="str">
            <v>92680186339AD</v>
          </cell>
          <cell r="X391" t="str">
            <v>뉴클 케이스_프레임리스_아이폰15.16</v>
          </cell>
          <cell r="Y391" t="str">
            <v>뉴클 프레임리스 케이스 아이폰15PRO 블루</v>
          </cell>
          <cell r="AB391">
            <v>1</v>
          </cell>
          <cell r="AC391">
            <v>4419.090909090909</v>
          </cell>
          <cell r="AG391">
            <v>0</v>
          </cell>
        </row>
        <row r="392">
          <cell r="H392" t="str">
            <v>92680186339S</v>
          </cell>
          <cell r="I392">
            <v>60930502</v>
          </cell>
          <cell r="R392" t="str">
            <v>92680186339S</v>
          </cell>
          <cell r="X392" t="str">
            <v>뉴클 케이스_프레임리스_아이폰15.16</v>
          </cell>
          <cell r="Y392" t="str">
            <v>뉴클 프레임리스 케이스 아이폰15PRO 블루</v>
          </cell>
          <cell r="AC392" t="str">
            <v>개당광고비→</v>
          </cell>
          <cell r="AG392" t="str">
            <v>광고X</v>
          </cell>
          <cell r="AH392">
            <v>2536</v>
          </cell>
        </row>
        <row r="393">
          <cell r="H393">
            <v>92680186325</v>
          </cell>
          <cell r="I393">
            <v>60930501</v>
          </cell>
          <cell r="J393">
            <v>509</v>
          </cell>
          <cell r="K393">
            <v>86</v>
          </cell>
          <cell r="L393">
            <v>7900</v>
          </cell>
          <cell r="M393">
            <v>7900</v>
          </cell>
          <cell r="O393">
            <v>19900</v>
          </cell>
          <cell r="Q393">
            <v>7900</v>
          </cell>
          <cell r="R393">
            <v>92680186325</v>
          </cell>
          <cell r="V393">
            <v>7900</v>
          </cell>
          <cell r="W393" t="str">
            <v>https://smartstore.naver.com/psglobal1/products/11915742424</v>
          </cell>
          <cell r="X393" t="str">
            <v>뉴클 케이스_프레임리스_아이폰15.16</v>
          </cell>
          <cell r="Y393" t="str">
            <v>뉴클 프레임리스 케이스 아이폰15PRO 블랙</v>
          </cell>
          <cell r="AA39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3" t="str">
            <v>coupang.com/vp/products/8816879367?itemId=25690999345&amp;vendorItemId=92680186325</v>
          </cell>
          <cell r="AC393">
            <v>1308.181818181818</v>
          </cell>
          <cell r="AD393">
            <v>130.81818181818181</v>
          </cell>
          <cell r="AE393">
            <v>1439</v>
          </cell>
          <cell r="AG393">
            <v>5727.272727272727</v>
          </cell>
          <cell r="AH393">
            <v>572.72727272727298</v>
          </cell>
          <cell r="AI393">
            <v>6300</v>
          </cell>
          <cell r="AK393">
            <v>4419.090909090909</v>
          </cell>
        </row>
        <row r="394">
          <cell r="H394" t="str">
            <v>92680186325AD</v>
          </cell>
          <cell r="I394">
            <v>60930501</v>
          </cell>
          <cell r="R394" t="str">
            <v>92680186325AD</v>
          </cell>
          <cell r="X394" t="str">
            <v>뉴클 케이스_프레임리스_아이폰15.16</v>
          </cell>
          <cell r="Y394" t="str">
            <v>뉴클 프레임리스 케이스 아이폰15PRO 블랙</v>
          </cell>
          <cell r="AB394">
            <v>1</v>
          </cell>
          <cell r="AC394">
            <v>4419.090909090909</v>
          </cell>
          <cell r="AG394">
            <v>2</v>
          </cell>
        </row>
        <row r="395">
          <cell r="H395" t="str">
            <v>92680186325S</v>
          </cell>
          <cell r="I395">
            <v>60930501</v>
          </cell>
          <cell r="R395" t="str">
            <v>92680186325S</v>
          </cell>
          <cell r="X395" t="str">
            <v>뉴클 케이스_프레임리스_아이폰15.16</v>
          </cell>
          <cell r="Y395" t="str">
            <v>뉴클 프레임리스 케이스 아이폰15PRO 블랙</v>
          </cell>
          <cell r="AC395" t="str">
            <v>개당광고비→</v>
          </cell>
          <cell r="AG395">
            <v>1284</v>
          </cell>
          <cell r="AH395">
            <v>2568</v>
          </cell>
        </row>
        <row r="396">
          <cell r="H396">
            <v>92680186313</v>
          </cell>
          <cell r="I396">
            <v>60930500</v>
          </cell>
          <cell r="J396">
            <v>583</v>
          </cell>
          <cell r="K396">
            <v>86</v>
          </cell>
          <cell r="L396">
            <v>7900</v>
          </cell>
          <cell r="M396">
            <v>7900</v>
          </cell>
          <cell r="O396">
            <v>19900</v>
          </cell>
          <cell r="Q396">
            <v>7900</v>
          </cell>
          <cell r="R396">
            <v>92680186313</v>
          </cell>
          <cell r="V396">
            <v>7900</v>
          </cell>
          <cell r="W396" t="str">
            <v>https://smartstore.naver.com/psglobal1/products/11915742424</v>
          </cell>
          <cell r="X396" t="str">
            <v>뉴클 케이스_프레임리스_아이폰15.16</v>
          </cell>
          <cell r="Y396" t="str">
            <v>뉴클 프레임리스 케이스 아이폰15PRO 브라운</v>
          </cell>
          <cell r="AB396" t="str">
            <v>coupang.com/vp/products/8816879367?itemId=25690999343&amp;vendorItemId=92680186313</v>
          </cell>
          <cell r="AC396">
            <v>1308.181818181818</v>
          </cell>
          <cell r="AD396">
            <v>130.81818181818181</v>
          </cell>
          <cell r="AE396">
            <v>1439</v>
          </cell>
          <cell r="AG396">
            <v>5727.272727272727</v>
          </cell>
          <cell r="AH396">
            <v>572.72727272727298</v>
          </cell>
          <cell r="AI396">
            <v>6300</v>
          </cell>
          <cell r="AK396">
            <v>4419.090909090909</v>
          </cell>
        </row>
        <row r="397">
          <cell r="H397" t="str">
            <v>92680186313AD</v>
          </cell>
          <cell r="I397">
            <v>60930500</v>
          </cell>
          <cell r="R397" t="str">
            <v>92680186313AD</v>
          </cell>
          <cell r="X397" t="str">
            <v>뉴클 케이스_프레임리스_아이폰15.16</v>
          </cell>
          <cell r="Y397" t="str">
            <v>뉴클 프레임리스 케이스 아이폰15PRO 브라운</v>
          </cell>
          <cell r="AB397">
            <v>0</v>
          </cell>
          <cell r="AC397">
            <v>0</v>
          </cell>
          <cell r="AG397">
            <v>0</v>
          </cell>
        </row>
        <row r="398">
          <cell r="H398" t="str">
            <v>92680186313S</v>
          </cell>
          <cell r="I398">
            <v>60930500</v>
          </cell>
          <cell r="R398" t="str">
            <v>92680186313S</v>
          </cell>
          <cell r="X398" t="str">
            <v>뉴클 케이스_프레임리스_아이폰15.16</v>
          </cell>
          <cell r="Y398" t="str">
            <v>뉴클 프레임리스 케이스 아이폰15PRO 브라운</v>
          </cell>
          <cell r="AC398" t="str">
            <v>개당광고비→</v>
          </cell>
          <cell r="AG398" t="str">
            <v>광고X</v>
          </cell>
          <cell r="AH398">
            <v>1968</v>
          </cell>
        </row>
        <row r="399">
          <cell r="H399">
            <v>92680186297</v>
          </cell>
          <cell r="I399">
            <v>60930499</v>
          </cell>
          <cell r="J399">
            <v>483</v>
          </cell>
          <cell r="K399">
            <v>86</v>
          </cell>
          <cell r="L399">
            <v>7900</v>
          </cell>
          <cell r="M399">
            <v>7900</v>
          </cell>
          <cell r="O399">
            <v>19900</v>
          </cell>
          <cell r="Q399">
            <v>7900</v>
          </cell>
          <cell r="R399">
            <v>92680186297</v>
          </cell>
          <cell r="V399">
            <v>7900</v>
          </cell>
          <cell r="W399" t="str">
            <v>https://smartstore.naver.com/psglobal1/products/11915742424</v>
          </cell>
          <cell r="X399" t="str">
            <v>뉴클 케이스_프레임리스_아이폰15.16</v>
          </cell>
          <cell r="Y399" t="str">
            <v>뉴클 프레임리스 케이스 아이폰15PRO 그레이</v>
          </cell>
          <cell r="AA399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9" t="str">
            <v>coupang.com/vp/products/8816879367?itemId=25690999341&amp;vendorItemId=92680186297</v>
          </cell>
          <cell r="AC399">
            <v>1308.181818181818</v>
          </cell>
          <cell r="AD399">
            <v>130.81818181818181</v>
          </cell>
          <cell r="AE399">
            <v>1439</v>
          </cell>
          <cell r="AG399">
            <v>5727.272727272727</v>
          </cell>
          <cell r="AH399">
            <v>572.72727272727298</v>
          </cell>
          <cell r="AI399">
            <v>6300</v>
          </cell>
          <cell r="AK399">
            <v>4419.090909090909</v>
          </cell>
        </row>
        <row r="400">
          <cell r="H400" t="str">
            <v>92680186297AD</v>
          </cell>
          <cell r="I400">
            <v>60930499</v>
          </cell>
          <cell r="R400" t="str">
            <v>92680186297AD</v>
          </cell>
          <cell r="X400" t="str">
            <v>뉴클 케이스_프레임리스_아이폰15.16</v>
          </cell>
          <cell r="Y400" t="str">
            <v>뉴클 프레임리스 케이스 아이폰15PRO 그레이</v>
          </cell>
          <cell r="AB400">
            <v>3</v>
          </cell>
          <cell r="AC400">
            <v>13257.272727272728</v>
          </cell>
          <cell r="AG400">
            <v>0</v>
          </cell>
        </row>
        <row r="401">
          <cell r="H401" t="str">
            <v>92680186297S</v>
          </cell>
          <cell r="I401">
            <v>60930499</v>
          </cell>
          <cell r="R401" t="str">
            <v>92680186297S</v>
          </cell>
          <cell r="X401" t="str">
            <v>뉴클 케이스_프레임리스_아이폰15.16</v>
          </cell>
          <cell r="Y401" t="str">
            <v>뉴클 프레임리스 케이스 아이폰15PRO 그레이</v>
          </cell>
          <cell r="AC401" t="str">
            <v>개당광고비→</v>
          </cell>
          <cell r="AG401" t="str">
            <v>광고X</v>
          </cell>
          <cell r="AH401">
            <v>2163</v>
          </cell>
        </row>
        <row r="402">
          <cell r="H402">
            <v>92679069452</v>
          </cell>
          <cell r="I402">
            <v>60924689</v>
          </cell>
          <cell r="J402">
            <v>481</v>
          </cell>
          <cell r="K402">
            <v>89</v>
          </cell>
          <cell r="L402">
            <v>7900</v>
          </cell>
          <cell r="M402">
            <v>7900</v>
          </cell>
          <cell r="O402">
            <v>19900</v>
          </cell>
          <cell r="Q402">
            <v>7900</v>
          </cell>
          <cell r="R402">
            <v>92679069452</v>
          </cell>
          <cell r="V402">
            <v>7900</v>
          </cell>
          <cell r="W402" t="str">
            <v>https://smartstore.naver.com/psglobal1/products/11915742424</v>
          </cell>
          <cell r="X402" t="str">
            <v>뉴클 케이스_프레임리스_아이폰15.16</v>
          </cell>
          <cell r="Y402" t="str">
            <v>뉴클 프레임리스 케이스 아이폰16 화이트</v>
          </cell>
          <cell r="AB402" t="str">
            <v>coupang.com/vp/products/8816321184?itemId=25689854802&amp;vendorItemId=92679069452</v>
          </cell>
          <cell r="AC402">
            <v>1308.181818181818</v>
          </cell>
          <cell r="AD402">
            <v>130.81818181818181</v>
          </cell>
          <cell r="AE402">
            <v>1439</v>
          </cell>
          <cell r="AG402">
            <v>5727.272727272727</v>
          </cell>
          <cell r="AH402">
            <v>572.72727272727298</v>
          </cell>
          <cell r="AI402">
            <v>6300</v>
          </cell>
          <cell r="AK402">
            <v>4419.090909090909</v>
          </cell>
        </row>
        <row r="403">
          <cell r="H403" t="str">
            <v>92679069452AD</v>
          </cell>
          <cell r="I403">
            <v>60924689</v>
          </cell>
          <cell r="R403" t="str">
            <v>92679069452AD</v>
          </cell>
          <cell r="X403" t="str">
            <v>뉴클 케이스_프레임리스_아이폰15.16</v>
          </cell>
          <cell r="Y403" t="str">
            <v>뉴클 프레임리스 케이스 아이폰16 화이트</v>
          </cell>
          <cell r="AB403">
            <v>3</v>
          </cell>
          <cell r="AC403">
            <v>13257.272727272728</v>
          </cell>
          <cell r="AG403">
            <v>0</v>
          </cell>
        </row>
        <row r="404">
          <cell r="H404" t="str">
            <v>92679069452S</v>
          </cell>
          <cell r="I404">
            <v>60924689</v>
          </cell>
          <cell r="R404" t="str">
            <v>92679069452S</v>
          </cell>
          <cell r="X404" t="str">
            <v>뉴클 케이스_프레임리스_아이폰15.16</v>
          </cell>
          <cell r="Y404" t="str">
            <v>뉴클 프레임리스 케이스 아이폰16 화이트</v>
          </cell>
          <cell r="AC404" t="str">
            <v>개당광고비→</v>
          </cell>
          <cell r="AG404" t="str">
            <v>광고X</v>
          </cell>
          <cell r="AH404">
            <v>12035</v>
          </cell>
        </row>
        <row r="405">
          <cell r="H405">
            <v>92679069436</v>
          </cell>
          <cell r="I405">
            <v>60924687</v>
          </cell>
          <cell r="J405">
            <v>515</v>
          </cell>
          <cell r="K405">
            <v>89</v>
          </cell>
          <cell r="L405">
            <v>7900</v>
          </cell>
          <cell r="M405">
            <v>7900</v>
          </cell>
          <cell r="O405">
            <v>19900</v>
          </cell>
          <cell r="Q405">
            <v>7900</v>
          </cell>
          <cell r="R405">
            <v>92679069436</v>
          </cell>
          <cell r="V405">
            <v>7900</v>
          </cell>
          <cell r="W405" t="str">
            <v>https://smartstore.naver.com/psglobal1/products/11915742424</v>
          </cell>
          <cell r="X405" t="str">
            <v>뉴클 케이스_프레임리스_아이폰15.16</v>
          </cell>
          <cell r="Y405" t="str">
            <v>뉴클 프레임리스 케이스 아이폰16 핑크</v>
          </cell>
          <cell r="AB405" t="str">
            <v>coupang.com/vp/products/8816321184?itemId=25689854801&amp;vendorItemId=92679069436</v>
          </cell>
          <cell r="AC405">
            <v>1308.181818181818</v>
          </cell>
          <cell r="AD405">
            <v>130.81818181818181</v>
          </cell>
          <cell r="AE405">
            <v>1439</v>
          </cell>
          <cell r="AG405">
            <v>5727.272727272727</v>
          </cell>
          <cell r="AH405">
            <v>572.72727272727298</v>
          </cell>
          <cell r="AI405">
            <v>6300</v>
          </cell>
          <cell r="AK405">
            <v>4419.090909090909</v>
          </cell>
        </row>
        <row r="406">
          <cell r="H406" t="str">
            <v>92679069436AD</v>
          </cell>
          <cell r="I406">
            <v>60924687</v>
          </cell>
          <cell r="R406" t="str">
            <v>92679069436AD</v>
          </cell>
          <cell r="X406" t="str">
            <v>뉴클 케이스_프레임리스_아이폰15.16</v>
          </cell>
          <cell r="Y406" t="str">
            <v>뉴클 프레임리스 케이스 아이폰16 핑크</v>
          </cell>
          <cell r="AB406">
            <v>0</v>
          </cell>
          <cell r="AC406">
            <v>0</v>
          </cell>
          <cell r="AG406">
            <v>0</v>
          </cell>
        </row>
        <row r="407">
          <cell r="H407" t="str">
            <v>92679069436S</v>
          </cell>
          <cell r="I407">
            <v>60924687</v>
          </cell>
          <cell r="R407" t="str">
            <v>92679069436S</v>
          </cell>
          <cell r="X407" t="str">
            <v>뉴클 케이스_프레임리스_아이폰15.16</v>
          </cell>
          <cell r="Y407" t="str">
            <v>뉴클 프레임리스 케이스 아이폰16 핑크</v>
          </cell>
          <cell r="AC407" t="str">
            <v>개당광고비→</v>
          </cell>
          <cell r="AG407" t="str">
            <v>광고X</v>
          </cell>
          <cell r="AH407">
            <v>1504</v>
          </cell>
        </row>
        <row r="408">
          <cell r="H408">
            <v>92679069420</v>
          </cell>
          <cell r="I408">
            <v>60924686</v>
          </cell>
          <cell r="J408">
            <v>568</v>
          </cell>
          <cell r="K408">
            <v>89</v>
          </cell>
          <cell r="L408">
            <v>7900</v>
          </cell>
          <cell r="M408">
            <v>7900</v>
          </cell>
          <cell r="O408">
            <v>19900</v>
          </cell>
          <cell r="Q408">
            <v>7900</v>
          </cell>
          <cell r="R408">
            <v>92679069420</v>
          </cell>
          <cell r="V408">
            <v>7900</v>
          </cell>
          <cell r="W408" t="str">
            <v>https://smartstore.naver.com/psglobal1/products/11915742424</v>
          </cell>
          <cell r="X408" t="str">
            <v>뉴클 케이스_프레임리스_아이폰15.16</v>
          </cell>
          <cell r="Y408" t="str">
            <v>뉴클 프레임리스 케이스 아이폰16 블루</v>
          </cell>
          <cell r="AB408" t="str">
            <v>coupang.com/vp/products/8816321184?itemId=25689854800&amp;vendorItemId=92679069420</v>
          </cell>
          <cell r="AC408">
            <v>1308.181818181818</v>
          </cell>
          <cell r="AD408">
            <v>130.81818181818181</v>
          </cell>
          <cell r="AE408">
            <v>1439</v>
          </cell>
          <cell r="AG408">
            <v>5727.272727272727</v>
          </cell>
          <cell r="AH408">
            <v>572.72727272727298</v>
          </cell>
          <cell r="AI408">
            <v>6300</v>
          </cell>
          <cell r="AK408">
            <v>4419.090909090909</v>
          </cell>
        </row>
        <row r="409">
          <cell r="H409" t="str">
            <v>92679069420AD</v>
          </cell>
          <cell r="I409">
            <v>60924686</v>
          </cell>
          <cell r="R409" t="str">
            <v>92679069420AD</v>
          </cell>
          <cell r="X409" t="str">
            <v>뉴클 케이스_프레임리스_아이폰15.16</v>
          </cell>
          <cell r="Y409" t="str">
            <v>뉴클 프레임리스 케이스 아이폰16 블루</v>
          </cell>
          <cell r="AB409">
            <v>0</v>
          </cell>
          <cell r="AC409">
            <v>0</v>
          </cell>
          <cell r="AG409">
            <v>0</v>
          </cell>
        </row>
        <row r="410">
          <cell r="H410" t="str">
            <v>92679069420S</v>
          </cell>
          <cell r="I410">
            <v>60924686</v>
          </cell>
          <cell r="R410" t="str">
            <v>92679069420S</v>
          </cell>
          <cell r="X410" t="str">
            <v>뉴클 케이스_프레임리스_아이폰15.16</v>
          </cell>
          <cell r="Y410" t="str">
            <v>뉴클 프레임리스 케이스 아이폰16 블루</v>
          </cell>
          <cell r="AC410" t="str">
            <v>개당광고비→</v>
          </cell>
          <cell r="AG410" t="str">
            <v>광고X</v>
          </cell>
          <cell r="AH410">
            <v>5526</v>
          </cell>
        </row>
        <row r="411">
          <cell r="H411">
            <v>92679069405</v>
          </cell>
          <cell r="I411">
            <v>60924685</v>
          </cell>
          <cell r="J411">
            <v>528</v>
          </cell>
          <cell r="K411">
            <v>89</v>
          </cell>
          <cell r="L411">
            <v>7900</v>
          </cell>
          <cell r="M411">
            <v>7900</v>
          </cell>
          <cell r="O411">
            <v>19900</v>
          </cell>
          <cell r="Q411">
            <v>7900</v>
          </cell>
          <cell r="R411">
            <v>92679069405</v>
          </cell>
          <cell r="V411">
            <v>7900</v>
          </cell>
          <cell r="W411" t="str">
            <v>https://smartstore.naver.com/psglobal1/products/11915742424</v>
          </cell>
          <cell r="X411" t="str">
            <v>뉴클 케이스_프레임리스_아이폰15.16</v>
          </cell>
          <cell r="Y411" t="str">
            <v>뉴클 프레임리스 케이스 아이폰16 블랙</v>
          </cell>
          <cell r="AB411" t="str">
            <v>coupang.com/vp/products/8816321184?itemId=25689854799&amp;vendorItemId=92679069405</v>
          </cell>
          <cell r="AC411">
            <v>1308.181818181818</v>
          </cell>
          <cell r="AD411">
            <v>130.81818181818181</v>
          </cell>
          <cell r="AE411">
            <v>1439</v>
          </cell>
          <cell r="AG411">
            <v>5727.272727272727</v>
          </cell>
          <cell r="AH411">
            <v>572.72727272727298</v>
          </cell>
          <cell r="AI411">
            <v>6300</v>
          </cell>
          <cell r="AK411">
            <v>4419.090909090909</v>
          </cell>
        </row>
        <row r="412">
          <cell r="H412" t="str">
            <v>92679069405AD</v>
          </cell>
          <cell r="I412">
            <v>60924685</v>
          </cell>
          <cell r="R412" t="str">
            <v>92679069405AD</v>
          </cell>
          <cell r="X412" t="str">
            <v>뉴클 케이스_프레임리스_아이폰15.16</v>
          </cell>
          <cell r="Y412" t="str">
            <v>뉴클 프레임리스 케이스 아이폰16 블랙</v>
          </cell>
          <cell r="AB412">
            <v>2</v>
          </cell>
          <cell r="AC412">
            <v>8838.181818181818</v>
          </cell>
          <cell r="AG412">
            <v>0</v>
          </cell>
        </row>
        <row r="413">
          <cell r="H413" t="str">
            <v>92679069405S</v>
          </cell>
          <cell r="I413">
            <v>60924685</v>
          </cell>
          <cell r="R413" t="str">
            <v>92679069405S</v>
          </cell>
          <cell r="X413" t="str">
            <v>뉴클 케이스_프레임리스_아이폰15.16</v>
          </cell>
          <cell r="Y413" t="str">
            <v>뉴클 프레임리스 케이스 아이폰16 블랙</v>
          </cell>
          <cell r="AC413" t="str">
            <v>개당광고비→</v>
          </cell>
          <cell r="AG413" t="str">
            <v>광고X</v>
          </cell>
          <cell r="AH413">
            <v>3086</v>
          </cell>
        </row>
        <row r="414">
          <cell r="H414">
            <v>92679069382</v>
          </cell>
          <cell r="I414">
            <v>60924684</v>
          </cell>
          <cell r="J414">
            <v>586</v>
          </cell>
          <cell r="K414">
            <v>89</v>
          </cell>
          <cell r="L414">
            <v>7900</v>
          </cell>
          <cell r="M414">
            <v>7900</v>
          </cell>
          <cell r="O414">
            <v>19900</v>
          </cell>
          <cell r="Q414">
            <v>7900</v>
          </cell>
          <cell r="R414">
            <v>92679069382</v>
          </cell>
          <cell r="V414">
            <v>7900</v>
          </cell>
          <cell r="W414" t="str">
            <v>https://smartstore.naver.com/psglobal1/products/11915742424</v>
          </cell>
          <cell r="X414" t="str">
            <v>뉴클 케이스_프레임리스_아이폰15.16</v>
          </cell>
          <cell r="Y414" t="str">
            <v>뉴클 프레임리스 케이스 아이폰16 브라운</v>
          </cell>
          <cell r="AB414" t="str">
            <v>coupang.com/vp/products/8816321184?itemId=25689854798&amp;vendorItemId=92679069382</v>
          </cell>
          <cell r="AC414">
            <v>1308.181818181818</v>
          </cell>
          <cell r="AD414">
            <v>130.81818181818181</v>
          </cell>
          <cell r="AE414">
            <v>1439</v>
          </cell>
          <cell r="AG414">
            <v>5727.272727272727</v>
          </cell>
          <cell r="AH414">
            <v>572.72727272727298</v>
          </cell>
          <cell r="AI414">
            <v>6300</v>
          </cell>
          <cell r="AK414">
            <v>4419.090909090909</v>
          </cell>
        </row>
        <row r="415">
          <cell r="H415" t="str">
            <v>92679069382AD</v>
          </cell>
          <cell r="I415">
            <v>60924684</v>
          </cell>
          <cell r="R415" t="str">
            <v>92679069382AD</v>
          </cell>
          <cell r="X415" t="str">
            <v>뉴클 케이스_프레임리스_아이폰15.16</v>
          </cell>
          <cell r="Y415" t="str">
            <v>뉴클 프레임리스 케이스 아이폰16 브라운</v>
          </cell>
          <cell r="AB415">
            <v>1</v>
          </cell>
          <cell r="AC415">
            <v>4419.090909090909</v>
          </cell>
          <cell r="AG415">
            <v>0</v>
          </cell>
        </row>
        <row r="416">
          <cell r="H416" t="str">
            <v>92679069382S</v>
          </cell>
          <cell r="I416">
            <v>60924684</v>
          </cell>
          <cell r="R416" t="str">
            <v>92679069382S</v>
          </cell>
          <cell r="X416" t="str">
            <v>뉴클 케이스_프레임리스_아이폰15.16</v>
          </cell>
          <cell r="Y416" t="str">
            <v>뉴클 프레임리스 케이스 아이폰16 브라운</v>
          </cell>
          <cell r="AC416" t="str">
            <v>개당광고비→</v>
          </cell>
          <cell r="AG416" t="str">
            <v>광고X</v>
          </cell>
          <cell r="AH416">
            <v>4124</v>
          </cell>
        </row>
        <row r="417">
          <cell r="H417">
            <v>92679069364</v>
          </cell>
          <cell r="I417">
            <v>60924683</v>
          </cell>
          <cell r="J417">
            <v>566</v>
          </cell>
          <cell r="K417">
            <v>89</v>
          </cell>
          <cell r="L417">
            <v>7900</v>
          </cell>
          <cell r="M417">
            <v>7900</v>
          </cell>
          <cell r="O417">
            <v>19900</v>
          </cell>
          <cell r="Q417">
            <v>7900</v>
          </cell>
          <cell r="R417">
            <v>92679069364</v>
          </cell>
          <cell r="V417">
            <v>7900</v>
          </cell>
          <cell r="W417" t="str">
            <v>https://smartstore.naver.com/psglobal1/products/11915742424</v>
          </cell>
          <cell r="X417" t="str">
            <v>뉴클 케이스_프레임리스_아이폰15.16</v>
          </cell>
          <cell r="Y417" t="str">
            <v>뉴클 프레임리스 케이스 아이폰16 그레이</v>
          </cell>
          <cell r="AB417" t="str">
            <v>coupang.com/vp/products/8816321184?itemId=25689854796&amp;vendorItemId=92679069364</v>
          </cell>
          <cell r="AC417">
            <v>1308.181818181818</v>
          </cell>
          <cell r="AD417">
            <v>130.81818181818181</v>
          </cell>
          <cell r="AE417">
            <v>1439</v>
          </cell>
          <cell r="AG417">
            <v>5727.272727272727</v>
          </cell>
          <cell r="AH417">
            <v>572.72727272727298</v>
          </cell>
          <cell r="AI417">
            <v>6300</v>
          </cell>
          <cell r="AK417">
            <v>4419.090909090909</v>
          </cell>
        </row>
        <row r="418">
          <cell r="H418" t="str">
            <v>92679069364AD</v>
          </cell>
          <cell r="I418">
            <v>60924683</v>
          </cell>
          <cell r="R418" t="str">
            <v>92679069364AD</v>
          </cell>
          <cell r="X418" t="str">
            <v>뉴클 케이스_프레임리스_아이폰15.16</v>
          </cell>
          <cell r="Y418" t="str">
            <v>뉴클 프레임리스 케이스 아이폰16 그레이</v>
          </cell>
          <cell r="AB418">
            <v>0</v>
          </cell>
          <cell r="AC418">
            <v>0</v>
          </cell>
          <cell r="AG418">
            <v>0</v>
          </cell>
        </row>
        <row r="419">
          <cell r="H419" t="str">
            <v>92679069364S</v>
          </cell>
          <cell r="I419">
            <v>60924683</v>
          </cell>
          <cell r="R419" t="str">
            <v>92679069364S</v>
          </cell>
          <cell r="X419" t="str">
            <v>뉴클 케이스_프레임리스_아이폰15.16</v>
          </cell>
          <cell r="Y419" t="str">
            <v>뉴클 프레임리스 케이스 아이폰16 그레이</v>
          </cell>
          <cell r="AC419" t="str">
            <v>개당광고비→</v>
          </cell>
          <cell r="AG419" t="str">
            <v>광고X</v>
          </cell>
          <cell r="AH419">
            <v>8810</v>
          </cell>
        </row>
        <row r="420">
          <cell r="H420">
            <v>92680186435</v>
          </cell>
          <cell r="I420">
            <v>60930510</v>
          </cell>
          <cell r="J420">
            <v>568</v>
          </cell>
          <cell r="K420">
            <v>86</v>
          </cell>
          <cell r="L420">
            <v>7900</v>
          </cell>
          <cell r="M420">
            <v>7900</v>
          </cell>
          <cell r="O420">
            <v>19900</v>
          </cell>
          <cell r="Q420">
            <v>7900</v>
          </cell>
          <cell r="R420">
            <v>92680186435</v>
          </cell>
          <cell r="V420">
            <v>7900</v>
          </cell>
          <cell r="W420" t="str">
            <v>https://smartstore.naver.com/psglobal1/products/11915742424</v>
          </cell>
          <cell r="X420" t="str">
            <v>뉴클 케이스_프레임리스_아이폰15.16</v>
          </cell>
          <cell r="Y420" t="str">
            <v>뉴클 프레임리스 케이스 아이폰15 화이트</v>
          </cell>
          <cell r="AB420" t="str">
            <v>coupang.com/vp/products/8816879367?itemId=25690999362&amp;vendorItemId=92680186435</v>
          </cell>
          <cell r="AC420">
            <v>1308.181818181818</v>
          </cell>
          <cell r="AD420">
            <v>130.81818181818181</v>
          </cell>
          <cell r="AE420">
            <v>1439</v>
          </cell>
          <cell r="AG420">
            <v>5727.272727272727</v>
          </cell>
          <cell r="AH420">
            <v>572.72727272727298</v>
          </cell>
          <cell r="AI420">
            <v>6300</v>
          </cell>
          <cell r="AK420">
            <v>4419.090909090909</v>
          </cell>
        </row>
        <row r="421">
          <cell r="H421" t="str">
            <v>92680186435AD</v>
          </cell>
          <cell r="I421">
            <v>60930510</v>
          </cell>
          <cell r="R421" t="str">
            <v>92680186435AD</v>
          </cell>
          <cell r="X421" t="str">
            <v>뉴클 케이스_프레임리스_아이폰15.16</v>
          </cell>
          <cell r="Y421" t="str">
            <v>뉴클 프레임리스 케이스 아이폰15 화이트</v>
          </cell>
          <cell r="AB421">
            <v>3</v>
          </cell>
          <cell r="AC421">
            <v>13257.272727272728</v>
          </cell>
          <cell r="AG421">
            <v>0</v>
          </cell>
        </row>
        <row r="422">
          <cell r="H422" t="str">
            <v>92680186435S</v>
          </cell>
          <cell r="I422">
            <v>60930510</v>
          </cell>
          <cell r="R422" t="str">
            <v>92680186435S</v>
          </cell>
          <cell r="X422" t="str">
            <v>뉴클 케이스_프레임리스_아이폰15.16</v>
          </cell>
          <cell r="Y422" t="str">
            <v>뉴클 프레임리스 케이스 아이폰15 화이트</v>
          </cell>
          <cell r="AC422" t="str">
            <v>개당광고비→</v>
          </cell>
          <cell r="AG422" t="str">
            <v>광고X</v>
          </cell>
          <cell r="AH422">
            <v>3773</v>
          </cell>
        </row>
        <row r="423">
          <cell r="H423">
            <v>92680186423</v>
          </cell>
          <cell r="I423">
            <v>60930509</v>
          </cell>
          <cell r="J423">
            <v>579</v>
          </cell>
          <cell r="K423">
            <v>86</v>
          </cell>
          <cell r="L423">
            <v>7900</v>
          </cell>
          <cell r="M423">
            <v>7900</v>
          </cell>
          <cell r="O423">
            <v>19900</v>
          </cell>
          <cell r="Q423">
            <v>7900</v>
          </cell>
          <cell r="R423">
            <v>92680186423</v>
          </cell>
          <cell r="V423">
            <v>7900</v>
          </cell>
          <cell r="W423" t="str">
            <v>https://smartstore.naver.com/psglobal1/products/11915742424</v>
          </cell>
          <cell r="X423" t="str">
            <v>뉴클 케이스_프레임리스_아이폰15.16</v>
          </cell>
          <cell r="Y423" t="str">
            <v>뉴클 프레임리스 케이스 아이폰15 핑크</v>
          </cell>
          <cell r="AA42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3" t="str">
            <v>coupang.com/vp/products/8816879367?itemId=25690999361&amp;vendorItemId=92680186423</v>
          </cell>
          <cell r="AC423">
            <v>1308.181818181818</v>
          </cell>
          <cell r="AD423">
            <v>130.81818181818181</v>
          </cell>
          <cell r="AE423">
            <v>1439</v>
          </cell>
          <cell r="AG423">
            <v>5727.272727272727</v>
          </cell>
          <cell r="AH423">
            <v>572.72727272727298</v>
          </cell>
          <cell r="AI423">
            <v>6300</v>
          </cell>
          <cell r="AK423">
            <v>4419.090909090909</v>
          </cell>
        </row>
        <row r="424">
          <cell r="H424" t="str">
            <v>92680186423AD</v>
          </cell>
          <cell r="I424">
            <v>60930509</v>
          </cell>
          <cell r="R424" t="str">
            <v>92680186423AD</v>
          </cell>
          <cell r="X424" t="str">
            <v>뉴클 케이스_프레임리스_아이폰15.16</v>
          </cell>
          <cell r="Y424" t="str">
            <v>뉴클 프레임리스 케이스 아이폰15 핑크</v>
          </cell>
          <cell r="AB424">
            <v>0</v>
          </cell>
          <cell r="AC424">
            <v>0</v>
          </cell>
          <cell r="AG424">
            <v>0</v>
          </cell>
        </row>
        <row r="425">
          <cell r="H425" t="str">
            <v>92680186423S</v>
          </cell>
          <cell r="I425">
            <v>60930509</v>
          </cell>
          <cell r="R425" t="str">
            <v>92680186423S</v>
          </cell>
          <cell r="X425" t="str">
            <v>뉴클 케이스_프레임리스_아이폰15.16</v>
          </cell>
          <cell r="Y425" t="str">
            <v>뉴클 프레임리스 케이스 아이폰15 핑크</v>
          </cell>
          <cell r="AC425" t="str">
            <v>개당광고비→</v>
          </cell>
          <cell r="AG425" t="str">
            <v>광고X</v>
          </cell>
          <cell r="AH425">
            <v>1740</v>
          </cell>
        </row>
        <row r="426">
          <cell r="H426">
            <v>92680186415</v>
          </cell>
          <cell r="I426">
            <v>60930508</v>
          </cell>
          <cell r="J426">
            <v>542</v>
          </cell>
          <cell r="K426">
            <v>86</v>
          </cell>
          <cell r="L426">
            <v>7900</v>
          </cell>
          <cell r="M426">
            <v>7900</v>
          </cell>
          <cell r="O426">
            <v>19900</v>
          </cell>
          <cell r="Q426">
            <v>7900</v>
          </cell>
          <cell r="R426">
            <v>92680186415</v>
          </cell>
          <cell r="V426">
            <v>7900</v>
          </cell>
          <cell r="W426" t="str">
            <v>https://smartstore.naver.com/psglobal1/products/11915742424</v>
          </cell>
          <cell r="X426" t="str">
            <v>뉴클 케이스_프레임리스_아이폰15.16</v>
          </cell>
          <cell r="Y426" t="str">
            <v>뉴클 프레임리스 케이스 아이폰15 블루</v>
          </cell>
          <cell r="AA426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6" t="str">
            <v>coupang.com/vp/products/8816879367?itemId=25690999360&amp;vendorItemId=92680186415</v>
          </cell>
          <cell r="AC426">
            <v>1308.181818181818</v>
          </cell>
          <cell r="AD426">
            <v>130.81818181818181</v>
          </cell>
          <cell r="AE426">
            <v>1439</v>
          </cell>
          <cell r="AG426">
            <v>5727.272727272727</v>
          </cell>
          <cell r="AH426">
            <v>572.72727272727298</v>
          </cell>
          <cell r="AI426">
            <v>6300</v>
          </cell>
          <cell r="AK426">
            <v>4419.090909090909</v>
          </cell>
        </row>
        <row r="427">
          <cell r="H427" t="str">
            <v>92680186415AD</v>
          </cell>
          <cell r="I427">
            <v>60930508</v>
          </cell>
          <cell r="R427" t="str">
            <v>92680186415AD</v>
          </cell>
          <cell r="X427" t="str">
            <v>뉴클 케이스_프레임리스_아이폰15.16</v>
          </cell>
          <cell r="Y427" t="str">
            <v>뉴클 프레임리스 케이스 아이폰15 블루</v>
          </cell>
          <cell r="AB427">
            <v>0</v>
          </cell>
          <cell r="AC427">
            <v>0</v>
          </cell>
          <cell r="AG427">
            <v>0</v>
          </cell>
        </row>
        <row r="428">
          <cell r="H428" t="str">
            <v>92680186415S</v>
          </cell>
          <cell r="I428">
            <v>60930508</v>
          </cell>
          <cell r="R428" t="str">
            <v>92680186415S</v>
          </cell>
          <cell r="X428" t="str">
            <v>뉴클 케이스_프레임리스_아이폰15.16</v>
          </cell>
          <cell r="Y428" t="str">
            <v>뉴클 프레임리스 케이스 아이폰15 블루</v>
          </cell>
          <cell r="AC428" t="str">
            <v>개당광고비→</v>
          </cell>
          <cell r="AG428" t="str">
            <v>광고X</v>
          </cell>
          <cell r="AH428">
            <v>2929</v>
          </cell>
        </row>
        <row r="429">
          <cell r="H429">
            <v>92680186403</v>
          </cell>
          <cell r="I429">
            <v>60930507</v>
          </cell>
          <cell r="J429">
            <v>562</v>
          </cell>
          <cell r="K429">
            <v>86</v>
          </cell>
          <cell r="L429">
            <v>7900</v>
          </cell>
          <cell r="M429">
            <v>7900</v>
          </cell>
          <cell r="O429">
            <v>19900</v>
          </cell>
          <cell r="Q429">
            <v>7900</v>
          </cell>
          <cell r="R429">
            <v>92680186403</v>
          </cell>
          <cell r="V429">
            <v>7900</v>
          </cell>
          <cell r="W429" t="str">
            <v>https://smartstore.naver.com/psglobal1/products/11915742424</v>
          </cell>
          <cell r="X429" t="str">
            <v>뉴클 케이스_프레임리스_아이폰15.16</v>
          </cell>
          <cell r="Y429" t="str">
            <v>뉴클 프레임리스 케이스 아이폰15 블랙</v>
          </cell>
          <cell r="AB429" t="str">
            <v>coupang.com/vp/products/8816879367?itemId=25690999359&amp;vendorItemId=92680186403</v>
          </cell>
          <cell r="AC429">
            <v>1308.181818181818</v>
          </cell>
          <cell r="AD429">
            <v>130.81818181818181</v>
          </cell>
          <cell r="AE429">
            <v>1439</v>
          </cell>
          <cell r="AG429">
            <v>5727.272727272727</v>
          </cell>
          <cell r="AH429">
            <v>572.72727272727298</v>
          </cell>
          <cell r="AI429">
            <v>6300</v>
          </cell>
          <cell r="AK429">
            <v>4419.090909090909</v>
          </cell>
        </row>
        <row r="430">
          <cell r="H430" t="str">
            <v>92680186403AD</v>
          </cell>
          <cell r="I430">
            <v>60930507</v>
          </cell>
          <cell r="R430" t="str">
            <v>92680186403AD</v>
          </cell>
          <cell r="X430" t="str">
            <v>뉴클 케이스_프레임리스_아이폰15.16</v>
          </cell>
          <cell r="Y430" t="str">
            <v>뉴클 프레임리스 케이스 아이폰15 블랙</v>
          </cell>
          <cell r="AB430">
            <v>0</v>
          </cell>
          <cell r="AC430">
            <v>0</v>
          </cell>
          <cell r="AG430">
            <v>1</v>
          </cell>
        </row>
        <row r="431">
          <cell r="H431" t="str">
            <v>92680186403S</v>
          </cell>
          <cell r="I431">
            <v>60930507</v>
          </cell>
          <cell r="R431" t="str">
            <v>92680186403S</v>
          </cell>
          <cell r="X431" t="str">
            <v>뉴클 케이스_프레임리스_아이폰15.16</v>
          </cell>
          <cell r="Y431" t="str">
            <v>뉴클 프레임리스 케이스 아이폰15 블랙</v>
          </cell>
          <cell r="AC431" t="str">
            <v>개당광고비→</v>
          </cell>
          <cell r="AG431">
            <v>2702</v>
          </cell>
          <cell r="AH431">
            <v>2702</v>
          </cell>
        </row>
        <row r="432">
          <cell r="H432">
            <v>92680186391</v>
          </cell>
          <cell r="I432">
            <v>60930506</v>
          </cell>
          <cell r="J432">
            <v>590</v>
          </cell>
          <cell r="K432">
            <v>86</v>
          </cell>
          <cell r="L432">
            <v>7900</v>
          </cell>
          <cell r="M432">
            <v>7900</v>
          </cell>
          <cell r="O432">
            <v>19900</v>
          </cell>
          <cell r="Q432">
            <v>7900</v>
          </cell>
          <cell r="R432">
            <v>92680186391</v>
          </cell>
          <cell r="V432">
            <v>7900</v>
          </cell>
          <cell r="W432" t="str">
            <v>https://smartstore.naver.com/psglobal1/products/11915742424</v>
          </cell>
          <cell r="X432" t="str">
            <v>뉴클 케이스_프레임리스_아이폰15.16</v>
          </cell>
          <cell r="Y432" t="str">
            <v>뉴클 프레임리스 케이스 아이폰15 브라운</v>
          </cell>
          <cell r="AB432" t="str">
            <v>coupang.com/vp/products/8816879367?itemId=25690999356&amp;vendorItemId=92680186391</v>
          </cell>
          <cell r="AC432">
            <v>1308.181818181818</v>
          </cell>
          <cell r="AD432">
            <v>130.81818181818181</v>
          </cell>
          <cell r="AE432">
            <v>1439</v>
          </cell>
          <cell r="AG432">
            <v>5727.272727272727</v>
          </cell>
          <cell r="AH432">
            <v>572.72727272727298</v>
          </cell>
          <cell r="AI432">
            <v>6300</v>
          </cell>
          <cell r="AK432">
            <v>4419.090909090909</v>
          </cell>
        </row>
        <row r="433">
          <cell r="H433" t="str">
            <v>92680186391AD</v>
          </cell>
          <cell r="I433">
            <v>60930506</v>
          </cell>
          <cell r="R433" t="str">
            <v>92680186391AD</v>
          </cell>
          <cell r="X433" t="str">
            <v>뉴클 케이스_프레임리스_아이폰15.16</v>
          </cell>
          <cell r="Y433" t="str">
            <v>뉴클 프레임리스 케이스 아이폰15 브라운</v>
          </cell>
          <cell r="AB433">
            <v>0</v>
          </cell>
          <cell r="AC433">
            <v>0</v>
          </cell>
          <cell r="AG433">
            <v>0</v>
          </cell>
        </row>
        <row r="434">
          <cell r="H434" t="str">
            <v>92680186391S</v>
          </cell>
          <cell r="I434">
            <v>60930506</v>
          </cell>
          <cell r="R434" t="str">
            <v>92680186391S</v>
          </cell>
          <cell r="X434" t="str">
            <v>뉴클 케이스_프레임리스_아이폰15.16</v>
          </cell>
          <cell r="Y434" t="str">
            <v>뉴클 프레임리스 케이스 아이폰15 브라운</v>
          </cell>
          <cell r="AC434" t="str">
            <v>개당광고비→</v>
          </cell>
          <cell r="AG434" t="str">
            <v>광고X</v>
          </cell>
          <cell r="AH434">
            <v>6965</v>
          </cell>
        </row>
        <row r="435">
          <cell r="H435">
            <v>92680186385</v>
          </cell>
          <cell r="I435">
            <v>60930505</v>
          </cell>
          <cell r="J435">
            <v>580</v>
          </cell>
          <cell r="K435">
            <v>86</v>
          </cell>
          <cell r="L435">
            <v>7900</v>
          </cell>
          <cell r="M435">
            <v>7900</v>
          </cell>
          <cell r="O435">
            <v>19900</v>
          </cell>
          <cell r="Q435">
            <v>7900</v>
          </cell>
          <cell r="R435">
            <v>92680186385</v>
          </cell>
          <cell r="V435">
            <v>7900</v>
          </cell>
          <cell r="W435" t="str">
            <v>https://smartstore.naver.com/psglobal1/products/11915742424</v>
          </cell>
          <cell r="X435" t="str">
            <v>뉴클 케이스_프레임리스_아이폰15.16</v>
          </cell>
          <cell r="Y435" t="str">
            <v>뉴클 프레임리스 케이스 아이폰15 그레이</v>
          </cell>
          <cell r="AB435" t="str">
            <v>coupang.com/vp/products/8816879367?itemId=25690999354&amp;vendorItemId=92680186385</v>
          </cell>
          <cell r="AC435">
            <v>1308.181818181818</v>
          </cell>
          <cell r="AD435">
            <v>130.81818181818181</v>
          </cell>
          <cell r="AE435">
            <v>1439</v>
          </cell>
          <cell r="AG435">
            <v>5727.272727272727</v>
          </cell>
          <cell r="AH435">
            <v>572.72727272727298</v>
          </cell>
          <cell r="AI435">
            <v>6300</v>
          </cell>
          <cell r="AK435">
            <v>4419.090909090909</v>
          </cell>
        </row>
        <row r="436">
          <cell r="H436" t="str">
            <v>92680186385AD</v>
          </cell>
          <cell r="I436">
            <v>60930505</v>
          </cell>
          <cell r="R436" t="str">
            <v>92680186385AD</v>
          </cell>
          <cell r="X436" t="str">
            <v>뉴클 케이스_프레임리스_아이폰15.16</v>
          </cell>
          <cell r="Y436" t="str">
            <v>뉴클 프레임리스 케이스 아이폰15 그레이</v>
          </cell>
          <cell r="AB436">
            <v>-3</v>
          </cell>
          <cell r="AC436">
            <v>-13257.272727272728</v>
          </cell>
          <cell r="AG436">
            <v>4</v>
          </cell>
        </row>
        <row r="437">
          <cell r="H437" t="str">
            <v>92680186385S</v>
          </cell>
          <cell r="I437">
            <v>60930505</v>
          </cell>
          <cell r="R437" t="str">
            <v>92680186385S</v>
          </cell>
          <cell r="X437" t="str">
            <v>뉴클 케이스_프레임리스_아이폰15.16</v>
          </cell>
          <cell r="Y437" t="str">
            <v>뉴클 프레임리스 케이스 아이폰15 그레이</v>
          </cell>
          <cell r="AC437" t="str">
            <v>개당광고비→</v>
          </cell>
          <cell r="AG437">
            <v>291.75</v>
          </cell>
          <cell r="AH437">
            <v>1167</v>
          </cell>
        </row>
        <row r="438">
          <cell r="H438">
            <v>92765243759</v>
          </cell>
          <cell r="I438">
            <v>61313815</v>
          </cell>
          <cell r="J438">
            <v>-4</v>
          </cell>
          <cell r="K438" t="str">
            <v>-</v>
          </cell>
          <cell r="L438">
            <v>7900</v>
          </cell>
          <cell r="M438">
            <v>7900</v>
          </cell>
          <cell r="O438">
            <v>10900</v>
          </cell>
          <cell r="Q438">
            <v>7900</v>
          </cell>
          <cell r="R438">
            <v>92765243759</v>
          </cell>
          <cell r="V438">
            <v>7900</v>
          </cell>
          <cell r="X438" t="str">
            <v>뉴클 필름_종이질감_광고ON</v>
          </cell>
          <cell r="Y438" t="str">
            <v>종이질감 필름 3매 갤럭시S22 갤럭시S25 엣지</v>
          </cell>
          <cell r="AC438">
            <v>2227.272727272727</v>
          </cell>
          <cell r="AD438">
            <v>222.72727272727272</v>
          </cell>
          <cell r="AE438">
            <v>2450</v>
          </cell>
          <cell r="AG438">
            <v>5818.181818181818</v>
          </cell>
          <cell r="AH438">
            <v>581.81818181818198</v>
          </cell>
          <cell r="AI438">
            <v>6400</v>
          </cell>
          <cell r="AK438">
            <v>3590.909090909091</v>
          </cell>
        </row>
        <row r="439">
          <cell r="H439" t="str">
            <v>92765243759AD</v>
          </cell>
          <cell r="I439">
            <v>61313815</v>
          </cell>
          <cell r="J439" t="str">
            <v/>
          </cell>
          <cell r="R439" t="str">
            <v>92765243759AD</v>
          </cell>
          <cell r="X439" t="str">
            <v>뉴클 필름_종이질감_광고ON</v>
          </cell>
          <cell r="Y439" t="str">
            <v>종이질감 필름 3매 갤럭시S22 갤럭시S25 엣지</v>
          </cell>
          <cell r="AB439">
            <v>0</v>
          </cell>
          <cell r="AC439">
            <v>0</v>
          </cell>
          <cell r="AG439">
            <v>1</v>
          </cell>
        </row>
        <row r="440">
          <cell r="H440" t="str">
            <v>92765243759S</v>
          </cell>
          <cell r="I440">
            <v>61313815</v>
          </cell>
          <cell r="J440" t="str">
            <v/>
          </cell>
          <cell r="O440">
            <v>10900</v>
          </cell>
          <cell r="R440" t="str">
            <v>92765243759S</v>
          </cell>
          <cell r="X440" t="str">
            <v>뉴클 필름_종이질감_광고ON</v>
          </cell>
          <cell r="Y440" t="str">
            <v>종이질감 필름 3매 갤럭시S22 갤럭시S25 엣지</v>
          </cell>
          <cell r="AC440" t="str">
            <v>개당광고비→</v>
          </cell>
          <cell r="AG440">
            <v>2492</v>
          </cell>
          <cell r="AH440">
            <v>2492</v>
          </cell>
        </row>
        <row r="441">
          <cell r="H441">
            <v>85552479181</v>
          </cell>
          <cell r="I441">
            <v>34502427</v>
          </cell>
          <cell r="J441">
            <v>-1</v>
          </cell>
          <cell r="K441" t="str">
            <v>-</v>
          </cell>
          <cell r="L441">
            <v>7900</v>
          </cell>
          <cell r="M441">
            <v>7900</v>
          </cell>
          <cell r="Q441">
            <v>7900</v>
          </cell>
          <cell r="R441">
            <v>85552479181</v>
          </cell>
          <cell r="V441">
            <v>7900</v>
          </cell>
          <cell r="X441" t="str">
            <v>뉴클 필름_종이질감_광고ON</v>
          </cell>
          <cell r="Y441" t="str">
            <v>종이질감 필름 3매 갤럭시S22</v>
          </cell>
          <cell r="AC441">
            <v>2227.272727272727</v>
          </cell>
          <cell r="AD441">
            <v>222.72727272727272</v>
          </cell>
          <cell r="AE441">
            <v>2450</v>
          </cell>
          <cell r="AG441">
            <v>4954.545454545454</v>
          </cell>
          <cell r="AH441">
            <v>495.45454545454595</v>
          </cell>
          <cell r="AI441">
            <v>5450</v>
          </cell>
          <cell r="AK441">
            <v>2727.272727272727</v>
          </cell>
        </row>
        <row r="442">
          <cell r="H442" t="str">
            <v>85552479181AD</v>
          </cell>
          <cell r="I442">
            <v>34502427</v>
          </cell>
          <cell r="J442" t="str">
            <v/>
          </cell>
          <cell r="R442" t="str">
            <v>85552479181AD</v>
          </cell>
          <cell r="X442" t="str">
            <v>뉴클 필름_종이질감_광고ON</v>
          </cell>
          <cell r="Y442" t="str">
            <v>종이질감 필름 3매 갤럭시S22</v>
          </cell>
          <cell r="AB442">
            <v>0</v>
          </cell>
          <cell r="AC442">
            <v>0</v>
          </cell>
          <cell r="AG442">
            <v>0</v>
          </cell>
        </row>
        <row r="443">
          <cell r="H443" t="str">
            <v>85552479181S</v>
          </cell>
          <cell r="I443">
            <v>34502427</v>
          </cell>
          <cell r="J443" t="str">
            <v/>
          </cell>
          <cell r="R443" t="str">
            <v>85552479181S</v>
          </cell>
          <cell r="X443" t="str">
            <v>뉴클 필름_종이질감_광고ON</v>
          </cell>
          <cell r="Y443" t="str">
            <v>종이질감 필름 3매 갤럭시S22</v>
          </cell>
          <cell r="AC443" t="str">
            <v>개당광고비→</v>
          </cell>
          <cell r="AG443" t="str">
            <v>광고X</v>
          </cell>
          <cell r="AH443">
            <v>0</v>
          </cell>
        </row>
        <row r="444">
          <cell r="H444">
            <v>85552479195</v>
          </cell>
          <cell r="I444">
            <v>34502429</v>
          </cell>
          <cell r="J444">
            <v>-3</v>
          </cell>
          <cell r="K444" t="str">
            <v>-</v>
          </cell>
          <cell r="L444">
            <v>7900</v>
          </cell>
          <cell r="M444">
            <v>7900</v>
          </cell>
          <cell r="Q444">
            <v>7900</v>
          </cell>
          <cell r="R444">
            <v>85552479195</v>
          </cell>
          <cell r="V444">
            <v>7900</v>
          </cell>
          <cell r="X444" t="str">
            <v>뉴클 필름_종이질감_광고ON</v>
          </cell>
          <cell r="Y444" t="str">
            <v>종이질감 필름 3매 갤럭시S22+</v>
          </cell>
          <cell r="AC444">
            <v>2227.272727272727</v>
          </cell>
          <cell r="AD444">
            <v>222.72727272727272</v>
          </cell>
          <cell r="AE444">
            <v>2450</v>
          </cell>
          <cell r="AG444">
            <v>4954.545454545454</v>
          </cell>
          <cell r="AH444">
            <v>495.45454545454595</v>
          </cell>
          <cell r="AI444">
            <v>5450</v>
          </cell>
          <cell r="AK444">
            <v>2727.272727272727</v>
          </cell>
        </row>
        <row r="445">
          <cell r="H445" t="str">
            <v>85552479195AD</v>
          </cell>
          <cell r="I445">
            <v>34502429</v>
          </cell>
          <cell r="J445" t="str">
            <v/>
          </cell>
          <cell r="R445" t="str">
            <v>85552479195AD</v>
          </cell>
          <cell r="X445" t="str">
            <v>뉴클 필름_종이질감_광고ON</v>
          </cell>
          <cell r="Y445" t="str">
            <v>종이질감 필름 3매 갤럭시S22+</v>
          </cell>
          <cell r="AB445">
            <v>0</v>
          </cell>
          <cell r="AC445">
            <v>0</v>
          </cell>
          <cell r="AG445">
            <v>0</v>
          </cell>
        </row>
        <row r="446">
          <cell r="H446" t="str">
            <v>85552479195S</v>
          </cell>
          <cell r="I446">
            <v>34502429</v>
          </cell>
          <cell r="J446" t="str">
            <v/>
          </cell>
          <cell r="R446" t="str">
            <v>85552479195S</v>
          </cell>
          <cell r="X446" t="str">
            <v>뉴클 필름_종이질감_광고ON</v>
          </cell>
          <cell r="Y446" t="str">
            <v>종이질감 필름 3매 갤럭시S22+</v>
          </cell>
          <cell r="AC446" t="str">
            <v>개당광고비→</v>
          </cell>
          <cell r="AG446" t="str">
            <v>광고X</v>
          </cell>
          <cell r="AH446">
            <v>189</v>
          </cell>
        </row>
        <row r="447">
          <cell r="H447">
            <v>85552479205</v>
          </cell>
          <cell r="I447">
            <v>34502431</v>
          </cell>
          <cell r="J447">
            <v>-2</v>
          </cell>
          <cell r="K447" t="str">
            <v>-</v>
          </cell>
          <cell r="L447">
            <v>7900</v>
          </cell>
          <cell r="M447">
            <v>7900</v>
          </cell>
          <cell r="Q447">
            <v>7900</v>
          </cell>
          <cell r="R447">
            <v>85552479205</v>
          </cell>
          <cell r="V447">
            <v>7900</v>
          </cell>
          <cell r="X447" t="str">
            <v>뉴클 필름_종이질감_광고ON</v>
          </cell>
          <cell r="Y447" t="str">
            <v>종이질감 필름 3매 갤럭시S22울트라</v>
          </cell>
          <cell r="AC447">
            <v>2227.272727272727</v>
          </cell>
          <cell r="AD447">
            <v>222.72727272727272</v>
          </cell>
          <cell r="AE447">
            <v>2450</v>
          </cell>
          <cell r="AG447">
            <v>4954.545454545454</v>
          </cell>
          <cell r="AH447">
            <v>495.45454545454595</v>
          </cell>
          <cell r="AI447">
            <v>5450</v>
          </cell>
          <cell r="AK447">
            <v>2727.272727272727</v>
          </cell>
        </row>
        <row r="448">
          <cell r="H448" t="str">
            <v>85552479205AD</v>
          </cell>
          <cell r="I448">
            <v>34502431</v>
          </cell>
          <cell r="J448" t="str">
            <v/>
          </cell>
          <cell r="R448" t="str">
            <v>85552479205AD</v>
          </cell>
          <cell r="X448" t="str">
            <v>뉴클 필름_종이질감_광고ON</v>
          </cell>
          <cell r="Y448" t="str">
            <v>종이질감 필름 3매 갤럭시S22울트라</v>
          </cell>
          <cell r="AB448">
            <v>0</v>
          </cell>
          <cell r="AC448">
            <v>0</v>
          </cell>
          <cell r="AG448">
            <v>3</v>
          </cell>
        </row>
        <row r="449">
          <cell r="H449" t="str">
            <v>85552479205S</v>
          </cell>
          <cell r="I449">
            <v>34502431</v>
          </cell>
          <cell r="J449" t="str">
            <v/>
          </cell>
          <cell r="R449" t="str">
            <v>85552479205S</v>
          </cell>
          <cell r="X449" t="str">
            <v>뉴클 필름_종이질감_광고ON</v>
          </cell>
          <cell r="Y449" t="str">
            <v>종이질감 필름 3매 갤럭시S22울트라</v>
          </cell>
          <cell r="AC449" t="str">
            <v>개당광고비→</v>
          </cell>
          <cell r="AG449">
            <v>2227</v>
          </cell>
          <cell r="AH449">
            <v>6681</v>
          </cell>
        </row>
        <row r="450">
          <cell r="H450">
            <v>85552479228</v>
          </cell>
          <cell r="I450">
            <v>34502436</v>
          </cell>
          <cell r="J450">
            <v>-2</v>
          </cell>
          <cell r="K450" t="str">
            <v>-</v>
          </cell>
          <cell r="L450">
            <v>7900</v>
          </cell>
          <cell r="M450">
            <v>7900</v>
          </cell>
          <cell r="Q450">
            <v>7900</v>
          </cell>
          <cell r="R450">
            <v>85552479228</v>
          </cell>
          <cell r="V450">
            <v>7900</v>
          </cell>
          <cell r="X450" t="str">
            <v>뉴클 필름_종이질감_광고ON</v>
          </cell>
          <cell r="Y450" t="str">
            <v>종이질감 필름 3매 갤럭시S23</v>
          </cell>
          <cell r="AC450">
            <v>2227.272727272727</v>
          </cell>
          <cell r="AD450">
            <v>222.72727272727272</v>
          </cell>
          <cell r="AE450">
            <v>2450</v>
          </cell>
          <cell r="AG450">
            <v>4954.545454545454</v>
          </cell>
          <cell r="AH450">
            <v>495.45454545454595</v>
          </cell>
          <cell r="AI450">
            <v>5450</v>
          </cell>
          <cell r="AK450">
            <v>2727.272727272727</v>
          </cell>
        </row>
        <row r="451">
          <cell r="H451" t="str">
            <v>85552479228AD</v>
          </cell>
          <cell r="I451">
            <v>34502436</v>
          </cell>
          <cell r="J451" t="str">
            <v/>
          </cell>
          <cell r="R451" t="str">
            <v>85552479228AD</v>
          </cell>
          <cell r="X451" t="str">
            <v>뉴클 필름_종이질감_광고ON</v>
          </cell>
          <cell r="Y451" t="str">
            <v>종이질감 필름 3매 갤럭시S23</v>
          </cell>
          <cell r="AB451">
            <v>0</v>
          </cell>
          <cell r="AC451">
            <v>0</v>
          </cell>
          <cell r="AG451">
            <v>1</v>
          </cell>
        </row>
        <row r="452">
          <cell r="H452" t="str">
            <v>85552479228S</v>
          </cell>
          <cell r="I452">
            <v>34502436</v>
          </cell>
          <cell r="J452" t="str">
            <v/>
          </cell>
          <cell r="R452" t="str">
            <v>85552479228S</v>
          </cell>
          <cell r="X452" t="str">
            <v>뉴클 필름_종이질감_광고ON</v>
          </cell>
          <cell r="Y452" t="str">
            <v>종이질감 필름 3매 갤럭시S23</v>
          </cell>
          <cell r="AC452" t="str">
            <v>개당광고비→</v>
          </cell>
          <cell r="AG452">
            <v>1227</v>
          </cell>
          <cell r="AH452">
            <v>1227</v>
          </cell>
        </row>
        <row r="453">
          <cell r="H453">
            <v>85552479245</v>
          </cell>
          <cell r="I453">
            <v>34502438</v>
          </cell>
          <cell r="J453">
            <v>-5</v>
          </cell>
          <cell r="K453" t="str">
            <v>-</v>
          </cell>
          <cell r="L453">
            <v>7900</v>
          </cell>
          <cell r="M453">
            <v>7900</v>
          </cell>
          <cell r="Q453">
            <v>7900</v>
          </cell>
          <cell r="R453">
            <v>85552479245</v>
          </cell>
          <cell r="V453">
            <v>7900</v>
          </cell>
          <cell r="X453" t="str">
            <v>뉴클 필름_종이질감_광고ON</v>
          </cell>
          <cell r="Y453" t="str">
            <v>종이질감 필름 3매 갤럭시S23+</v>
          </cell>
          <cell r="AC453">
            <v>2227.272727272727</v>
          </cell>
          <cell r="AD453">
            <v>222.72727272727272</v>
          </cell>
          <cell r="AE453">
            <v>2450</v>
          </cell>
          <cell r="AG453">
            <v>4954.545454545454</v>
          </cell>
          <cell r="AH453">
            <v>495.45454545454595</v>
          </cell>
          <cell r="AI453">
            <v>5450</v>
          </cell>
          <cell r="AK453">
            <v>2727.272727272727</v>
          </cell>
        </row>
        <row r="454">
          <cell r="H454" t="str">
            <v>85552479245AD</v>
          </cell>
          <cell r="I454">
            <v>34502438</v>
          </cell>
          <cell r="J454" t="str">
            <v/>
          </cell>
          <cell r="R454" t="str">
            <v>85552479245AD</v>
          </cell>
          <cell r="X454" t="str">
            <v>뉴클 필름_종이질감_광고ON</v>
          </cell>
          <cell r="Y454" t="str">
            <v>종이질감 필름 3매 갤럭시S23+</v>
          </cell>
          <cell r="AB454">
            <v>1</v>
          </cell>
          <cell r="AC454">
            <v>2727.272727272727</v>
          </cell>
          <cell r="AG454">
            <v>0</v>
          </cell>
        </row>
        <row r="455">
          <cell r="H455" t="str">
            <v>85552479245S</v>
          </cell>
          <cell r="I455">
            <v>34502438</v>
          </cell>
          <cell r="J455" t="str">
            <v/>
          </cell>
          <cell r="R455" t="str">
            <v>85552479245S</v>
          </cell>
          <cell r="X455" t="str">
            <v>뉴클 필름_종이질감_광고ON</v>
          </cell>
          <cell r="Y455" t="str">
            <v>종이질감 필름 3매 갤럭시S23+</v>
          </cell>
          <cell r="AC455" t="str">
            <v>개당광고비→</v>
          </cell>
          <cell r="AG455" t="str">
            <v>광고X</v>
          </cell>
          <cell r="AH455">
            <v>101</v>
          </cell>
        </row>
        <row r="456">
          <cell r="H456">
            <v>85552479259</v>
          </cell>
          <cell r="I456">
            <v>34502439</v>
          </cell>
          <cell r="J456">
            <v>-15</v>
          </cell>
          <cell r="K456" t="str">
            <v>-</v>
          </cell>
          <cell r="L456">
            <v>7900</v>
          </cell>
          <cell r="M456">
            <v>7900</v>
          </cell>
          <cell r="Q456">
            <v>7900</v>
          </cell>
          <cell r="R456">
            <v>85552479259</v>
          </cell>
          <cell r="V456">
            <v>7900</v>
          </cell>
          <cell r="X456" t="str">
            <v>뉴클 필름_종이질감_광고ON</v>
          </cell>
          <cell r="Y456" t="str">
            <v>종이질감 필름 3매 갤럭시S23울트라</v>
          </cell>
          <cell r="AC456">
            <v>2227.272727272727</v>
          </cell>
          <cell r="AD456">
            <v>222.72727272727272</v>
          </cell>
          <cell r="AE456">
            <v>2450</v>
          </cell>
          <cell r="AG456">
            <v>4954.545454545454</v>
          </cell>
          <cell r="AH456">
            <v>495.45454545454595</v>
          </cell>
          <cell r="AI456">
            <v>5450</v>
          </cell>
          <cell r="AK456">
            <v>2727.272727272727</v>
          </cell>
        </row>
        <row r="457">
          <cell r="H457" t="str">
            <v>85552479259AD</v>
          </cell>
          <cell r="I457">
            <v>34502439</v>
          </cell>
          <cell r="J457" t="str">
            <v/>
          </cell>
          <cell r="R457" t="str">
            <v>85552479259AD</v>
          </cell>
          <cell r="X457" t="str">
            <v>뉴클 필름_종이질감_광고ON</v>
          </cell>
          <cell r="Y457" t="str">
            <v>종이질감 필름 3매 갤럭시S23울트라</v>
          </cell>
          <cell r="AB457">
            <v>4</v>
          </cell>
          <cell r="AC457">
            <v>10909.090909090908</v>
          </cell>
          <cell r="AG457">
            <v>1</v>
          </cell>
        </row>
        <row r="458">
          <cell r="H458" t="str">
            <v>85552479259S</v>
          </cell>
          <cell r="I458">
            <v>34502439</v>
          </cell>
          <cell r="J458" t="str">
            <v/>
          </cell>
          <cell r="R458" t="str">
            <v>85552479259S</v>
          </cell>
          <cell r="X458" t="str">
            <v>뉴클 필름_종이질감_광고ON</v>
          </cell>
          <cell r="Y458" t="str">
            <v>종이질감 필름 3매 갤럭시S23울트라</v>
          </cell>
          <cell r="AC458" t="str">
            <v>개당광고비→</v>
          </cell>
          <cell r="AG458">
            <v>5100</v>
          </cell>
          <cell r="AH458">
            <v>5100</v>
          </cell>
        </row>
        <row r="459">
          <cell r="H459">
            <v>88520701455</v>
          </cell>
          <cell r="I459">
            <v>42231777</v>
          </cell>
          <cell r="J459">
            <v>-11</v>
          </cell>
          <cell r="K459" t="str">
            <v>-</v>
          </cell>
          <cell r="L459">
            <v>7900</v>
          </cell>
          <cell r="M459">
            <v>7900</v>
          </cell>
          <cell r="Q459">
            <v>7900</v>
          </cell>
          <cell r="R459">
            <v>88520701455</v>
          </cell>
          <cell r="V459">
            <v>7900</v>
          </cell>
          <cell r="X459" t="str">
            <v>뉴클 필름_종이질감_광고ON</v>
          </cell>
          <cell r="Y459" t="str">
            <v>종이질감 필름 3매 갤럭시24</v>
          </cell>
          <cell r="AC459">
            <v>2227.272727272727</v>
          </cell>
          <cell r="AD459">
            <v>222.72727272727272</v>
          </cell>
          <cell r="AE459">
            <v>2450</v>
          </cell>
          <cell r="AG459">
            <v>4954.545454545454</v>
          </cell>
          <cell r="AH459">
            <v>495.45454545454595</v>
          </cell>
          <cell r="AI459">
            <v>5450</v>
          </cell>
          <cell r="AK459">
            <v>2727.272727272727</v>
          </cell>
        </row>
        <row r="460">
          <cell r="H460" t="str">
            <v>88520701455AD</v>
          </cell>
          <cell r="I460">
            <v>42231777</v>
          </cell>
          <cell r="J460" t="str">
            <v/>
          </cell>
          <cell r="R460" t="str">
            <v>88520701455AD</v>
          </cell>
          <cell r="X460" t="str">
            <v>뉴클 필름_종이질감_광고ON</v>
          </cell>
          <cell r="Y460" t="str">
            <v>종이질감 필름 3매 갤럭시24</v>
          </cell>
          <cell r="AB460">
            <v>3</v>
          </cell>
          <cell r="AC460">
            <v>8181.8181818181811</v>
          </cell>
          <cell r="AG460">
            <v>0</v>
          </cell>
        </row>
        <row r="461">
          <cell r="H461" t="str">
            <v>88520701455S</v>
          </cell>
          <cell r="I461">
            <v>42231777</v>
          </cell>
          <cell r="J461" t="str">
            <v/>
          </cell>
          <cell r="R461" t="str">
            <v>88520701455S</v>
          </cell>
          <cell r="X461" t="str">
            <v>뉴클 필름_종이질감_광고ON</v>
          </cell>
          <cell r="Y461" t="str">
            <v>종이질감 필름 3매 갤럭시24</v>
          </cell>
          <cell r="AC461" t="str">
            <v>개당광고비→</v>
          </cell>
          <cell r="AG461" t="str">
            <v>광고X</v>
          </cell>
          <cell r="AH461">
            <v>978</v>
          </cell>
        </row>
        <row r="462">
          <cell r="H462">
            <v>88520701435</v>
          </cell>
          <cell r="I462">
            <v>42231776</v>
          </cell>
          <cell r="J462" t="str">
            <v/>
          </cell>
          <cell r="K462" t="str">
            <v>-</v>
          </cell>
          <cell r="L462">
            <v>7900</v>
          </cell>
          <cell r="M462">
            <v>7900</v>
          </cell>
          <cell r="Q462">
            <v>7900</v>
          </cell>
          <cell r="R462">
            <v>88520701435</v>
          </cell>
          <cell r="V462">
            <v>7900</v>
          </cell>
          <cell r="X462" t="str">
            <v>뉴클 필름_종이질감_광고ON</v>
          </cell>
          <cell r="Y462" t="str">
            <v>종이질감 필름 3매 갤럭시24 울트라</v>
          </cell>
          <cell r="AC462">
            <v>2227.272727272727</v>
          </cell>
          <cell r="AD462">
            <v>222.72727272727272</v>
          </cell>
          <cell r="AE462">
            <v>2450</v>
          </cell>
          <cell r="AG462">
            <v>4954.545454545454</v>
          </cell>
          <cell r="AH462">
            <v>495.45454545454595</v>
          </cell>
          <cell r="AI462">
            <v>5450</v>
          </cell>
          <cell r="AK462">
            <v>2727.272727272727</v>
          </cell>
        </row>
        <row r="463">
          <cell r="H463" t="str">
            <v>88520701435AD</v>
          </cell>
          <cell r="I463">
            <v>42231776</v>
          </cell>
          <cell r="J463" t="str">
            <v/>
          </cell>
          <cell r="R463" t="str">
            <v>88520701435AD</v>
          </cell>
          <cell r="X463" t="str">
            <v>뉴클 필름_종이질감_광고ON</v>
          </cell>
          <cell r="Y463" t="str">
            <v>종이질감 필름 3매 갤럭시24 울트라</v>
          </cell>
          <cell r="AB463">
            <v>2</v>
          </cell>
          <cell r="AC463">
            <v>5454.545454545454</v>
          </cell>
          <cell r="AG463">
            <v>0</v>
          </cell>
        </row>
        <row r="464">
          <cell r="H464" t="str">
            <v>88520701435S</v>
          </cell>
          <cell r="I464">
            <v>42231776</v>
          </cell>
          <cell r="J464" t="str">
            <v/>
          </cell>
          <cell r="R464" t="str">
            <v>88520701435S</v>
          </cell>
          <cell r="X464" t="str">
            <v>뉴클 필름_종이질감_광고ON</v>
          </cell>
          <cell r="Y464" t="str">
            <v>종이질감 필름 3매 갤럭시24 울트라</v>
          </cell>
          <cell r="AC464" t="str">
            <v>개당광고비→</v>
          </cell>
          <cell r="AG464" t="str">
            <v>광고X</v>
          </cell>
          <cell r="AH464">
            <v>2650</v>
          </cell>
        </row>
        <row r="465">
          <cell r="H465">
            <v>88520701465</v>
          </cell>
          <cell r="I465">
            <v>42231778</v>
          </cell>
          <cell r="J465" t="str">
            <v/>
          </cell>
          <cell r="K465" t="str">
            <v>-</v>
          </cell>
          <cell r="L465">
            <v>7900</v>
          </cell>
          <cell r="M465">
            <v>7900</v>
          </cell>
          <cell r="Q465">
            <v>7900</v>
          </cell>
          <cell r="R465">
            <v>88520701465</v>
          </cell>
          <cell r="V465">
            <v>7900</v>
          </cell>
          <cell r="X465" t="str">
            <v>뉴클 필름_종이질감_광고ON</v>
          </cell>
          <cell r="Y465" t="str">
            <v>종이질감 필름 3매 갤럭시24 플러스</v>
          </cell>
          <cell r="AC465">
            <v>2227.272727272727</v>
          </cell>
          <cell r="AD465">
            <v>222.72727272727272</v>
          </cell>
          <cell r="AE465">
            <v>2450</v>
          </cell>
          <cell r="AG465">
            <v>4954.545454545454</v>
          </cell>
          <cell r="AH465">
            <v>495.45454545454595</v>
          </cell>
          <cell r="AI465">
            <v>5450</v>
          </cell>
          <cell r="AK465">
            <v>2727.272727272727</v>
          </cell>
        </row>
        <row r="466">
          <cell r="H466" t="str">
            <v>88520701465AD</v>
          </cell>
          <cell r="I466">
            <v>42231778</v>
          </cell>
          <cell r="J466" t="str">
            <v/>
          </cell>
          <cell r="R466" t="str">
            <v>88520701465AD</v>
          </cell>
          <cell r="X466" t="str">
            <v>뉴클 필름_종이질감_광고ON</v>
          </cell>
          <cell r="Y466" t="str">
            <v>종이질감 필름 3매 갤럭시24 플러스</v>
          </cell>
          <cell r="AB466">
            <v>1</v>
          </cell>
          <cell r="AC466">
            <v>2727.272727272727</v>
          </cell>
          <cell r="AG466" t="str">
            <v>0</v>
          </cell>
        </row>
        <row r="467">
          <cell r="H467" t="str">
            <v>88520701465S</v>
          </cell>
          <cell r="I467">
            <v>42231778</v>
          </cell>
          <cell r="J467" t="str">
            <v/>
          </cell>
          <cell r="R467" t="str">
            <v>88520701465S</v>
          </cell>
          <cell r="X467" t="str">
            <v>뉴클 필름_종이질감_광고ON</v>
          </cell>
          <cell r="Y467" t="str">
            <v>종이질감 필름 3매 갤럭시24 플러스</v>
          </cell>
          <cell r="AC467" t="str">
            <v>개당광고비→</v>
          </cell>
          <cell r="AG467" t="str">
            <v>광고X</v>
          </cell>
          <cell r="AH467" t="str">
            <v>광고X</v>
          </cell>
        </row>
        <row r="468">
          <cell r="H468">
            <v>85552479303</v>
          </cell>
          <cell r="I468">
            <v>34502443</v>
          </cell>
          <cell r="J468">
            <v>2</v>
          </cell>
          <cell r="K468" t="str">
            <v>-</v>
          </cell>
          <cell r="L468">
            <v>7900</v>
          </cell>
          <cell r="M468">
            <v>7900</v>
          </cell>
          <cell r="Q468">
            <v>7900</v>
          </cell>
          <cell r="R468">
            <v>85552479303</v>
          </cell>
          <cell r="V468">
            <v>7900</v>
          </cell>
          <cell r="X468" t="str">
            <v>뉴클 필름_종이질감_광고ON</v>
          </cell>
          <cell r="Y468" t="str">
            <v>종이질감 필름 3매 아이폰12</v>
          </cell>
          <cell r="AC468">
            <v>2227.272727272727</v>
          </cell>
          <cell r="AD468">
            <v>222.72727272727272</v>
          </cell>
          <cell r="AE468">
            <v>2450</v>
          </cell>
          <cell r="AG468">
            <v>4954.545454545454</v>
          </cell>
          <cell r="AH468">
            <v>495.45454545454595</v>
          </cell>
          <cell r="AI468">
            <v>5450</v>
          </cell>
          <cell r="AK468">
            <v>2727.272727272727</v>
          </cell>
        </row>
        <row r="469">
          <cell r="H469" t="str">
            <v>85552479303AD</v>
          </cell>
          <cell r="I469">
            <v>34502443</v>
          </cell>
          <cell r="J469" t="str">
            <v/>
          </cell>
          <cell r="R469" t="str">
            <v>85552479303AD</v>
          </cell>
          <cell r="X469" t="str">
            <v>뉴클 필름_종이질감_광고ON</v>
          </cell>
          <cell r="Y469" t="str">
            <v>종이질감 필름 3매 아이폰12</v>
          </cell>
          <cell r="AB469">
            <v>0</v>
          </cell>
          <cell r="AC469">
            <v>0</v>
          </cell>
          <cell r="AG469" t="str">
            <v>0</v>
          </cell>
        </row>
        <row r="470">
          <cell r="H470" t="str">
            <v>85552479303S</v>
          </cell>
          <cell r="I470">
            <v>34502443</v>
          </cell>
          <cell r="J470" t="str">
            <v/>
          </cell>
          <cell r="R470" t="str">
            <v>85552479303S</v>
          </cell>
          <cell r="X470" t="str">
            <v>뉴클 필름_종이질감_광고ON</v>
          </cell>
          <cell r="Y470" t="str">
            <v>종이질감 필름 3매 아이폰12</v>
          </cell>
          <cell r="AC470" t="str">
            <v>개당광고비→</v>
          </cell>
          <cell r="AG470" t="str">
            <v>광고X</v>
          </cell>
          <cell r="AH470" t="str">
            <v>광고X</v>
          </cell>
        </row>
        <row r="471">
          <cell r="H471">
            <v>85552479318</v>
          </cell>
          <cell r="I471">
            <v>34502444</v>
          </cell>
          <cell r="J471">
            <v>-2</v>
          </cell>
          <cell r="K471" t="str">
            <v>-</v>
          </cell>
          <cell r="L471">
            <v>7900</v>
          </cell>
          <cell r="M471">
            <v>7900</v>
          </cell>
          <cell r="Q471">
            <v>7900</v>
          </cell>
          <cell r="R471">
            <v>85552479318</v>
          </cell>
          <cell r="V471">
            <v>7900</v>
          </cell>
          <cell r="X471" t="str">
            <v>뉴클 필름_종이질감_광고ON</v>
          </cell>
          <cell r="Y471" t="str">
            <v>종이질감 필름 3매 아이폰12미니</v>
          </cell>
          <cell r="AC471">
            <v>2227.272727272727</v>
          </cell>
          <cell r="AD471">
            <v>222.72727272727272</v>
          </cell>
          <cell r="AE471">
            <v>2450</v>
          </cell>
          <cell r="AG471">
            <v>4954.545454545454</v>
          </cell>
          <cell r="AH471">
            <v>495.45454545454595</v>
          </cell>
          <cell r="AI471">
            <v>5450</v>
          </cell>
          <cell r="AK471">
            <v>2727.272727272727</v>
          </cell>
        </row>
        <row r="472">
          <cell r="H472" t="str">
            <v>85552479318AD</v>
          </cell>
          <cell r="I472">
            <v>34502444</v>
          </cell>
          <cell r="J472" t="str">
            <v/>
          </cell>
          <cell r="R472" t="str">
            <v>85552479318AD</v>
          </cell>
          <cell r="X472" t="str">
            <v>뉴클 필름_종이질감_광고ON</v>
          </cell>
          <cell r="Y472" t="str">
            <v>종이질감 필름 3매 아이폰12미니</v>
          </cell>
          <cell r="AB472">
            <v>0</v>
          </cell>
          <cell r="AC472">
            <v>0</v>
          </cell>
          <cell r="AG472" t="str">
            <v>0</v>
          </cell>
        </row>
        <row r="473">
          <cell r="H473" t="str">
            <v>85552479318S</v>
          </cell>
          <cell r="I473">
            <v>34502444</v>
          </cell>
          <cell r="J473" t="str">
            <v/>
          </cell>
          <cell r="R473" t="str">
            <v>85552479318S</v>
          </cell>
          <cell r="X473" t="str">
            <v>뉴클 필름_종이질감_광고ON</v>
          </cell>
          <cell r="Y473" t="str">
            <v>종이질감 필름 3매 아이폰12미니</v>
          </cell>
          <cell r="AC473" t="str">
            <v>개당광고비→</v>
          </cell>
          <cell r="AG473" t="str">
            <v>광고X</v>
          </cell>
          <cell r="AH473" t="str">
            <v>광고X</v>
          </cell>
        </row>
        <row r="474">
          <cell r="H474">
            <v>85552479294</v>
          </cell>
          <cell r="I474">
            <v>34502442</v>
          </cell>
          <cell r="J474">
            <v>-3</v>
          </cell>
          <cell r="K474" t="str">
            <v>-</v>
          </cell>
          <cell r="L474">
            <v>7900</v>
          </cell>
          <cell r="M474">
            <v>7900</v>
          </cell>
          <cell r="Q474">
            <v>7900</v>
          </cell>
          <cell r="R474">
            <v>85552479294</v>
          </cell>
          <cell r="V474">
            <v>7900</v>
          </cell>
          <cell r="X474" t="str">
            <v>뉴클 필름_종이질감_광고ON</v>
          </cell>
          <cell r="Y474" t="str">
            <v>종이질감 필름 3매 아이폰12프로</v>
          </cell>
          <cell r="AC474">
            <v>2227.272727272727</v>
          </cell>
          <cell r="AD474">
            <v>222.72727272727272</v>
          </cell>
          <cell r="AE474">
            <v>2450</v>
          </cell>
          <cell r="AG474">
            <v>4954.545454545454</v>
          </cell>
          <cell r="AH474">
            <v>495.45454545454595</v>
          </cell>
          <cell r="AI474">
            <v>5450</v>
          </cell>
          <cell r="AK474">
            <v>2727.272727272727</v>
          </cell>
        </row>
        <row r="475">
          <cell r="H475" t="str">
            <v>85552479294AD</v>
          </cell>
          <cell r="I475">
            <v>34502442</v>
          </cell>
          <cell r="J475" t="str">
            <v/>
          </cell>
          <cell r="R475" t="str">
            <v>85552479294AD</v>
          </cell>
          <cell r="X475" t="str">
            <v>뉴클 필름_종이질감_광고ON</v>
          </cell>
          <cell r="Y475" t="str">
            <v>종이질감 필름 3매 아이폰12프로</v>
          </cell>
          <cell r="AB475">
            <v>2</v>
          </cell>
          <cell r="AC475">
            <v>5454.545454545454</v>
          </cell>
          <cell r="AG475">
            <v>0</v>
          </cell>
        </row>
        <row r="476">
          <cell r="H476" t="str">
            <v>85552479294S</v>
          </cell>
          <cell r="I476">
            <v>34502442</v>
          </cell>
          <cell r="J476" t="str">
            <v/>
          </cell>
          <cell r="R476" t="str">
            <v>85552479294S</v>
          </cell>
          <cell r="X476" t="str">
            <v>뉴클 필름_종이질감_광고ON</v>
          </cell>
          <cell r="Y476" t="str">
            <v>종이질감 필름 3매 아이폰12프로</v>
          </cell>
          <cell r="AC476" t="str">
            <v>개당광고비→</v>
          </cell>
          <cell r="AG476" t="str">
            <v>광고X</v>
          </cell>
          <cell r="AH476">
            <v>0</v>
          </cell>
        </row>
        <row r="477">
          <cell r="H477">
            <v>85552479285</v>
          </cell>
          <cell r="I477">
            <v>34502441</v>
          </cell>
          <cell r="J477">
            <v>-1</v>
          </cell>
          <cell r="K477" t="str">
            <v>-</v>
          </cell>
          <cell r="L477">
            <v>7900</v>
          </cell>
          <cell r="M477">
            <v>7900</v>
          </cell>
          <cell r="Q477">
            <v>7900</v>
          </cell>
          <cell r="R477">
            <v>85552479285</v>
          </cell>
          <cell r="V477">
            <v>7900</v>
          </cell>
          <cell r="X477" t="str">
            <v>뉴클 필름_종이질감_광고ON</v>
          </cell>
          <cell r="Y477" t="str">
            <v>종이질감 필름 3매 아이폰12프로맥스</v>
          </cell>
          <cell r="AC477">
            <v>2227.272727272727</v>
          </cell>
          <cell r="AD477">
            <v>222.72727272727272</v>
          </cell>
          <cell r="AE477">
            <v>2450</v>
          </cell>
          <cell r="AG477">
            <v>4954.545454545454</v>
          </cell>
          <cell r="AH477">
            <v>495.45454545454595</v>
          </cell>
          <cell r="AI477">
            <v>5450</v>
          </cell>
          <cell r="AK477">
            <v>2727.272727272727</v>
          </cell>
        </row>
        <row r="478">
          <cell r="H478" t="str">
            <v>85552479285AD</v>
          </cell>
          <cell r="I478">
            <v>34502441</v>
          </cell>
          <cell r="J478" t="str">
            <v/>
          </cell>
          <cell r="R478" t="str">
            <v>85552479285AD</v>
          </cell>
          <cell r="X478" t="str">
            <v>뉴클 필름_종이질감_광고ON</v>
          </cell>
          <cell r="Y478" t="str">
            <v>종이질감 필름 3매 아이폰12프로맥스</v>
          </cell>
          <cell r="AB478">
            <v>0</v>
          </cell>
          <cell r="AC478">
            <v>0</v>
          </cell>
          <cell r="AG478">
            <v>0</v>
          </cell>
        </row>
        <row r="479">
          <cell r="H479" t="str">
            <v>85552479285S</v>
          </cell>
          <cell r="I479">
            <v>34502441</v>
          </cell>
          <cell r="J479" t="str">
            <v/>
          </cell>
          <cell r="R479" t="str">
            <v>85552479285S</v>
          </cell>
          <cell r="X479" t="str">
            <v>뉴클 필름_종이질감_광고ON</v>
          </cell>
          <cell r="Y479" t="str">
            <v>종이질감 필름 3매 아이폰12프로맥스</v>
          </cell>
          <cell r="AC479" t="str">
            <v>개당광고비→</v>
          </cell>
          <cell r="AG479" t="str">
            <v>광고X</v>
          </cell>
          <cell r="AH479">
            <v>101</v>
          </cell>
        </row>
        <row r="480">
          <cell r="H480">
            <v>85552479415</v>
          </cell>
          <cell r="I480">
            <v>34502455</v>
          </cell>
          <cell r="J480">
            <v>-2</v>
          </cell>
          <cell r="K480" t="str">
            <v>-</v>
          </cell>
          <cell r="L480">
            <v>7900</v>
          </cell>
          <cell r="M480">
            <v>7900</v>
          </cell>
          <cell r="Q480">
            <v>7900</v>
          </cell>
          <cell r="R480">
            <v>85552479415</v>
          </cell>
          <cell r="V480">
            <v>7900</v>
          </cell>
          <cell r="X480" t="str">
            <v>뉴클 필름_종이질감_광고ON</v>
          </cell>
          <cell r="Y480" t="str">
            <v>종이질감 필름 3매 아이폰13</v>
          </cell>
          <cell r="AC480">
            <v>2227.272727272727</v>
          </cell>
          <cell r="AD480">
            <v>222.72727272727272</v>
          </cell>
          <cell r="AE480">
            <v>2450</v>
          </cell>
          <cell r="AG480">
            <v>4954.545454545454</v>
          </cell>
          <cell r="AH480">
            <v>495.45454545454595</v>
          </cell>
          <cell r="AI480">
            <v>5450</v>
          </cell>
          <cell r="AK480">
            <v>2727.272727272727</v>
          </cell>
        </row>
        <row r="481">
          <cell r="H481" t="str">
            <v>85552479415AD</v>
          </cell>
          <cell r="I481">
            <v>34502455</v>
          </cell>
          <cell r="J481" t="str">
            <v/>
          </cell>
          <cell r="R481" t="str">
            <v>85552479415AD</v>
          </cell>
          <cell r="X481" t="str">
            <v>뉴클 필름_종이질감_광고ON</v>
          </cell>
          <cell r="Y481" t="str">
            <v>종이질감 필름 3매 아이폰13</v>
          </cell>
          <cell r="AB481">
            <v>0</v>
          </cell>
          <cell r="AC481">
            <v>0</v>
          </cell>
          <cell r="AG481">
            <v>0</v>
          </cell>
        </row>
        <row r="482">
          <cell r="H482" t="str">
            <v>85552479415S</v>
          </cell>
          <cell r="I482">
            <v>34502455</v>
          </cell>
          <cell r="J482" t="str">
            <v/>
          </cell>
          <cell r="R482" t="str">
            <v>85552479415S</v>
          </cell>
          <cell r="X482" t="str">
            <v>뉴클 필름_종이질감_광고ON</v>
          </cell>
          <cell r="Y482" t="str">
            <v>종이질감 필름 3매 아이폰13</v>
          </cell>
          <cell r="AC482" t="str">
            <v>개당광고비→</v>
          </cell>
          <cell r="AG482" t="str">
            <v>광고X</v>
          </cell>
          <cell r="AH482">
            <v>1065</v>
          </cell>
        </row>
        <row r="483">
          <cell r="H483">
            <v>85367259613</v>
          </cell>
          <cell r="I483">
            <v>33959139</v>
          </cell>
          <cell r="J483">
            <v>-9</v>
          </cell>
          <cell r="K483" t="str">
            <v>-</v>
          </cell>
          <cell r="L483">
            <v>7900</v>
          </cell>
          <cell r="M483">
            <v>7900</v>
          </cell>
          <cell r="Q483">
            <v>7900</v>
          </cell>
          <cell r="R483">
            <v>85367259613</v>
          </cell>
          <cell r="V483">
            <v>7900</v>
          </cell>
          <cell r="X483" t="str">
            <v>뉴클 필름_종이질감_광고ON</v>
          </cell>
          <cell r="Y483" t="str">
            <v>종이질감 필름 3매 아이폰13미니</v>
          </cell>
          <cell r="AC483">
            <v>2227.272727272727</v>
          </cell>
          <cell r="AD483">
            <v>222.72727272727272</v>
          </cell>
          <cell r="AE483">
            <v>2450</v>
          </cell>
          <cell r="AG483">
            <v>4954.545454545454</v>
          </cell>
          <cell r="AH483">
            <v>495.45454545454595</v>
          </cell>
          <cell r="AI483">
            <v>5450</v>
          </cell>
          <cell r="AK483">
            <v>2727.272727272727</v>
          </cell>
        </row>
        <row r="484">
          <cell r="H484" t="str">
            <v>85367259613AD</v>
          </cell>
          <cell r="I484">
            <v>33959139</v>
          </cell>
          <cell r="J484" t="str">
            <v/>
          </cell>
          <cell r="R484" t="str">
            <v>85367259613AD</v>
          </cell>
          <cell r="X484" t="str">
            <v>뉴클 필름_종이질감_광고ON</v>
          </cell>
          <cell r="Y484" t="str">
            <v>종이질감 필름 3매 아이폰13미니</v>
          </cell>
          <cell r="AB484">
            <v>0</v>
          </cell>
          <cell r="AC484">
            <v>0</v>
          </cell>
          <cell r="AG484" t="str">
            <v>0</v>
          </cell>
        </row>
        <row r="485">
          <cell r="H485" t="str">
            <v>85367259613S</v>
          </cell>
          <cell r="I485">
            <v>33959139</v>
          </cell>
          <cell r="J485" t="str">
            <v/>
          </cell>
          <cell r="R485" t="str">
            <v>85367259613S</v>
          </cell>
          <cell r="X485" t="str">
            <v>뉴클 필름_종이질감_광고ON</v>
          </cell>
          <cell r="Y485" t="str">
            <v>종이질감 필름 3매 아이폰13미니</v>
          </cell>
          <cell r="AC485" t="str">
            <v>개당광고비→</v>
          </cell>
          <cell r="AG485" t="str">
            <v>광고X</v>
          </cell>
          <cell r="AH485" t="str">
            <v>광고X</v>
          </cell>
        </row>
        <row r="486">
          <cell r="H486">
            <v>85552479427</v>
          </cell>
          <cell r="I486">
            <v>34502459</v>
          </cell>
          <cell r="J486">
            <v>-9</v>
          </cell>
          <cell r="K486" t="str">
            <v>-</v>
          </cell>
          <cell r="L486">
            <v>7900</v>
          </cell>
          <cell r="M486">
            <v>7900</v>
          </cell>
          <cell r="Q486">
            <v>7900</v>
          </cell>
          <cell r="R486">
            <v>85552479427</v>
          </cell>
          <cell r="V486">
            <v>7900</v>
          </cell>
          <cell r="X486" t="str">
            <v>뉴클 필름_종이질감_광고ON</v>
          </cell>
          <cell r="Y486" t="str">
            <v>종이질감 필름 3매 아이폰13미니</v>
          </cell>
          <cell r="AC486">
            <v>2227.272727272727</v>
          </cell>
          <cell r="AD486">
            <v>222.72727272727272</v>
          </cell>
          <cell r="AE486">
            <v>2450</v>
          </cell>
          <cell r="AG486">
            <v>4954.545454545454</v>
          </cell>
          <cell r="AH486">
            <v>495.45454545454595</v>
          </cell>
          <cell r="AI486">
            <v>5450</v>
          </cell>
          <cell r="AK486">
            <v>2727.272727272727</v>
          </cell>
        </row>
        <row r="487">
          <cell r="H487" t="str">
            <v>85552479427AD</v>
          </cell>
          <cell r="I487">
            <v>34502459</v>
          </cell>
          <cell r="J487" t="str">
            <v/>
          </cell>
          <cell r="R487" t="str">
            <v>85552479427AD</v>
          </cell>
          <cell r="X487" t="str">
            <v>뉴클 필름_종이질감_광고ON</v>
          </cell>
          <cell r="Y487" t="str">
            <v>종이질감 필름 3매 아이폰13미니</v>
          </cell>
          <cell r="AB487">
            <v>0</v>
          </cell>
          <cell r="AC487">
            <v>0</v>
          </cell>
          <cell r="AG487">
            <v>0</v>
          </cell>
        </row>
        <row r="488">
          <cell r="H488" t="str">
            <v>85552479427S</v>
          </cell>
          <cell r="I488">
            <v>34502459</v>
          </cell>
          <cell r="J488" t="str">
            <v/>
          </cell>
          <cell r="R488" t="str">
            <v>85552479427S</v>
          </cell>
          <cell r="X488" t="str">
            <v>뉴클 필름_종이질감_광고ON</v>
          </cell>
          <cell r="Y488" t="str">
            <v>종이질감 필름 3매 아이폰13미니</v>
          </cell>
          <cell r="AC488" t="str">
            <v>개당광고비→</v>
          </cell>
          <cell r="AG488" t="str">
            <v>광고X</v>
          </cell>
          <cell r="AH488">
            <v>1247</v>
          </cell>
        </row>
        <row r="489">
          <cell r="H489">
            <v>85552479375</v>
          </cell>
          <cell r="I489">
            <v>34502453</v>
          </cell>
          <cell r="J489">
            <v>-2</v>
          </cell>
          <cell r="K489" t="str">
            <v>-</v>
          </cell>
          <cell r="L489">
            <v>7900</v>
          </cell>
          <cell r="M489">
            <v>7900</v>
          </cell>
          <cell r="Q489">
            <v>7900</v>
          </cell>
          <cell r="R489">
            <v>85552479375</v>
          </cell>
          <cell r="V489">
            <v>7900</v>
          </cell>
          <cell r="X489" t="str">
            <v>뉴클 필름_종이질감_광고ON</v>
          </cell>
          <cell r="Y489" t="str">
            <v>종이질감 필름 3매 아이폰13프로</v>
          </cell>
          <cell r="AC489">
            <v>2227.272727272727</v>
          </cell>
          <cell r="AD489">
            <v>222.72727272727272</v>
          </cell>
          <cell r="AE489">
            <v>2450</v>
          </cell>
          <cell r="AG489">
            <v>4954.545454545454</v>
          </cell>
          <cell r="AH489">
            <v>495.45454545454595</v>
          </cell>
          <cell r="AI489">
            <v>5450</v>
          </cell>
          <cell r="AK489">
            <v>2727.272727272727</v>
          </cell>
        </row>
        <row r="490">
          <cell r="H490" t="str">
            <v>85552479375AD</v>
          </cell>
          <cell r="I490">
            <v>34502453</v>
          </cell>
          <cell r="J490" t="str">
            <v/>
          </cell>
          <cell r="R490" t="str">
            <v>85552479375AD</v>
          </cell>
          <cell r="X490" t="str">
            <v>뉴클 필름_종이질감_광고ON</v>
          </cell>
          <cell r="Y490" t="str">
            <v>종이질감 필름 3매 아이폰13프로</v>
          </cell>
          <cell r="AB490">
            <v>1</v>
          </cell>
          <cell r="AC490">
            <v>2727.272727272727</v>
          </cell>
          <cell r="AG490">
            <v>0</v>
          </cell>
        </row>
        <row r="491">
          <cell r="H491" t="str">
            <v>85552479375S</v>
          </cell>
          <cell r="I491">
            <v>34502453</v>
          </cell>
          <cell r="J491" t="str">
            <v/>
          </cell>
          <cell r="R491" t="str">
            <v>85552479375S</v>
          </cell>
          <cell r="X491" t="str">
            <v>뉴클 필름_종이질감_광고ON</v>
          </cell>
          <cell r="Y491" t="str">
            <v>종이질감 필름 3매 아이폰13프로</v>
          </cell>
          <cell r="AC491" t="str">
            <v>개당광고비→</v>
          </cell>
          <cell r="AG491" t="str">
            <v>광고X</v>
          </cell>
          <cell r="AH491">
            <v>101</v>
          </cell>
        </row>
        <row r="492">
          <cell r="H492">
            <v>85552479348</v>
          </cell>
          <cell r="I492">
            <v>34502447</v>
          </cell>
          <cell r="J492">
            <v>-1</v>
          </cell>
          <cell r="K492" t="str">
            <v>-</v>
          </cell>
          <cell r="L492">
            <v>7900</v>
          </cell>
          <cell r="M492">
            <v>7900</v>
          </cell>
          <cell r="Q492">
            <v>7900</v>
          </cell>
          <cell r="R492">
            <v>85552479348</v>
          </cell>
          <cell r="V492">
            <v>7900</v>
          </cell>
          <cell r="X492" t="str">
            <v>뉴클 필름_종이질감_광고ON</v>
          </cell>
          <cell r="Y492" t="str">
            <v>종이질감 필름 3매 아이폰13프로맥스</v>
          </cell>
          <cell r="AC492">
            <v>2227.272727272727</v>
          </cell>
          <cell r="AD492">
            <v>222.72727272727272</v>
          </cell>
          <cell r="AE492">
            <v>2450</v>
          </cell>
          <cell r="AG492">
            <v>4954.545454545454</v>
          </cell>
          <cell r="AH492">
            <v>495.45454545454595</v>
          </cell>
          <cell r="AI492">
            <v>5450</v>
          </cell>
          <cell r="AK492">
            <v>2727.272727272727</v>
          </cell>
        </row>
        <row r="493">
          <cell r="H493" t="str">
            <v>85552479348AD</v>
          </cell>
          <cell r="I493">
            <v>34502447</v>
          </cell>
          <cell r="J493" t="str">
            <v/>
          </cell>
          <cell r="R493" t="str">
            <v>85552479348AD</v>
          </cell>
          <cell r="X493" t="str">
            <v>뉴클 필름_종이질감_광고ON</v>
          </cell>
          <cell r="Y493" t="str">
            <v>종이질감 필름 3매 아이폰13프로맥스</v>
          </cell>
          <cell r="AB493">
            <v>0</v>
          </cell>
          <cell r="AC493">
            <v>0</v>
          </cell>
          <cell r="AG493">
            <v>0</v>
          </cell>
        </row>
        <row r="494">
          <cell r="H494" t="str">
            <v>85552479348S</v>
          </cell>
          <cell r="I494">
            <v>34502447</v>
          </cell>
          <cell r="J494" t="str">
            <v/>
          </cell>
          <cell r="R494" t="str">
            <v>85552479348S</v>
          </cell>
          <cell r="X494" t="str">
            <v>뉴클 필름_종이질감_광고ON</v>
          </cell>
          <cell r="Y494" t="str">
            <v>종이질감 필름 3매 아이폰13프로맥스</v>
          </cell>
          <cell r="AC494" t="str">
            <v>개당광고비→</v>
          </cell>
          <cell r="AG494" t="str">
            <v>광고X</v>
          </cell>
          <cell r="AH494">
            <v>878</v>
          </cell>
        </row>
        <row r="495">
          <cell r="H495">
            <v>85552479214</v>
          </cell>
          <cell r="I495">
            <v>34502434</v>
          </cell>
          <cell r="J495">
            <v>-8</v>
          </cell>
          <cell r="K495" t="str">
            <v>-</v>
          </cell>
          <cell r="L495">
            <v>7900</v>
          </cell>
          <cell r="M495">
            <v>7900</v>
          </cell>
          <cell r="Q495">
            <v>7900</v>
          </cell>
          <cell r="R495">
            <v>85552479214</v>
          </cell>
          <cell r="V495">
            <v>7900</v>
          </cell>
          <cell r="X495" t="str">
            <v>뉴클 필름_종이질감_광고ON</v>
          </cell>
          <cell r="Y495" t="str">
            <v>종이질감 필름 3매 아이폰14</v>
          </cell>
          <cell r="AC495">
            <v>2227.272727272727</v>
          </cell>
          <cell r="AD495">
            <v>222.72727272727272</v>
          </cell>
          <cell r="AE495">
            <v>2450</v>
          </cell>
          <cell r="AG495">
            <v>4954.545454545454</v>
          </cell>
          <cell r="AH495">
            <v>495.45454545454595</v>
          </cell>
          <cell r="AI495">
            <v>5450</v>
          </cell>
          <cell r="AK495">
            <v>2727.272727272727</v>
          </cell>
        </row>
        <row r="496">
          <cell r="H496" t="str">
            <v>85552479214AD</v>
          </cell>
          <cell r="I496">
            <v>34502434</v>
          </cell>
          <cell r="J496" t="str">
            <v/>
          </cell>
          <cell r="R496" t="str">
            <v>85552479214AD</v>
          </cell>
          <cell r="X496" t="str">
            <v>뉴클 필름_종이질감_광고ON</v>
          </cell>
          <cell r="Y496" t="str">
            <v>종이질감 필름 3매 아이폰14</v>
          </cell>
          <cell r="AB496">
            <v>0</v>
          </cell>
          <cell r="AC496">
            <v>0</v>
          </cell>
          <cell r="AG496" t="str">
            <v>0</v>
          </cell>
        </row>
        <row r="497">
          <cell r="H497" t="str">
            <v>85552479214S</v>
          </cell>
          <cell r="I497">
            <v>34502434</v>
          </cell>
          <cell r="J497" t="str">
            <v/>
          </cell>
          <cell r="R497" t="str">
            <v>85552479214S</v>
          </cell>
          <cell r="X497" t="str">
            <v>뉴클 필름_종이질감_광고ON</v>
          </cell>
          <cell r="Y497" t="str">
            <v>종이질감 필름 3매 아이폰14</v>
          </cell>
          <cell r="AC497" t="str">
            <v>개당광고비→</v>
          </cell>
          <cell r="AG497" t="str">
            <v>광고X</v>
          </cell>
          <cell r="AH497" t="str">
            <v>광고X</v>
          </cell>
        </row>
        <row r="498">
          <cell r="H498">
            <v>85552479335</v>
          </cell>
          <cell r="I498">
            <v>34502445</v>
          </cell>
          <cell r="J498">
            <v>-15</v>
          </cell>
          <cell r="K498" t="str">
            <v>-</v>
          </cell>
          <cell r="L498">
            <v>7900</v>
          </cell>
          <cell r="M498">
            <v>7900</v>
          </cell>
          <cell r="Q498">
            <v>7900</v>
          </cell>
          <cell r="R498">
            <v>85552479335</v>
          </cell>
          <cell r="V498">
            <v>7900</v>
          </cell>
          <cell r="X498" t="str">
            <v>뉴클 필름_종이질감_광고ON</v>
          </cell>
          <cell r="Y498" t="str">
            <v>종이질감 필름 3매 아이폰14프로</v>
          </cell>
          <cell r="AC498">
            <v>2227.272727272727</v>
          </cell>
          <cell r="AD498">
            <v>222.72727272727272</v>
          </cell>
          <cell r="AE498">
            <v>2450</v>
          </cell>
          <cell r="AG498">
            <v>4954.545454545454</v>
          </cell>
          <cell r="AH498">
            <v>495.45454545454595</v>
          </cell>
          <cell r="AI498">
            <v>5450</v>
          </cell>
          <cell r="AK498">
            <v>2727.272727272727</v>
          </cell>
        </row>
        <row r="499">
          <cell r="H499" t="str">
            <v>85552479335AD</v>
          </cell>
          <cell r="I499">
            <v>34502445</v>
          </cell>
          <cell r="J499" t="str">
            <v/>
          </cell>
          <cell r="R499" t="str">
            <v>85552479335AD</v>
          </cell>
          <cell r="X499" t="str">
            <v>뉴클 필름_종이질감_광고ON</v>
          </cell>
          <cell r="Y499" t="str">
            <v>종이질감 필름 3매 아이폰14프로</v>
          </cell>
          <cell r="AB499">
            <v>1</v>
          </cell>
          <cell r="AC499">
            <v>2727.272727272727</v>
          </cell>
          <cell r="AG499">
            <v>0</v>
          </cell>
        </row>
        <row r="500">
          <cell r="H500" t="str">
            <v>85552479335S</v>
          </cell>
          <cell r="I500">
            <v>34502445</v>
          </cell>
          <cell r="J500" t="str">
            <v/>
          </cell>
          <cell r="R500" t="str">
            <v>85552479335S</v>
          </cell>
          <cell r="X500" t="str">
            <v>뉴클 필름_종이질감_광고ON</v>
          </cell>
          <cell r="Y500" t="str">
            <v>종이질감 필름 3매 아이폰14프로</v>
          </cell>
          <cell r="AC500" t="str">
            <v>개당광고비→</v>
          </cell>
          <cell r="AG500" t="str">
            <v>광고X</v>
          </cell>
          <cell r="AH500">
            <v>208</v>
          </cell>
        </row>
        <row r="501">
          <cell r="H501">
            <v>85367259600</v>
          </cell>
          <cell r="J501">
            <v>-15</v>
          </cell>
          <cell r="K501" t="str">
            <v>-</v>
          </cell>
          <cell r="L501">
            <v>7900</v>
          </cell>
          <cell r="M501">
            <v>7900</v>
          </cell>
          <cell r="Q501">
            <v>7900</v>
          </cell>
          <cell r="R501">
            <v>85367259600</v>
          </cell>
          <cell r="V501">
            <v>7900</v>
          </cell>
          <cell r="X501" t="str">
            <v>뉴클 필름_종이질감_광고ON</v>
          </cell>
          <cell r="Y501" t="str">
            <v>종이질감 필름 3매 아이폰14프로_VI다른</v>
          </cell>
          <cell r="AC501">
            <v>2227.272727272727</v>
          </cell>
          <cell r="AD501">
            <v>222.72727272727272</v>
          </cell>
          <cell r="AE501">
            <v>2450</v>
          </cell>
          <cell r="AG501">
            <v>4954.545454545454</v>
          </cell>
          <cell r="AH501">
            <v>495.45454545454595</v>
          </cell>
          <cell r="AI501">
            <v>5450</v>
          </cell>
          <cell r="AK501">
            <v>2727.272727272727</v>
          </cell>
        </row>
        <row r="502">
          <cell r="H502" t="str">
            <v>85367259600AD</v>
          </cell>
          <cell r="J502" t="str">
            <v/>
          </cell>
          <cell r="R502" t="str">
            <v>85367259600AD</v>
          </cell>
          <cell r="X502" t="str">
            <v>뉴클 필름_종이질감_광고ON</v>
          </cell>
          <cell r="Y502" t="str">
            <v>종이질감 필름 3매 아이폰14프로_VI다른</v>
          </cell>
          <cell r="AB502">
            <v>0</v>
          </cell>
          <cell r="AC502">
            <v>0</v>
          </cell>
          <cell r="AG502" t="str">
            <v>0</v>
          </cell>
        </row>
        <row r="503">
          <cell r="H503" t="str">
            <v>85367259600S</v>
          </cell>
          <cell r="J503" t="str">
            <v/>
          </cell>
          <cell r="R503" t="str">
            <v>85367259600S</v>
          </cell>
          <cell r="X503" t="str">
            <v>뉴클 필름_종이질감_광고ON</v>
          </cell>
          <cell r="Y503" t="str">
            <v>종이질감 필름 3매 아이폰14프로_VI다른</v>
          </cell>
          <cell r="AC503" t="str">
            <v>개당광고비→</v>
          </cell>
          <cell r="AG503" t="str">
            <v>광고X</v>
          </cell>
          <cell r="AH503" t="str">
            <v>광고X</v>
          </cell>
        </row>
        <row r="504">
          <cell r="H504">
            <v>85552479359</v>
          </cell>
          <cell r="I504">
            <v>34502451</v>
          </cell>
          <cell r="J504">
            <v>-4</v>
          </cell>
          <cell r="K504" t="str">
            <v>-</v>
          </cell>
          <cell r="L504">
            <v>7900</v>
          </cell>
          <cell r="M504">
            <v>7900</v>
          </cell>
          <cell r="Q504">
            <v>7900</v>
          </cell>
          <cell r="R504">
            <v>85552479359</v>
          </cell>
          <cell r="V504">
            <v>7900</v>
          </cell>
          <cell r="X504" t="str">
            <v>뉴클 필름_종이질감_광고ON</v>
          </cell>
          <cell r="Y504" t="str">
            <v>종이질감 필름 3매 아이폰14+</v>
          </cell>
          <cell r="AC504">
            <v>2227.272727272727</v>
          </cell>
          <cell r="AD504">
            <v>222.72727272727272</v>
          </cell>
          <cell r="AE504">
            <v>2450</v>
          </cell>
          <cell r="AG504">
            <v>4954.545454545454</v>
          </cell>
          <cell r="AH504">
            <v>495.45454545454595</v>
          </cell>
          <cell r="AI504">
            <v>5450</v>
          </cell>
          <cell r="AK504">
            <v>2727.272727272727</v>
          </cell>
        </row>
        <row r="505">
          <cell r="H505" t="str">
            <v>85552479359AD</v>
          </cell>
          <cell r="I505">
            <v>34502451</v>
          </cell>
          <cell r="J505" t="str">
            <v/>
          </cell>
          <cell r="R505" t="str">
            <v>85552479359AD</v>
          </cell>
          <cell r="X505" t="str">
            <v>뉴클 필름_종이질감_광고ON</v>
          </cell>
          <cell r="Y505" t="str">
            <v>종이질감 필름 3매 아이폰14+</v>
          </cell>
          <cell r="AB505">
            <v>1</v>
          </cell>
          <cell r="AC505">
            <v>2727.272727272727</v>
          </cell>
          <cell r="AG505">
            <v>1</v>
          </cell>
        </row>
        <row r="506">
          <cell r="H506" t="str">
            <v>85552479359S</v>
          </cell>
          <cell r="I506">
            <v>34502451</v>
          </cell>
          <cell r="J506" t="str">
            <v/>
          </cell>
          <cell r="R506" t="str">
            <v>85552479359S</v>
          </cell>
          <cell r="X506" t="str">
            <v>뉴클 필름_종이질감_광고ON</v>
          </cell>
          <cell r="Y506" t="str">
            <v>종이질감 필름 3매 아이폰14+</v>
          </cell>
          <cell r="AC506" t="str">
            <v>개당광고비→</v>
          </cell>
          <cell r="AG506">
            <v>2164</v>
          </cell>
          <cell r="AH506">
            <v>2164</v>
          </cell>
        </row>
        <row r="507">
          <cell r="H507">
            <v>85552479271</v>
          </cell>
          <cell r="I507">
            <v>34502440</v>
          </cell>
          <cell r="J507" t="str">
            <v/>
          </cell>
          <cell r="K507" t="str">
            <v>-</v>
          </cell>
          <cell r="L507">
            <v>7900</v>
          </cell>
          <cell r="M507">
            <v>7900</v>
          </cell>
          <cell r="Q507">
            <v>7900</v>
          </cell>
          <cell r="R507">
            <v>85552479271</v>
          </cell>
          <cell r="V507">
            <v>7900</v>
          </cell>
          <cell r="X507" t="str">
            <v>뉴클 필름_종이질감_광고ON</v>
          </cell>
          <cell r="Y507" t="str">
            <v>종이질감 필름 3매 아이폰14프로맥스</v>
          </cell>
          <cell r="AC507">
            <v>2227.272727272727</v>
          </cell>
          <cell r="AD507">
            <v>222.72727272727272</v>
          </cell>
          <cell r="AE507">
            <v>2450</v>
          </cell>
          <cell r="AG507">
            <v>4954.545454545454</v>
          </cell>
          <cell r="AH507">
            <v>495.45454545454595</v>
          </cell>
          <cell r="AI507">
            <v>5450</v>
          </cell>
          <cell r="AK507">
            <v>2727.272727272727</v>
          </cell>
        </row>
        <row r="508">
          <cell r="H508" t="str">
            <v>85552479271AD</v>
          </cell>
          <cell r="I508">
            <v>34502440</v>
          </cell>
          <cell r="J508" t="str">
            <v/>
          </cell>
          <cell r="R508" t="str">
            <v>85552479271AD</v>
          </cell>
          <cell r="X508" t="str">
            <v>뉴클 필름_종이질감_광고ON</v>
          </cell>
          <cell r="Y508" t="str">
            <v>종이질감 필름 3매 아이폰14프로맥스</v>
          </cell>
          <cell r="AB508">
            <v>-1</v>
          </cell>
          <cell r="AC508">
            <v>-2727.272727272727</v>
          </cell>
          <cell r="AG508">
            <v>1</v>
          </cell>
        </row>
        <row r="509">
          <cell r="H509" t="str">
            <v>85552479271S</v>
          </cell>
          <cell r="I509">
            <v>34502440</v>
          </cell>
          <cell r="J509" t="str">
            <v/>
          </cell>
          <cell r="R509" t="str">
            <v>85552479271S</v>
          </cell>
          <cell r="X509" t="str">
            <v>뉴클 필름_종이질감_광고ON</v>
          </cell>
          <cell r="Y509" t="str">
            <v>종이질감 필름 3매 아이폰14프로맥스</v>
          </cell>
          <cell r="AC509" t="str">
            <v>개당광고비→</v>
          </cell>
          <cell r="AG509">
            <v>302</v>
          </cell>
          <cell r="AH509">
            <v>302</v>
          </cell>
        </row>
        <row r="510">
          <cell r="H510">
            <v>91067857363</v>
          </cell>
          <cell r="I510">
            <v>50250361</v>
          </cell>
          <cell r="J510">
            <v>1</v>
          </cell>
          <cell r="K510" t="str">
            <v>-</v>
          </cell>
          <cell r="L510">
            <v>7400</v>
          </cell>
          <cell r="M510">
            <v>7400</v>
          </cell>
          <cell r="Q510">
            <v>7400</v>
          </cell>
          <cell r="R510">
            <v>91067857363</v>
          </cell>
          <cell r="X510" t="str">
            <v>뉴클 필름_종이질감_광고ON</v>
          </cell>
          <cell r="Y510" t="str">
            <v>아이폰15 PRO MAX 종이질감 3매</v>
          </cell>
          <cell r="AA510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510">
            <v>2227.272727272727</v>
          </cell>
          <cell r="AD510">
            <v>222.72727272727272</v>
          </cell>
          <cell r="AE510">
            <v>2450</v>
          </cell>
          <cell r="AG510">
            <v>5818.181818181818</v>
          </cell>
          <cell r="AH510">
            <v>581.81818181818198</v>
          </cell>
          <cell r="AI510">
            <v>6400</v>
          </cell>
          <cell r="AK510">
            <v>3590.909090909091</v>
          </cell>
        </row>
        <row r="511">
          <cell r="H511" t="str">
            <v>91067857363AD</v>
          </cell>
          <cell r="I511">
            <v>50250361</v>
          </cell>
          <cell r="J511" t="str">
            <v/>
          </cell>
          <cell r="R511" t="str">
            <v>91067857363AD</v>
          </cell>
          <cell r="X511" t="str">
            <v>뉴클 필름_종이질감_광고ON</v>
          </cell>
          <cell r="Y511" t="str">
            <v>아이폰15 PRO MAX 종이질감 3매</v>
          </cell>
          <cell r="AB511">
            <v>0</v>
          </cell>
          <cell r="AC511">
            <v>0</v>
          </cell>
          <cell r="AG511" t="str">
            <v>0</v>
          </cell>
        </row>
        <row r="512">
          <cell r="H512" t="str">
            <v>91067857363S</v>
          </cell>
          <cell r="I512">
            <v>50250361</v>
          </cell>
          <cell r="J512" t="str">
            <v/>
          </cell>
          <cell r="R512" t="str">
            <v>91067857363S</v>
          </cell>
          <cell r="X512" t="str">
            <v>뉴클 필름_종이질감_광고ON</v>
          </cell>
          <cell r="Y512" t="str">
            <v>아이폰15 PRO MAX 종이질감 3매</v>
          </cell>
          <cell r="AC512" t="str">
            <v>개당광고비→</v>
          </cell>
          <cell r="AG512" t="str">
            <v>광고X</v>
          </cell>
          <cell r="AH512" t="str">
            <v>광고X</v>
          </cell>
        </row>
        <row r="513">
          <cell r="H513">
            <v>93934082268</v>
          </cell>
          <cell r="I513">
            <v>66302376</v>
          </cell>
          <cell r="J513">
            <v>-17</v>
          </cell>
          <cell r="K513" t="str">
            <v>-</v>
          </cell>
          <cell r="L513">
            <v>7900</v>
          </cell>
          <cell r="M513">
            <v>7900</v>
          </cell>
          <cell r="O513">
            <v>10900</v>
          </cell>
          <cell r="Q513">
            <v>7900</v>
          </cell>
          <cell r="R513">
            <v>93934082268</v>
          </cell>
          <cell r="V513">
            <v>7900</v>
          </cell>
          <cell r="W513" t="str">
            <v>https://smartstore.naver.com/sskoreatrade/products/12345067158</v>
          </cell>
          <cell r="X513" t="str">
            <v>뉴클 필름_종이질감_광고ON</v>
          </cell>
          <cell r="Y513" t="str">
            <v>종이질감 필름 3매 아이폰AIR</v>
          </cell>
          <cell r="AB513" t="str">
            <v>coupang.com/vp/products/9156030387?itemId=26965135261&amp;vendorItemId=93934082268</v>
          </cell>
          <cell r="AC513">
            <v>2227.272727272727</v>
          </cell>
          <cell r="AD513">
            <v>222.72727272727272</v>
          </cell>
          <cell r="AE513">
            <v>2450</v>
          </cell>
          <cell r="AG513">
            <v>5454.545454545454</v>
          </cell>
          <cell r="AH513">
            <v>545.45454545454595</v>
          </cell>
          <cell r="AI513">
            <v>6000</v>
          </cell>
          <cell r="AK513">
            <v>3227.272727272727</v>
          </cell>
        </row>
        <row r="514">
          <cell r="H514" t="str">
            <v>93934082268AD</v>
          </cell>
          <cell r="I514">
            <v>66302376</v>
          </cell>
          <cell r="J514" t="str">
            <v/>
          </cell>
          <cell r="R514" t="str">
            <v>93934082268AD</v>
          </cell>
          <cell r="X514" t="str">
            <v>뉴클 필름_종이질감_광고ON</v>
          </cell>
          <cell r="Y514" t="str">
            <v>종이질감 필름 3매 아이폰14프로맥스</v>
          </cell>
          <cell r="AB514">
            <v>0</v>
          </cell>
          <cell r="AC514">
            <v>0</v>
          </cell>
          <cell r="AG514">
            <v>0</v>
          </cell>
        </row>
        <row r="515">
          <cell r="H515" t="str">
            <v>93934082268S</v>
          </cell>
          <cell r="I515">
            <v>66302376</v>
          </cell>
          <cell r="J515" t="str">
            <v/>
          </cell>
          <cell r="R515" t="str">
            <v>93934082268S</v>
          </cell>
          <cell r="X515" t="str">
            <v>뉴클 필름_종이질감_광고ON</v>
          </cell>
          <cell r="Y515" t="str">
            <v>종이질감 필름 3매 아이폰14프로맥스</v>
          </cell>
          <cell r="AC515" t="str">
            <v>개당광고비→</v>
          </cell>
          <cell r="AG515" t="str">
            <v>광고X</v>
          </cell>
          <cell r="AH515">
            <v>0</v>
          </cell>
        </row>
        <row r="516">
          <cell r="H516">
            <v>93934082265</v>
          </cell>
          <cell r="I516">
            <v>66302377</v>
          </cell>
          <cell r="J516">
            <v>-363</v>
          </cell>
          <cell r="K516" t="str">
            <v>-</v>
          </cell>
          <cell r="L516">
            <v>7900</v>
          </cell>
          <cell r="M516">
            <v>7900</v>
          </cell>
          <cell r="O516">
            <v>10900</v>
          </cell>
          <cell r="Q516">
            <v>7900</v>
          </cell>
          <cell r="R516">
            <v>93934082265</v>
          </cell>
          <cell r="V516">
            <v>7900</v>
          </cell>
          <cell r="W516" t="str">
            <v>https://smartstore.naver.com/sskoreatrade/products/12345067158</v>
          </cell>
          <cell r="X516" t="str">
            <v>뉴클 필름_종이질감_광고ON</v>
          </cell>
          <cell r="Y516" t="str">
            <v>종이질감 필름 3매 아이폰17</v>
          </cell>
          <cell r="AB516" t="str">
            <v>coupang.com/vp/products/9156030387?itemId=26965135263&amp;vendorItemId=93934082265</v>
          </cell>
          <cell r="AC516">
            <v>2227.272727272727</v>
          </cell>
          <cell r="AD516">
            <v>222.72727272727272</v>
          </cell>
          <cell r="AE516">
            <v>2450</v>
          </cell>
          <cell r="AG516">
            <v>5454.545454545454</v>
          </cell>
          <cell r="AH516">
            <v>545.45454545454595</v>
          </cell>
          <cell r="AI516">
            <v>6000</v>
          </cell>
          <cell r="AK516">
            <v>3227.272727272727</v>
          </cell>
        </row>
        <row r="517">
          <cell r="H517" t="str">
            <v>93934082265AD</v>
          </cell>
          <cell r="I517">
            <v>66302377</v>
          </cell>
          <cell r="J517" t="str">
            <v/>
          </cell>
          <cell r="R517" t="str">
            <v>93934082265AD</v>
          </cell>
          <cell r="X517" t="str">
            <v>뉴클 필름_종이질감_광고ON</v>
          </cell>
          <cell r="Y517" t="str">
            <v>종이질감 필름 3매 아이폰14프로맥스</v>
          </cell>
          <cell r="AB517">
            <v>0</v>
          </cell>
          <cell r="AC517">
            <v>0</v>
          </cell>
          <cell r="AG517">
            <v>0</v>
          </cell>
        </row>
        <row r="518">
          <cell r="H518" t="str">
            <v>93934082265S</v>
          </cell>
          <cell r="I518">
            <v>66302377</v>
          </cell>
          <cell r="J518" t="str">
            <v/>
          </cell>
          <cell r="R518" t="str">
            <v>93934082265S</v>
          </cell>
          <cell r="X518" t="str">
            <v>뉴클 필름_종이질감_광고ON</v>
          </cell>
          <cell r="Y518" t="str">
            <v>종이질감 필름 3매 아이폰14프로맥스</v>
          </cell>
          <cell r="AC518" t="str">
            <v>개당광고비→</v>
          </cell>
          <cell r="AG518" t="str">
            <v>광고X</v>
          </cell>
          <cell r="AH518">
            <v>0</v>
          </cell>
        </row>
        <row r="519">
          <cell r="H519">
            <v>93934082266</v>
          </cell>
          <cell r="I519">
            <v>66302378</v>
          </cell>
          <cell r="J519">
            <v>-85</v>
          </cell>
          <cell r="K519" t="str">
            <v>-</v>
          </cell>
          <cell r="L519">
            <v>7900</v>
          </cell>
          <cell r="M519">
            <v>7900</v>
          </cell>
          <cell r="O519">
            <v>10900</v>
          </cell>
          <cell r="Q519">
            <v>7900</v>
          </cell>
          <cell r="R519">
            <v>93934082266</v>
          </cell>
          <cell r="V519">
            <v>7900</v>
          </cell>
          <cell r="W519" t="str">
            <v>https://smartstore.naver.com/sskoreatrade/products/12345067158</v>
          </cell>
          <cell r="X519" t="str">
            <v>뉴클 필름_종이질감_광고ON</v>
          </cell>
          <cell r="Y519" t="str">
            <v>종이질감 필름 3매 아이폰17프로</v>
          </cell>
          <cell r="AB519" t="str">
            <v>coupang.com/vp/products/9156030387?itemId=26965135265&amp;vendorItemId=93934082266</v>
          </cell>
          <cell r="AC519">
            <v>2227.272727272727</v>
          </cell>
          <cell r="AD519">
            <v>222.72727272727272</v>
          </cell>
          <cell r="AE519">
            <v>2450</v>
          </cell>
          <cell r="AG519">
            <v>5454.545454545454</v>
          </cell>
          <cell r="AH519">
            <v>545.45454545454595</v>
          </cell>
          <cell r="AI519">
            <v>6000</v>
          </cell>
          <cell r="AK519">
            <v>3227.272727272727</v>
          </cell>
        </row>
        <row r="520">
          <cell r="H520" t="str">
            <v>93934082266AD</v>
          </cell>
          <cell r="I520">
            <v>66302378</v>
          </cell>
          <cell r="J520" t="str">
            <v/>
          </cell>
          <cell r="R520" t="str">
            <v>93934082266AD</v>
          </cell>
          <cell r="X520" t="str">
            <v>뉴클 필름_종이질감_광고ON</v>
          </cell>
          <cell r="Y520" t="str">
            <v>종이질감 필름 3매 아이폰14프로맥스</v>
          </cell>
          <cell r="AB520">
            <v>0</v>
          </cell>
          <cell r="AC520">
            <v>0</v>
          </cell>
          <cell r="AG520">
            <v>0</v>
          </cell>
        </row>
        <row r="521">
          <cell r="H521" t="str">
            <v>93934082266S</v>
          </cell>
          <cell r="I521">
            <v>66302378</v>
          </cell>
          <cell r="J521" t="str">
            <v/>
          </cell>
          <cell r="R521" t="str">
            <v>93934082266S</v>
          </cell>
          <cell r="X521" t="str">
            <v>뉴클 필름_종이질감_광고ON</v>
          </cell>
          <cell r="Y521" t="str">
            <v>종이질감 필름 3매 아이폰14프로맥스</v>
          </cell>
          <cell r="AC521" t="str">
            <v>개당광고비→</v>
          </cell>
          <cell r="AG521" t="str">
            <v>광고X</v>
          </cell>
          <cell r="AH521">
            <v>0</v>
          </cell>
        </row>
        <row r="522">
          <cell r="H522">
            <v>93934082267</v>
          </cell>
          <cell r="I522">
            <v>66302379</v>
          </cell>
          <cell r="J522">
            <v>-4</v>
          </cell>
          <cell r="K522" t="str">
            <v>-</v>
          </cell>
          <cell r="L522">
            <v>7900</v>
          </cell>
          <cell r="M522">
            <v>7900</v>
          </cell>
          <cell r="O522">
            <v>10900</v>
          </cell>
          <cell r="Q522">
            <v>7900</v>
          </cell>
          <cell r="R522">
            <v>93934082267</v>
          </cell>
          <cell r="V522">
            <v>7900</v>
          </cell>
          <cell r="W522" t="str">
            <v>https://smartstore.naver.com/sskoreatrade/products/12345067158</v>
          </cell>
          <cell r="X522" t="str">
            <v>뉴클 필름_종이질감_광고ON</v>
          </cell>
          <cell r="Y522" t="str">
            <v>종이질감 필름 3매 아이폰17프로맥스</v>
          </cell>
          <cell r="AB522" t="str">
            <v>coupang.com/vp/products/9156030387?itemId=26965135267&amp;vendorItemId=93934082267</v>
          </cell>
          <cell r="AC522">
            <v>2227.272727272727</v>
          </cell>
          <cell r="AD522">
            <v>222.72727272727272</v>
          </cell>
          <cell r="AE522">
            <v>2450</v>
          </cell>
          <cell r="AG522">
            <v>5454.545454545454</v>
          </cell>
          <cell r="AH522">
            <v>545.45454545454595</v>
          </cell>
          <cell r="AI522">
            <v>6000</v>
          </cell>
          <cell r="AK522">
            <v>3227.272727272727</v>
          </cell>
        </row>
        <row r="523">
          <cell r="H523" t="str">
            <v>93934082267AD</v>
          </cell>
          <cell r="I523">
            <v>66302379</v>
          </cell>
          <cell r="J523" t="str">
            <v/>
          </cell>
          <cell r="R523" t="str">
            <v>93934082267AD</v>
          </cell>
          <cell r="X523" t="str">
            <v>뉴클 필름_종이질감_광고ON</v>
          </cell>
          <cell r="Y523" t="str">
            <v>종이질감 필름 3매 아이폰14프로맥스</v>
          </cell>
          <cell r="AB523">
            <v>-2</v>
          </cell>
          <cell r="AC523">
            <v>-6454.545454545454</v>
          </cell>
          <cell r="AG523">
            <v>1</v>
          </cell>
        </row>
        <row r="524">
          <cell r="H524" t="str">
            <v>93934082267S</v>
          </cell>
          <cell r="I524">
            <v>66302379</v>
          </cell>
          <cell r="J524" t="str">
            <v/>
          </cell>
          <cell r="R524" t="str">
            <v>93934082267S</v>
          </cell>
          <cell r="X524" t="str">
            <v>뉴클 필름_종이질감_광고ON</v>
          </cell>
          <cell r="Y524" t="str">
            <v>종이질감 필름 3매 아이폰14프로맥스</v>
          </cell>
          <cell r="AC524" t="str">
            <v>개당광고비→</v>
          </cell>
          <cell r="AG524">
            <v>772</v>
          </cell>
          <cell r="AH524">
            <v>772</v>
          </cell>
        </row>
        <row r="526">
          <cell r="H526">
            <v>92868646878</v>
          </cell>
          <cell r="J526">
            <v>1123</v>
          </cell>
          <cell r="K526">
            <v>130</v>
          </cell>
          <cell r="L526">
            <v>15650</v>
          </cell>
          <cell r="M526">
            <v>15650</v>
          </cell>
          <cell r="N526">
            <v>0</v>
          </cell>
          <cell r="O526">
            <v>0</v>
          </cell>
          <cell r="Q526">
            <v>15650</v>
          </cell>
          <cell r="R526">
            <v>92868646878</v>
          </cell>
          <cell r="V526">
            <v>18900</v>
          </cell>
          <cell r="W526" t="str">
            <v>https://smartstore.naver.com/psglobal1/products/11869126189</v>
          </cell>
          <cell r="X526" t="str">
            <v>뉴클 이어폰_프로G</v>
          </cell>
          <cell r="Y526" t="str">
            <v>뉴클 노이즈캔슬링 이어폰PRO</v>
          </cell>
          <cell r="AB526" t="str">
            <v>coupang.com/vp/products/8787908548?itemId=25575350653&amp;vendorItemId=92868646878</v>
          </cell>
          <cell r="AC526">
            <v>3799.9999999999995</v>
          </cell>
          <cell r="AD526">
            <v>380</v>
          </cell>
          <cell r="AE526">
            <v>4180</v>
          </cell>
          <cell r="AG526">
            <v>10253.90909090909</v>
          </cell>
          <cell r="AH526">
            <v>1025.3909090909092</v>
          </cell>
          <cell r="AI526">
            <v>11279.3</v>
          </cell>
          <cell r="AK526">
            <v>6453.9090909090901</v>
          </cell>
        </row>
        <row r="527">
          <cell r="H527" t="str">
            <v>92868646878AD</v>
          </cell>
          <cell r="R527" t="str">
            <v>92868646878AD</v>
          </cell>
          <cell r="X527" t="str">
            <v>뉴클 이어폰_프로G</v>
          </cell>
          <cell r="Y527" t="str">
            <v>뉴클 노이즈캔슬링 이어폰PRO</v>
          </cell>
          <cell r="AB527">
            <v>3</v>
          </cell>
          <cell r="AC527">
            <v>19361.727272727272</v>
          </cell>
          <cell r="AG527">
            <v>1</v>
          </cell>
        </row>
        <row r="528">
          <cell r="H528" t="str">
            <v>92868646878S</v>
          </cell>
          <cell r="R528" t="str">
            <v>92868646878S</v>
          </cell>
          <cell r="X528" t="str">
            <v>뉴클 이어폰_프로G</v>
          </cell>
          <cell r="Y528" t="str">
            <v>뉴클 노이즈캔슬링 이어폰PRO</v>
          </cell>
          <cell r="AC528" t="str">
            <v>개당광고비→</v>
          </cell>
          <cell r="AG528">
            <v>18482</v>
          </cell>
          <cell r="AH528">
            <v>18482</v>
          </cell>
        </row>
        <row r="529">
          <cell r="H529">
            <v>93895749377</v>
          </cell>
          <cell r="J529">
            <v>1</v>
          </cell>
          <cell r="K529" t="str">
            <v>-</v>
          </cell>
          <cell r="L529">
            <v>14900</v>
          </cell>
          <cell r="M529">
            <v>14900</v>
          </cell>
          <cell r="O529">
            <v>25900</v>
          </cell>
          <cell r="Q529">
            <v>14900</v>
          </cell>
          <cell r="R529">
            <v>93895749377</v>
          </cell>
          <cell r="V529">
            <v>14900</v>
          </cell>
          <cell r="W529" t="str">
            <v>https://smartstore.naver.com/psglobal1/products/11993913068</v>
          </cell>
          <cell r="X529" t="str">
            <v>뉴클 젤리파워_G_맥세이프</v>
          </cell>
          <cell r="Y529" t="str">
            <v>뉴클 맥세이프 젤리파워 퍼플_ G</v>
          </cell>
          <cell r="AB529" t="str">
            <v>coupang.com/vp/products/9146100562?itemId=26926499248&amp;vendorItemId=93895749377</v>
          </cell>
          <cell r="AC529">
            <v>4970</v>
          </cell>
          <cell r="AD529">
            <v>497</v>
          </cell>
          <cell r="AE529">
            <v>5467</v>
          </cell>
          <cell r="AG529">
            <v>9761.6363636363621</v>
          </cell>
          <cell r="AH529">
            <v>976.16363636363712</v>
          </cell>
          <cell r="AI529">
            <v>10737.8</v>
          </cell>
          <cell r="AK529">
            <v>4791.6363636363621</v>
          </cell>
        </row>
        <row r="530">
          <cell r="H530" t="str">
            <v>93895749377AD</v>
          </cell>
          <cell r="R530" t="str">
            <v>93895749377AD</v>
          </cell>
          <cell r="X530" t="str">
            <v>뉴클 젤리파워_G_맥세이프</v>
          </cell>
          <cell r="Y530" t="str">
            <v>뉴클 맥세이프 젤리파워 퍼플_ G</v>
          </cell>
          <cell r="AB530">
            <v>1</v>
          </cell>
          <cell r="AC530">
            <v>3301.6363636363621</v>
          </cell>
          <cell r="AG530">
            <v>0</v>
          </cell>
        </row>
        <row r="531">
          <cell r="H531" t="str">
            <v>93895749377S</v>
          </cell>
          <cell r="R531" t="str">
            <v>93895749377S</v>
          </cell>
          <cell r="X531" t="str">
            <v>뉴클 젤리파워_G_맥세이프</v>
          </cell>
          <cell r="Y531" t="str">
            <v>뉴클 맥세이프 젤리파워 퍼플_ G</v>
          </cell>
          <cell r="AC531" t="str">
            <v>개당광고비→</v>
          </cell>
          <cell r="AG531" t="str">
            <v>광고X</v>
          </cell>
          <cell r="AH531">
            <v>13203</v>
          </cell>
        </row>
        <row r="532">
          <cell r="H532">
            <v>93895749377</v>
          </cell>
          <cell r="R532">
            <v>93895749377</v>
          </cell>
          <cell r="X532" t="str">
            <v>뉴클 젤리파워_G_맥세이프</v>
          </cell>
          <cell r="Y532" t="str">
            <v>맥세이프보조배터리93895749377</v>
          </cell>
        </row>
        <row r="533">
          <cell r="H533">
            <v>93895749375</v>
          </cell>
          <cell r="J533">
            <v>1</v>
          </cell>
          <cell r="K533" t="str">
            <v>-</v>
          </cell>
          <cell r="L533">
            <v>15100</v>
          </cell>
          <cell r="M533">
            <v>15100</v>
          </cell>
          <cell r="O533">
            <v>25900</v>
          </cell>
          <cell r="Q533">
            <v>14900</v>
          </cell>
          <cell r="R533">
            <v>93895749375</v>
          </cell>
          <cell r="V533">
            <v>14900</v>
          </cell>
          <cell r="W533" t="str">
            <v>https://smartstore.naver.com/psglobal1/products/11993913068</v>
          </cell>
          <cell r="X533" t="str">
            <v>뉴클 젤리파워_G_맥세이프</v>
          </cell>
          <cell r="Y533" t="str">
            <v>뉴클 맥세이프 젤리파워 핑크_G</v>
          </cell>
          <cell r="AB533" t="str">
            <v>coupang.com/vp/products/9146100562?itemId=26926499249&amp;vendorItemId=93895749375</v>
          </cell>
          <cell r="AC533">
            <v>4970</v>
          </cell>
          <cell r="AD533">
            <v>497</v>
          </cell>
          <cell r="AE533">
            <v>5467</v>
          </cell>
          <cell r="AG533">
            <v>9929.2727272727279</v>
          </cell>
          <cell r="AH533">
            <v>992.92727272727279</v>
          </cell>
          <cell r="AI533">
            <v>10922.2</v>
          </cell>
          <cell r="AK533">
            <v>4959.2727272727279</v>
          </cell>
        </row>
        <row r="534">
          <cell r="H534" t="str">
            <v>93895749375AD</v>
          </cell>
          <cell r="R534" t="str">
            <v>93895749375AD</v>
          </cell>
          <cell r="X534" t="str">
            <v>뉴클 젤리파워_G_맥세이프</v>
          </cell>
          <cell r="Y534" t="str">
            <v>뉴클 맥세이프 젤리파워 핑크_G</v>
          </cell>
          <cell r="AB534">
            <v>0</v>
          </cell>
          <cell r="AC534">
            <v>0</v>
          </cell>
          <cell r="AG534">
            <v>0</v>
          </cell>
        </row>
        <row r="535">
          <cell r="H535" t="str">
            <v>93895749375S</v>
          </cell>
          <cell r="R535" t="str">
            <v>93895749375S</v>
          </cell>
          <cell r="X535" t="str">
            <v>뉴클 젤리파워_G_맥세이프</v>
          </cell>
          <cell r="Y535" t="str">
            <v>뉴클 맥세이프 젤리파워 핑크_G</v>
          </cell>
          <cell r="AC535" t="str">
            <v>개당광고비→</v>
          </cell>
          <cell r="AG535" t="str">
            <v>광고X</v>
          </cell>
          <cell r="AH535">
            <v>6859</v>
          </cell>
        </row>
        <row r="536">
          <cell r="H536">
            <v>93895749375</v>
          </cell>
          <cell r="R536">
            <v>93895749375</v>
          </cell>
          <cell r="X536" t="str">
            <v>뉴클 젤리파워_G_맥세이프</v>
          </cell>
          <cell r="Y536" t="str">
            <v>맥세이프보조배터리93895749375</v>
          </cell>
        </row>
        <row r="537">
          <cell r="H537">
            <v>93895749376</v>
          </cell>
          <cell r="J537">
            <v>2</v>
          </cell>
          <cell r="K537" t="str">
            <v>-</v>
          </cell>
          <cell r="L537">
            <v>14900</v>
          </cell>
          <cell r="M537">
            <v>14900</v>
          </cell>
          <cell r="O537">
            <v>25900</v>
          </cell>
          <cell r="Q537">
            <v>14900</v>
          </cell>
          <cell r="R537">
            <v>93895749376</v>
          </cell>
          <cell r="V537">
            <v>14900</v>
          </cell>
          <cell r="W537" t="str">
            <v>https://smartstore.naver.com/psglobal1/products/11993913068</v>
          </cell>
          <cell r="X537" t="str">
            <v>뉴클 젤리파워_G_맥세이프</v>
          </cell>
          <cell r="Y537" t="str">
            <v>뉴클 맥세이프 젤리파워 화이트_G</v>
          </cell>
          <cell r="AB537" t="str">
            <v>coupang.com/vp/products/9146100562?itemId=26926499247&amp;vendorItemId=93895749376</v>
          </cell>
          <cell r="AC537">
            <v>4970</v>
          </cell>
          <cell r="AD537">
            <v>497</v>
          </cell>
          <cell r="AE537">
            <v>5467</v>
          </cell>
          <cell r="AG537">
            <v>9761.6363636363621</v>
          </cell>
          <cell r="AH537">
            <v>976.16363636363712</v>
          </cell>
          <cell r="AI537">
            <v>10737.8</v>
          </cell>
          <cell r="AK537">
            <v>4791.6363636363621</v>
          </cell>
        </row>
        <row r="538">
          <cell r="H538" t="str">
            <v>93895749376AD</v>
          </cell>
          <cell r="R538" t="str">
            <v>93895749376AD</v>
          </cell>
          <cell r="X538" t="str">
            <v>뉴클 젤리파워_G_맥세이프</v>
          </cell>
          <cell r="Y538" t="str">
            <v>뉴클 맥세이프 젤리파워 화이트_G</v>
          </cell>
          <cell r="AB538">
            <v>0</v>
          </cell>
          <cell r="AC538">
            <v>0</v>
          </cell>
          <cell r="AG538" t="str">
            <v>0</v>
          </cell>
        </row>
        <row r="539">
          <cell r="H539" t="str">
            <v>93895749376S</v>
          </cell>
          <cell r="R539" t="str">
            <v>93895749376S</v>
          </cell>
          <cell r="X539" t="str">
            <v>뉴클 젤리파워_G_맥세이프</v>
          </cell>
          <cell r="Y539" t="str">
            <v>뉴클 맥세이프 젤리파워 화이트_G</v>
          </cell>
          <cell r="AC539" t="str">
            <v>개당광고비→</v>
          </cell>
          <cell r="AG539" t="str">
            <v>광고X</v>
          </cell>
          <cell r="AH539" t="str">
            <v>광고X</v>
          </cell>
        </row>
        <row r="540">
          <cell r="H540">
            <v>93895749376</v>
          </cell>
          <cell r="R540">
            <v>93895749376</v>
          </cell>
          <cell r="X540" t="str">
            <v>뉴클 젤리파워_G_맥세이프</v>
          </cell>
          <cell r="Y540" t="str">
            <v>맥세이프보조배터리93895749376</v>
          </cell>
        </row>
        <row r="541">
          <cell r="H541">
            <v>91774730750</v>
          </cell>
          <cell r="I541">
            <v>51926364</v>
          </cell>
          <cell r="J541">
            <v>6433</v>
          </cell>
          <cell r="K541">
            <v>246</v>
          </cell>
          <cell r="L541">
            <v>12900</v>
          </cell>
          <cell r="M541">
            <v>12900</v>
          </cell>
          <cell r="N541">
            <v>16900</v>
          </cell>
          <cell r="O541">
            <v>14900</v>
          </cell>
          <cell r="P541">
            <v>42000</v>
          </cell>
          <cell r="Q541">
            <v>14900</v>
          </cell>
          <cell r="R541">
            <v>91774730750</v>
          </cell>
          <cell r="V541">
            <v>16900</v>
          </cell>
          <cell r="W541" t="str">
            <v>https://smartstore.naver.com/psglobal1/products/11006764924</v>
          </cell>
          <cell r="X541" t="str">
            <v>뉴클 보조배터리_슬림파워G</v>
          </cell>
          <cell r="Y541" t="str">
            <v>뉴클 슬림파워 보조배터리 그로스</v>
          </cell>
          <cell r="AB541" t="str">
            <v>coupang.com/vp/products/8399605043?itemId=24280063526&amp;vendorItemId=91774730750</v>
          </cell>
          <cell r="AC541">
            <v>4498.181818181818</v>
          </cell>
          <cell r="AD541">
            <v>449.81818181818181</v>
          </cell>
          <cell r="AE541">
            <v>4948</v>
          </cell>
          <cell r="AG541">
            <v>8085.2727272727261</v>
          </cell>
          <cell r="AH541">
            <v>808.52727272727316</v>
          </cell>
          <cell r="AI541">
            <v>8893.7999999999993</v>
          </cell>
          <cell r="AK541">
            <v>3587.0909090909081</v>
          </cell>
        </row>
        <row r="542">
          <cell r="H542" t="str">
            <v>91774730750AD</v>
          </cell>
          <cell r="I542">
            <v>51926364</v>
          </cell>
          <cell r="R542" t="str">
            <v>91774730750AD</v>
          </cell>
          <cell r="X542" t="str">
            <v>뉴클 보조배터리_슬림파워G</v>
          </cell>
          <cell r="Y542" t="str">
            <v>뉴클 슬림파워 보조배터리 그로스</v>
          </cell>
          <cell r="AB542">
            <v>9</v>
          </cell>
          <cell r="AC542">
            <v>20043.818181818173</v>
          </cell>
          <cell r="AG542" t="str">
            <v>0</v>
          </cell>
        </row>
        <row r="543">
          <cell r="H543" t="str">
            <v>91774730750S</v>
          </cell>
          <cell r="I543">
            <v>51926364</v>
          </cell>
          <cell r="R543" t="str">
            <v>91774730750S</v>
          </cell>
          <cell r="X543" t="str">
            <v>뉴클 보조배터리_슬림파워G</v>
          </cell>
          <cell r="Y543" t="str">
            <v>뉴클 슬림파워 보조배터리 그로스</v>
          </cell>
          <cell r="AC543" t="str">
            <v>개당광고비→</v>
          </cell>
          <cell r="AG543" t="str">
            <v>광고X</v>
          </cell>
          <cell r="AH543" t="str">
            <v>광고X</v>
          </cell>
        </row>
        <row r="544">
          <cell r="H544">
            <v>84112014400</v>
          </cell>
          <cell r="I544">
            <v>30662444</v>
          </cell>
          <cell r="R544">
            <v>84112014400</v>
          </cell>
          <cell r="X544" t="str">
            <v>뉴클 충전기2포트</v>
          </cell>
          <cell r="Y544" t="str">
            <v>보조배터리10000 / 보조밧데리</v>
          </cell>
        </row>
        <row r="545">
          <cell r="H545">
            <v>92054890510</v>
          </cell>
          <cell r="I545">
            <v>54714428</v>
          </cell>
          <cell r="J545">
            <v>4510</v>
          </cell>
          <cell r="K545">
            <v>387</v>
          </cell>
          <cell r="L545">
            <v>9000</v>
          </cell>
          <cell r="M545">
            <v>9000</v>
          </cell>
          <cell r="N545">
            <v>0</v>
          </cell>
          <cell r="O545">
            <v>11800</v>
          </cell>
          <cell r="P545">
            <v>19900</v>
          </cell>
          <cell r="Q545">
            <v>9000</v>
          </cell>
          <cell r="R545">
            <v>92054890510</v>
          </cell>
          <cell r="V545">
            <v>11900</v>
          </cell>
          <cell r="W545" t="str">
            <v>https://smartstore.naver.com/sskoreatrade/products/11210840217</v>
          </cell>
          <cell r="X545" t="str">
            <v>뉴클 케이블_우븐_G</v>
          </cell>
          <cell r="Y545" t="str">
            <v>뉴클 PD 65W 우븐케이블 1m, 1개 그로스</v>
          </cell>
          <cell r="AB545" t="str">
            <v>coupang.com/vp/products/8489429913?itemId=24963923725&amp;vendorItemId=92054890510</v>
          </cell>
          <cell r="AC545">
            <v>999.99999999999989</v>
          </cell>
          <cell r="AD545">
            <v>100</v>
          </cell>
          <cell r="AE545">
            <v>1100</v>
          </cell>
          <cell r="AG545">
            <v>5180</v>
          </cell>
          <cell r="AH545">
            <v>518</v>
          </cell>
          <cell r="AI545">
            <v>5698</v>
          </cell>
          <cell r="AK545">
            <v>4180</v>
          </cell>
        </row>
        <row r="546">
          <cell r="H546" t="str">
            <v>92054890510AD</v>
          </cell>
          <cell r="I546">
            <v>54714428</v>
          </cell>
          <cell r="R546" t="str">
            <v>92054890510AD</v>
          </cell>
          <cell r="X546" t="str">
            <v>뉴클 케이블_우븐_G</v>
          </cell>
          <cell r="Y546" t="str">
            <v>뉴클 PD 65W 우븐케이블 1m, 1개 그로스</v>
          </cell>
          <cell r="AB546">
            <v>0</v>
          </cell>
          <cell r="AC546">
            <v>0</v>
          </cell>
          <cell r="AG546" t="str">
            <v>0</v>
          </cell>
        </row>
        <row r="547">
          <cell r="H547" t="str">
            <v>92054890510S</v>
          </cell>
          <cell r="I547">
            <v>54714428</v>
          </cell>
          <cell r="R547" t="str">
            <v>92054890510S</v>
          </cell>
          <cell r="X547" t="str">
            <v>뉴클 케이블_우븐_G</v>
          </cell>
          <cell r="Y547" t="str">
            <v>뉴클 PD 65W 우븐케이블 1m, 1개 그로스</v>
          </cell>
          <cell r="AC547" t="str">
            <v>개당광고비→</v>
          </cell>
          <cell r="AG547" t="str">
            <v>광고X</v>
          </cell>
          <cell r="AH547" t="str">
            <v>광고X</v>
          </cell>
        </row>
        <row r="548">
          <cell r="H548">
            <v>91969607694</v>
          </cell>
          <cell r="I548">
            <v>56747673</v>
          </cell>
          <cell r="J548">
            <v>2409</v>
          </cell>
          <cell r="K548">
            <v>61</v>
          </cell>
          <cell r="L548">
            <v>11400</v>
          </cell>
          <cell r="M548">
            <v>11400</v>
          </cell>
          <cell r="N548">
            <v>0</v>
          </cell>
          <cell r="O548">
            <v>19900</v>
          </cell>
          <cell r="P548">
            <v>21900</v>
          </cell>
          <cell r="Q548">
            <v>11400</v>
          </cell>
          <cell r="R548">
            <v>91969607694</v>
          </cell>
          <cell r="V548">
            <v>14900</v>
          </cell>
          <cell r="W548" t="str">
            <v>https://smartstore.naver.com/sskoreatrade/products/11210840217</v>
          </cell>
          <cell r="X548" t="str">
            <v>뉴클 케이블_우븐_G</v>
          </cell>
          <cell r="Y548" t="str">
            <v>뉴클 PD 65W 우븐케이블 1m, 2개 그로스</v>
          </cell>
          <cell r="AB548" t="str">
            <v>coupang.com/vp/products/8489429913?itemId=24963923725&amp;vendorItemId=91969607694</v>
          </cell>
          <cell r="AC548">
            <v>1999.9999999999998</v>
          </cell>
          <cell r="AD548">
            <v>200</v>
          </cell>
          <cell r="AE548">
            <v>2200</v>
          </cell>
          <cell r="AG548">
            <v>6827.9999999999991</v>
          </cell>
          <cell r="AH548">
            <v>682.80000000000018</v>
          </cell>
          <cell r="AI548">
            <v>7510.7999999999993</v>
          </cell>
          <cell r="AK548">
            <v>4827.9999999999991</v>
          </cell>
        </row>
        <row r="549">
          <cell r="H549" t="str">
            <v>91969607694AD</v>
          </cell>
          <cell r="I549">
            <v>56747673</v>
          </cell>
          <cell r="R549" t="str">
            <v>91969607694AD</v>
          </cell>
          <cell r="X549" t="str">
            <v>뉴클 케이블_우븐_G</v>
          </cell>
          <cell r="Y549" t="str">
            <v>뉴클 PD 65W 우븐케이블 1m, 2개 그로스</v>
          </cell>
          <cell r="AB549">
            <v>0</v>
          </cell>
          <cell r="AC549">
            <v>0</v>
          </cell>
          <cell r="AG549" t="str">
            <v>0</v>
          </cell>
        </row>
        <row r="550">
          <cell r="H550" t="str">
            <v>91969607694S</v>
          </cell>
          <cell r="I550">
            <v>56747673</v>
          </cell>
          <cell r="R550" t="str">
            <v>91969607694S</v>
          </cell>
          <cell r="X550" t="str">
            <v>뉴클 케이블_우븐_G</v>
          </cell>
          <cell r="Y550" t="str">
            <v>뉴클 PD 65W 우븐케이블 1m, 2개 그로스</v>
          </cell>
          <cell r="AC550" t="str">
            <v>개당광고비→</v>
          </cell>
          <cell r="AG550" t="str">
            <v>광고X</v>
          </cell>
          <cell r="AH550" t="str">
            <v>광고X</v>
          </cell>
        </row>
        <row r="551">
          <cell r="H551">
            <v>92868686521</v>
          </cell>
          <cell r="I551">
            <v>61732575</v>
          </cell>
          <cell r="J551">
            <v>4441</v>
          </cell>
          <cell r="K551">
            <v>2</v>
          </cell>
          <cell r="L551">
            <v>14900</v>
          </cell>
          <cell r="M551">
            <v>14900</v>
          </cell>
          <cell r="N551">
            <v>0</v>
          </cell>
          <cell r="O551">
            <v>0</v>
          </cell>
          <cell r="Q551">
            <v>14900</v>
          </cell>
          <cell r="R551">
            <v>92868686521</v>
          </cell>
          <cell r="V551">
            <v>14900</v>
          </cell>
          <cell r="W551" t="str">
            <v>https://smartstore.naver.com/psglobal1/products/12021797683</v>
          </cell>
          <cell r="X551" t="str">
            <v>뉴클 케이블_우븐_G</v>
          </cell>
          <cell r="Y551" t="str">
            <v>뉴클 CtoC 65W 우븐케이블 2M</v>
          </cell>
          <cell r="AB551" t="str">
            <v>coupang.com/vp/products/8871225638?itemId=25881933321&amp;vendorItemId=92868686521</v>
          </cell>
          <cell r="AC551">
            <v>1250</v>
          </cell>
          <cell r="AD551">
            <v>125</v>
          </cell>
          <cell r="AE551">
            <v>1375</v>
          </cell>
          <cell r="AG551">
            <v>9761.6363636363621</v>
          </cell>
          <cell r="AH551">
            <v>976.16363636363712</v>
          </cell>
          <cell r="AI551">
            <v>10737.8</v>
          </cell>
          <cell r="AK551">
            <v>8511.6363636363621</v>
          </cell>
        </row>
        <row r="552">
          <cell r="H552" t="str">
            <v>92868686521AD</v>
          </cell>
          <cell r="I552">
            <v>61732575</v>
          </cell>
          <cell r="R552" t="str">
            <v>92868686521AD</v>
          </cell>
          <cell r="X552" t="str">
            <v>뉴클 케이블_우븐_G</v>
          </cell>
          <cell r="Y552" t="str">
            <v>뉴클 CtoC 65W 우븐케이블 2M</v>
          </cell>
          <cell r="AB552">
            <v>-1</v>
          </cell>
          <cell r="AC552">
            <v>-8511.6363636363621</v>
          </cell>
          <cell r="AG552" t="str">
            <v>0</v>
          </cell>
        </row>
        <row r="553">
          <cell r="H553" t="str">
            <v>92868686521S</v>
          </cell>
          <cell r="I553">
            <v>61732575</v>
          </cell>
          <cell r="R553" t="str">
            <v>92868686521S</v>
          </cell>
          <cell r="X553" t="str">
            <v>뉴클 케이블_우븐_G</v>
          </cell>
          <cell r="Y553" t="str">
            <v>뉴클 CtoC 65W 우븐케이블 2M</v>
          </cell>
          <cell r="AC553" t="str">
            <v>개당광고비→</v>
          </cell>
          <cell r="AG553" t="str">
            <v>광고X</v>
          </cell>
          <cell r="AH553" t="str">
            <v>광고X</v>
          </cell>
        </row>
        <row r="554">
          <cell r="H554">
            <v>93340692426</v>
          </cell>
          <cell r="I554">
            <v>63541171</v>
          </cell>
          <cell r="J554">
            <v>4441</v>
          </cell>
          <cell r="K554" t="str">
            <v>-</v>
          </cell>
          <cell r="L554">
            <v>16900</v>
          </cell>
          <cell r="M554">
            <v>16900</v>
          </cell>
          <cell r="N554">
            <v>0</v>
          </cell>
          <cell r="O554">
            <v>19900</v>
          </cell>
          <cell r="P554">
            <v>21900</v>
          </cell>
          <cell r="Q554">
            <v>16900</v>
          </cell>
          <cell r="R554">
            <v>93340692426</v>
          </cell>
          <cell r="V554">
            <v>14900</v>
          </cell>
          <cell r="W554" t="str">
            <v>https://smartstore.naver.com/sskoreatrade/products/11210840217</v>
          </cell>
          <cell r="X554" t="str">
            <v>뉴클 케이블_우븐_G</v>
          </cell>
          <cell r="Y554" t="str">
            <v>NEW 뉴클 CtoC 65W 우븐케이블 2M</v>
          </cell>
          <cell r="AB554" t="str">
            <v>coupang.com/vp/products/8997709570?itemId=26363922972&amp;vendorItemId=93340692426</v>
          </cell>
          <cell r="AC554">
            <v>1250</v>
          </cell>
          <cell r="AD554">
            <v>125</v>
          </cell>
          <cell r="AE554">
            <v>1375</v>
          </cell>
          <cell r="AG554">
            <v>11437.999999999998</v>
          </cell>
          <cell r="AH554">
            <v>1143.8000000000011</v>
          </cell>
          <cell r="AI554">
            <v>12581.8</v>
          </cell>
          <cell r="AK554">
            <v>10187.999999999998</v>
          </cell>
        </row>
        <row r="555">
          <cell r="H555" t="str">
            <v>93340692426AD</v>
          </cell>
          <cell r="I555">
            <v>63541171</v>
          </cell>
          <cell r="R555" t="str">
            <v>93340692426AD</v>
          </cell>
          <cell r="X555" t="str">
            <v>뉴클 케이블_우븐_G</v>
          </cell>
          <cell r="Y555" t="str">
            <v>NEW 뉴클 CtoC 65W 우븐케이블 2M</v>
          </cell>
          <cell r="AB555">
            <v>0</v>
          </cell>
          <cell r="AC555">
            <v>0</v>
          </cell>
          <cell r="AG555" t="str">
            <v>0</v>
          </cell>
        </row>
        <row r="556">
          <cell r="H556" t="str">
            <v>93340692426S</v>
          </cell>
          <cell r="I556">
            <v>63541171</v>
          </cell>
          <cell r="R556" t="str">
            <v>93340692426S</v>
          </cell>
          <cell r="X556" t="str">
            <v>뉴클 케이블_우븐_G</v>
          </cell>
          <cell r="Y556" t="str">
            <v>NEW 뉴클 CtoC 65W 우븐케이블 2M</v>
          </cell>
          <cell r="AC556" t="str">
            <v>개당광고비→</v>
          </cell>
          <cell r="AG556" t="str">
            <v>광고X</v>
          </cell>
          <cell r="AH556" t="str">
            <v>광고X</v>
          </cell>
        </row>
        <row r="557">
          <cell r="H557">
            <v>92868831256</v>
          </cell>
          <cell r="J557">
            <v>971</v>
          </cell>
          <cell r="K557">
            <v>328</v>
          </cell>
          <cell r="L557">
            <v>10900</v>
          </cell>
          <cell r="M557">
            <v>10900</v>
          </cell>
          <cell r="N557">
            <v>0</v>
          </cell>
          <cell r="O557">
            <v>0</v>
          </cell>
          <cell r="Q557">
            <v>10900</v>
          </cell>
          <cell r="R557">
            <v>92868831256</v>
          </cell>
          <cell r="V557">
            <v>11200</v>
          </cell>
          <cell r="W557" t="str">
            <v>https://smartstore.naver.com/psglobal1/products/11700931057</v>
          </cell>
          <cell r="X557" t="str">
            <v>뉴클 릴케이블_G</v>
          </cell>
          <cell r="Y557" t="str">
            <v>뉴클 릴케이블 C타입 블랙</v>
          </cell>
          <cell r="AB557" t="str">
            <v>coupang.com/vp/products/8707502276?itemId=25287599044&amp;vendorItemId=92868831256</v>
          </cell>
          <cell r="AC557">
            <v>1955.4545454545453</v>
          </cell>
          <cell r="AD557">
            <v>195.54545454545453</v>
          </cell>
          <cell r="AE557">
            <v>2151</v>
          </cell>
          <cell r="AG557">
            <v>6408.9090909090901</v>
          </cell>
          <cell r="AH557">
            <v>640.89090909090919</v>
          </cell>
          <cell r="AI557">
            <v>7049.7999999999993</v>
          </cell>
          <cell r="AK557">
            <v>4453.454545454545</v>
          </cell>
        </row>
        <row r="558">
          <cell r="H558" t="str">
            <v>92868831256AD</v>
          </cell>
          <cell r="R558" t="str">
            <v>92868831256AD</v>
          </cell>
          <cell r="X558" t="str">
            <v>뉴클 릴케이블_G</v>
          </cell>
          <cell r="Y558" t="str">
            <v>뉴클 릴케이블 C타입 블랙</v>
          </cell>
          <cell r="AB558">
            <v>13</v>
          </cell>
          <cell r="AC558">
            <v>42852.051948051943</v>
          </cell>
          <cell r="AG558">
            <v>2</v>
          </cell>
        </row>
        <row r="559">
          <cell r="H559" t="str">
            <v>92868831256S</v>
          </cell>
          <cell r="R559" t="str">
            <v>92868831256S</v>
          </cell>
          <cell r="X559" t="str">
            <v>뉴클 릴케이블_G</v>
          </cell>
          <cell r="Y559" t="str">
            <v>뉴클 릴케이블 C타입 블랙</v>
          </cell>
          <cell r="AC559" t="str">
            <v>개당광고비→</v>
          </cell>
          <cell r="AG559">
            <v>3867.5</v>
          </cell>
          <cell r="AH559">
            <v>7735</v>
          </cell>
        </row>
        <row r="560">
          <cell r="H560">
            <v>92868831243</v>
          </cell>
          <cell r="J560">
            <v>906</v>
          </cell>
          <cell r="K560">
            <v>328</v>
          </cell>
          <cell r="L560">
            <v>10720</v>
          </cell>
          <cell r="M560">
            <v>10900</v>
          </cell>
          <cell r="N560">
            <v>0</v>
          </cell>
          <cell r="O560">
            <v>0</v>
          </cell>
          <cell r="Q560">
            <v>10900</v>
          </cell>
          <cell r="R560">
            <v>92868831243</v>
          </cell>
          <cell r="V560">
            <v>11200</v>
          </cell>
          <cell r="W560" t="str">
            <v>https://smartstore.naver.com/psglobal1/products/11700931057</v>
          </cell>
          <cell r="X560" t="str">
            <v>뉴클 릴케이블_G</v>
          </cell>
          <cell r="Y560" t="str">
            <v>뉴클 릴케이블 C타입 퍼플</v>
          </cell>
          <cell r="AB560" t="str">
            <v>coupang.com/vp/products/8707502276?itemId=25882802265&amp;vendorItemId=92868831243</v>
          </cell>
          <cell r="AC560">
            <v>1955.4545454545453</v>
          </cell>
          <cell r="AD560">
            <v>195.54545454545453</v>
          </cell>
          <cell r="AE560">
            <v>2151</v>
          </cell>
          <cell r="AG560">
            <v>6258.0363636363636</v>
          </cell>
          <cell r="AH560">
            <v>625.80363636363654</v>
          </cell>
          <cell r="AI560">
            <v>6883.84</v>
          </cell>
          <cell r="AK560">
            <v>4302.5818181818186</v>
          </cell>
        </row>
        <row r="561">
          <cell r="H561" t="str">
            <v>92868831243AD</v>
          </cell>
          <cell r="R561" t="str">
            <v>92868831243AD</v>
          </cell>
          <cell r="X561" t="str">
            <v>뉴클 릴케이블_G</v>
          </cell>
          <cell r="Y561" t="str">
            <v>뉴클 릴케이블 C타입 퍼플</v>
          </cell>
          <cell r="AB561">
            <v>1</v>
          </cell>
          <cell r="AC561">
            <v>2682.5818181818186</v>
          </cell>
          <cell r="AG561">
            <v>22</v>
          </cell>
        </row>
        <row r="562">
          <cell r="H562" t="str">
            <v>92868831243S</v>
          </cell>
          <cell r="R562" t="str">
            <v>92868831243S</v>
          </cell>
          <cell r="X562" t="str">
            <v>뉴클 릴케이블_G</v>
          </cell>
          <cell r="Y562" t="str">
            <v>뉴클 릴케이블 C타입 퍼플</v>
          </cell>
          <cell r="AC562" t="str">
            <v>개당광고비→</v>
          </cell>
          <cell r="AG562">
            <v>1705.5454545454545</v>
          </cell>
          <cell r="AH562">
            <v>37522</v>
          </cell>
        </row>
        <row r="563">
          <cell r="H563">
            <v>92868831227</v>
          </cell>
          <cell r="J563">
            <v>943</v>
          </cell>
          <cell r="K563">
            <v>328</v>
          </cell>
          <cell r="L563">
            <v>10900</v>
          </cell>
          <cell r="M563">
            <v>10900</v>
          </cell>
          <cell r="N563">
            <v>0</v>
          </cell>
          <cell r="O563">
            <v>0</v>
          </cell>
          <cell r="Q563">
            <v>10900</v>
          </cell>
          <cell r="R563">
            <v>92868831227</v>
          </cell>
          <cell r="V563">
            <v>11200</v>
          </cell>
          <cell r="W563" t="str">
            <v>https://smartstore.naver.com/psglobal1/products/11700931057</v>
          </cell>
          <cell r="X563" t="str">
            <v>뉴클 릴케이블_G</v>
          </cell>
          <cell r="Y563" t="str">
            <v>뉴클 릴케이블 C타입 화이트</v>
          </cell>
          <cell r="AB563" t="str">
            <v>coupang.com/vp/products/8707502276?itemId=25287599046&amp;vendorItemId=92868831227</v>
          </cell>
          <cell r="AC563">
            <v>1955.4545454545453</v>
          </cell>
          <cell r="AD563">
            <v>195.54545454545453</v>
          </cell>
          <cell r="AE563">
            <v>2151</v>
          </cell>
          <cell r="AG563">
            <v>6408.9090909090901</v>
          </cell>
          <cell r="AH563">
            <v>640.89090909090919</v>
          </cell>
          <cell r="AI563">
            <v>7049.7999999999993</v>
          </cell>
          <cell r="AK563">
            <v>4453.454545454545</v>
          </cell>
        </row>
        <row r="564">
          <cell r="H564" t="str">
            <v>92868831227AD</v>
          </cell>
          <cell r="R564" t="str">
            <v>92868831227AD</v>
          </cell>
          <cell r="X564" t="str">
            <v>뉴클 릴케이블_G</v>
          </cell>
          <cell r="Y564" t="str">
            <v>뉴클 릴케이블 C타입 화이트</v>
          </cell>
          <cell r="AB564">
            <v>2</v>
          </cell>
          <cell r="AC564">
            <v>7806.9090909090901</v>
          </cell>
          <cell r="AG564">
            <v>6</v>
          </cell>
        </row>
        <row r="565">
          <cell r="H565" t="str">
            <v>92868831227S</v>
          </cell>
          <cell r="R565" t="str">
            <v>92868831227S</v>
          </cell>
          <cell r="X565" t="str">
            <v>뉴클 릴케이블_G</v>
          </cell>
          <cell r="Y565" t="str">
            <v>뉴클 릴케이블 C타입 화이트</v>
          </cell>
          <cell r="AC565" t="str">
            <v>개당광고비→</v>
          </cell>
          <cell r="AG565">
            <v>1755.3333333333333</v>
          </cell>
          <cell r="AH565">
            <v>10532</v>
          </cell>
        </row>
        <row r="566">
          <cell r="H566">
            <v>94064828660</v>
          </cell>
          <cell r="J566">
            <v>1105</v>
          </cell>
          <cell r="K566" t="str">
            <v>-</v>
          </cell>
          <cell r="L566">
            <v>14900</v>
          </cell>
          <cell r="M566">
            <v>14900</v>
          </cell>
          <cell r="N566">
            <v>0</v>
          </cell>
          <cell r="O566">
            <v>0</v>
          </cell>
          <cell r="R566">
            <v>94064828660</v>
          </cell>
          <cell r="X566" t="str">
            <v>락스탠드_맥세이프_거치대</v>
          </cell>
          <cell r="Y566" t="str">
            <v>락스탠드 맥세이프 360회전 거치대 블랙</v>
          </cell>
          <cell r="AB566" t="str">
            <v>coupang.com/vp/products/9185698311?itemId=27096637245&amp;vendorItemId=94064828660</v>
          </cell>
          <cell r="AC566">
            <v>4228.181818181818</v>
          </cell>
          <cell r="AD566">
            <v>422.81818181818181</v>
          </cell>
          <cell r="AE566">
            <v>4651</v>
          </cell>
          <cell r="AG566">
            <v>9670.7272727272721</v>
          </cell>
          <cell r="AH566">
            <v>967.07272727272721</v>
          </cell>
          <cell r="AI566">
            <v>10637.8</v>
          </cell>
          <cell r="AK566">
            <v>5442.545454545454</v>
          </cell>
        </row>
        <row r="567">
          <cell r="H567" t="str">
            <v>94064828660AD</v>
          </cell>
          <cell r="R567" t="str">
            <v>94064828660AD</v>
          </cell>
          <cell r="X567" t="str">
            <v>락스탠드_맥세이프_거치대</v>
          </cell>
          <cell r="Y567" t="str">
            <v>락스탠드 맥세이프 360회전 거치대 블랙</v>
          </cell>
          <cell r="AB567">
            <v>14</v>
          </cell>
          <cell r="AC567">
            <v>48195.636363636353</v>
          </cell>
          <cell r="AG567">
            <v>11</v>
          </cell>
        </row>
        <row r="568">
          <cell r="H568" t="str">
            <v>94064828660S</v>
          </cell>
          <cell r="R568" t="str">
            <v>94064828660S</v>
          </cell>
          <cell r="X568" t="str">
            <v>락스탠드_맥세이프_거치대</v>
          </cell>
          <cell r="Y568" t="str">
            <v>12/5 오후6시 가격 99&gt;129</v>
          </cell>
          <cell r="AC568" t="str">
            <v>개당광고비→</v>
          </cell>
          <cell r="AG568">
            <v>3517.5454545454545</v>
          </cell>
          <cell r="AH568">
            <v>38693</v>
          </cell>
        </row>
        <row r="569">
          <cell r="H569">
            <v>94064828659</v>
          </cell>
          <cell r="J569">
            <v>1095</v>
          </cell>
          <cell r="K569" t="str">
            <v>-</v>
          </cell>
          <cell r="L569">
            <v>14900</v>
          </cell>
          <cell r="M569">
            <v>14900</v>
          </cell>
          <cell r="N569">
            <v>0</v>
          </cell>
          <cell r="O569">
            <v>0</v>
          </cell>
          <cell r="R569">
            <v>94064828659</v>
          </cell>
          <cell r="X569" t="str">
            <v>락스탠드_맥세이프_거치대</v>
          </cell>
          <cell r="Y569" t="str">
            <v>락스탠드 맥세이프 360회전 거치대 화이트</v>
          </cell>
          <cell r="AB569" t="str">
            <v>coupang.com/vp/products/9185698311?itemId=27096637243&amp;vendorItemId=94064828659</v>
          </cell>
          <cell r="AC569">
            <v>4228.181818181818</v>
          </cell>
          <cell r="AD569">
            <v>422.81818181818181</v>
          </cell>
          <cell r="AE569">
            <v>4651</v>
          </cell>
          <cell r="AG569">
            <v>9670.7272727272721</v>
          </cell>
          <cell r="AH569">
            <v>967.07272727272721</v>
          </cell>
          <cell r="AI569">
            <v>10637.8</v>
          </cell>
          <cell r="AK569">
            <v>5442.545454545454</v>
          </cell>
        </row>
        <row r="570">
          <cell r="H570" t="str">
            <v>94064828659AD</v>
          </cell>
          <cell r="R570" t="str">
            <v>94064828659AD</v>
          </cell>
          <cell r="X570" t="str">
            <v>락스탠드_맥세이프_거치대</v>
          </cell>
          <cell r="Y570" t="str">
            <v>락스탠드 맥세이프 360회전 거치대 화이트</v>
          </cell>
          <cell r="AB570">
            <v>7</v>
          </cell>
          <cell r="AC570">
            <v>24097.818181818177</v>
          </cell>
          <cell r="AG570">
            <v>35</v>
          </cell>
        </row>
        <row r="571">
          <cell r="H571" t="str">
            <v>94064828659S</v>
          </cell>
          <cell r="R571" t="str">
            <v>94064828659S</v>
          </cell>
          <cell r="X571" t="str">
            <v>락스탠드_맥세이프_거치대</v>
          </cell>
          <cell r="Y571" t="str">
            <v>12/5 오후6시 가격 99&gt;129</v>
          </cell>
          <cell r="AC571" t="str">
            <v>개당광고비→</v>
          </cell>
          <cell r="AG571">
            <v>4106.0857142857139</v>
          </cell>
          <cell r="AH571">
            <v>143713</v>
          </cell>
        </row>
        <row r="572">
          <cell r="H572">
            <v>94064844120</v>
          </cell>
          <cell r="J572">
            <v>1037</v>
          </cell>
          <cell r="K572" t="str">
            <v>-</v>
          </cell>
          <cell r="L572">
            <v>21900</v>
          </cell>
          <cell r="M572">
            <v>21900</v>
          </cell>
          <cell r="N572">
            <v>0</v>
          </cell>
          <cell r="O572">
            <v>0</v>
          </cell>
          <cell r="R572">
            <v>94064844120</v>
          </cell>
          <cell r="X572" t="str">
            <v>락스탠드_태블릿_거치대</v>
          </cell>
          <cell r="Y572" t="str">
            <v>락스탠드 3관절 마운트 대형 거치대 블랙</v>
          </cell>
          <cell r="AB572" t="str">
            <v>coupang.com/vp/products/9185697458?itemId=27096652877&amp;vendorItemId=94064844120</v>
          </cell>
          <cell r="AC572">
            <v>10309.090909090908</v>
          </cell>
          <cell r="AD572">
            <v>1030.9090909090908</v>
          </cell>
          <cell r="AE572">
            <v>11340</v>
          </cell>
          <cell r="AG572">
            <v>15537.999999999998</v>
          </cell>
          <cell r="AH572">
            <v>1553.8000000000011</v>
          </cell>
          <cell r="AI572">
            <v>17091.8</v>
          </cell>
          <cell r="AK572">
            <v>5228.9090909090901</v>
          </cell>
        </row>
        <row r="573">
          <cell r="H573" t="str">
            <v>94064844120AD</v>
          </cell>
          <cell r="R573" t="str">
            <v>94064844120AD</v>
          </cell>
          <cell r="X573" t="str">
            <v>락스탠드_태블릿_거치대</v>
          </cell>
          <cell r="Y573" t="str">
            <v>락스탠드 3관절 마운트 대형 거치대 블랙</v>
          </cell>
          <cell r="AB573">
            <v>5</v>
          </cell>
          <cell r="AC573">
            <v>16144.545454545449</v>
          </cell>
          <cell r="AG573">
            <v>48</v>
          </cell>
        </row>
        <row r="574">
          <cell r="H574" t="str">
            <v>94064844120S</v>
          </cell>
          <cell r="R574" t="str">
            <v>94064844120S</v>
          </cell>
          <cell r="X574" t="str">
            <v>락스탠드_태블릿_거치대</v>
          </cell>
          <cell r="Y574" t="str">
            <v>12/5 오후6시 가격 179&gt;199</v>
          </cell>
          <cell r="AC574" t="str">
            <v>개당광고비→</v>
          </cell>
          <cell r="AG574">
            <v>7104.625</v>
          </cell>
          <cell r="AH574">
            <v>341022</v>
          </cell>
        </row>
        <row r="575">
          <cell r="H575">
            <v>94064836776</v>
          </cell>
          <cell r="J575">
            <v>437</v>
          </cell>
          <cell r="K575" t="str">
            <v>-</v>
          </cell>
          <cell r="L575">
            <v>14900</v>
          </cell>
          <cell r="M575">
            <v>14900</v>
          </cell>
          <cell r="N575">
            <v>0</v>
          </cell>
          <cell r="O575">
            <v>0</v>
          </cell>
          <cell r="R575">
            <v>94064836776</v>
          </cell>
          <cell r="X575" t="str">
            <v>락스탠드_높이조절_거치대</v>
          </cell>
          <cell r="Y575" t="str">
            <v>락스탠드 3단 높이조절 거치대 블랙</v>
          </cell>
          <cell r="AB575" t="str">
            <v>coupang.com/vp/products/9185698199?itemId=27096645614&amp;vendorItemId=94064836776</v>
          </cell>
          <cell r="AC575">
            <v>5145.454545454545</v>
          </cell>
          <cell r="AD575">
            <v>514.5454545454545</v>
          </cell>
          <cell r="AE575">
            <v>5660</v>
          </cell>
          <cell r="AG575">
            <v>9761.6363636363621</v>
          </cell>
          <cell r="AH575">
            <v>976.16363636363712</v>
          </cell>
          <cell r="AI575">
            <v>10737.8</v>
          </cell>
          <cell r="AK575">
            <v>4616.1818181818171</v>
          </cell>
        </row>
        <row r="576">
          <cell r="H576" t="str">
            <v>94064836776AD</v>
          </cell>
          <cell r="R576" t="str">
            <v>94064836776AD</v>
          </cell>
          <cell r="X576" t="str">
            <v>락스탠드_높이조절_거치대</v>
          </cell>
          <cell r="Y576" t="str">
            <v>락스탠드 3단 높이조절 거치대 블랙</v>
          </cell>
          <cell r="AB576">
            <v>39</v>
          </cell>
          <cell r="AC576">
            <v>102031.09090909085</v>
          </cell>
          <cell r="AG576">
            <v>123</v>
          </cell>
        </row>
        <row r="577">
          <cell r="H577" t="str">
            <v>94064836776S</v>
          </cell>
          <cell r="R577" t="str">
            <v>94064836776S</v>
          </cell>
          <cell r="X577" t="str">
            <v>락스탠드_높이조절_거치대</v>
          </cell>
          <cell r="Y577" t="str">
            <v>12/5 오후6시 가격 99&gt;139</v>
          </cell>
          <cell r="AC577" t="str">
            <v>개당광고비→</v>
          </cell>
          <cell r="AG577">
            <v>3459.7560975609758</v>
          </cell>
          <cell r="AH577">
            <v>425550</v>
          </cell>
        </row>
        <row r="578">
          <cell r="H578">
            <v>94064836775</v>
          </cell>
          <cell r="J578">
            <v>435</v>
          </cell>
          <cell r="K578" t="str">
            <v>-</v>
          </cell>
          <cell r="L578">
            <v>14900</v>
          </cell>
          <cell r="M578">
            <v>14900</v>
          </cell>
          <cell r="N578">
            <v>0</v>
          </cell>
          <cell r="O578">
            <v>0</v>
          </cell>
          <cell r="R578">
            <v>94064836775</v>
          </cell>
          <cell r="X578" t="str">
            <v>락스탠드_높이조절_거치대</v>
          </cell>
          <cell r="Y578" t="str">
            <v>락스탠드 3단 높이조절 거치대 화이트</v>
          </cell>
          <cell r="AB578" t="str">
            <v>coupang.com/vp/products/9185698199?itemId=27096645617&amp;vendorItemId=94064836775</v>
          </cell>
          <cell r="AC578">
            <v>5145.454545454545</v>
          </cell>
          <cell r="AD578">
            <v>514.5454545454545</v>
          </cell>
          <cell r="AE578">
            <v>5660</v>
          </cell>
          <cell r="AG578">
            <v>9761.6363636363621</v>
          </cell>
          <cell r="AH578">
            <v>976.16363636363712</v>
          </cell>
          <cell r="AI578">
            <v>10737.8</v>
          </cell>
          <cell r="AK578">
            <v>4616.1818181818171</v>
          </cell>
        </row>
        <row r="579">
          <cell r="H579" t="str">
            <v>94064836775AD</v>
          </cell>
          <cell r="R579" t="str">
            <v>94064836775AD</v>
          </cell>
          <cell r="X579" t="str">
            <v>락스탠드_높이조절_거치대</v>
          </cell>
          <cell r="Y579" t="str">
            <v>락스탠드 3단 높이조절 거치대 화이트</v>
          </cell>
          <cell r="AB579">
            <v>53</v>
          </cell>
          <cell r="AC579">
            <v>138657.63636363629</v>
          </cell>
          <cell r="AG579">
            <v>91</v>
          </cell>
        </row>
        <row r="580">
          <cell r="H580" t="str">
            <v>94064836775S</v>
          </cell>
          <cell r="R580" t="str">
            <v>94064836775S</v>
          </cell>
          <cell r="X580" t="str">
            <v>락스탠드_높이조절_거치대</v>
          </cell>
          <cell r="Y580" t="str">
            <v>12/5 오후6시 가격 99&gt;139</v>
          </cell>
          <cell r="AC580" t="str">
            <v>개당광고비→</v>
          </cell>
          <cell r="AG580">
            <v>3591.2967032967031</v>
          </cell>
          <cell r="AH580">
            <v>326808</v>
          </cell>
        </row>
        <row r="581">
          <cell r="H581">
            <v>92868664391</v>
          </cell>
          <cell r="J581">
            <v>22</v>
          </cell>
          <cell r="K581">
            <v>9</v>
          </cell>
          <cell r="L581">
            <v>8900</v>
          </cell>
          <cell r="M581">
            <v>8900</v>
          </cell>
          <cell r="N581">
            <v>0</v>
          </cell>
          <cell r="O581">
            <v>0</v>
          </cell>
          <cell r="Q581">
            <v>8900</v>
          </cell>
          <cell r="R581">
            <v>92868664391</v>
          </cell>
          <cell r="V581">
            <v>11900</v>
          </cell>
          <cell r="W581" t="str">
            <v>https://smartstore.naver.com/psglobal1/products/11614825272</v>
          </cell>
          <cell r="X581" t="str">
            <v>뉴클 케이블_풀마그네틱G</v>
          </cell>
          <cell r="Y581" t="str">
            <v>뉴클 풀 마그네틱 65W CtoC타입 1.0m</v>
          </cell>
          <cell r="AB581" t="str">
            <v>coupang.com/vp/products/8707389650?itemId=25287149670&amp;vendorItemId=92868664391</v>
          </cell>
          <cell r="AC581">
            <v>1674.5454545454545</v>
          </cell>
          <cell r="AD581">
            <v>167.45454545454547</v>
          </cell>
          <cell r="AE581">
            <v>1842</v>
          </cell>
          <cell r="AG581">
            <v>5096.1818181818171</v>
          </cell>
          <cell r="AH581">
            <v>509.61818181818217</v>
          </cell>
          <cell r="AI581">
            <v>5605.7999999999993</v>
          </cell>
          <cell r="AK581">
            <v>3421.6363636363626</v>
          </cell>
        </row>
        <row r="582">
          <cell r="H582" t="str">
            <v>92868664391AD</v>
          </cell>
          <cell r="R582" t="str">
            <v>92868664391AD</v>
          </cell>
          <cell r="X582" t="str">
            <v>뉴클 케이블_풀마그네틱G</v>
          </cell>
          <cell r="Y582" t="str">
            <v>뉴클 풀 마그네틱 65W CtoC타입 1.0m</v>
          </cell>
          <cell r="AB582">
            <v>-14</v>
          </cell>
          <cell r="AC582">
            <v>-24802.909090909074</v>
          </cell>
          <cell r="AG582">
            <v>3</v>
          </cell>
        </row>
        <row r="583">
          <cell r="H583" t="str">
            <v>92868664391S</v>
          </cell>
          <cell r="R583" t="str">
            <v>92868664391S</v>
          </cell>
          <cell r="X583" t="str">
            <v>뉴클 케이블_풀마그네틱G</v>
          </cell>
          <cell r="Y583" t="str">
            <v>뉴클 풀 마그네틱 65W CtoC타입 1.0m</v>
          </cell>
          <cell r="AC583" t="str">
            <v>개당광고비→</v>
          </cell>
          <cell r="AG583">
            <v>2889</v>
          </cell>
          <cell r="AH583">
            <v>8667</v>
          </cell>
        </row>
        <row r="584">
          <cell r="H584">
            <v>92876166284</v>
          </cell>
          <cell r="J584">
            <v>229</v>
          </cell>
          <cell r="K584">
            <v>3</v>
          </cell>
          <cell r="L584">
            <v>12900</v>
          </cell>
          <cell r="M584">
            <v>12900</v>
          </cell>
          <cell r="N584">
            <v>0</v>
          </cell>
          <cell r="O584">
            <v>0</v>
          </cell>
          <cell r="Q584">
            <v>11900</v>
          </cell>
          <cell r="R584">
            <v>92876166284</v>
          </cell>
          <cell r="V584">
            <v>22800</v>
          </cell>
          <cell r="W584" t="str">
            <v>https://smartstore.naver.com/psglobal1/products/11614825272</v>
          </cell>
          <cell r="X584" t="str">
            <v>뉴클 케이블_풀마그네틱G</v>
          </cell>
          <cell r="Y584" t="str">
            <v>뉴클 풀 마그네틱 65W CtoC타입 1.0m, 2개</v>
          </cell>
          <cell r="AB584" t="str">
            <v>coupang.com/vp/products/8873194799?itemId=25890180880&amp;vendorItemId=92876166284</v>
          </cell>
          <cell r="AC584">
            <v>3331.8181818181815</v>
          </cell>
          <cell r="AD584">
            <v>333.18181818181819</v>
          </cell>
          <cell r="AE584">
            <v>3665</v>
          </cell>
          <cell r="AG584">
            <v>8085.2727272727261</v>
          </cell>
          <cell r="AH584">
            <v>808.52727272727316</v>
          </cell>
          <cell r="AI584">
            <v>8893.7999999999993</v>
          </cell>
          <cell r="AK584">
            <v>4753.4545454545441</v>
          </cell>
        </row>
        <row r="585">
          <cell r="H585" t="str">
            <v>92876166284AD</v>
          </cell>
          <cell r="R585" t="str">
            <v>92876166284AD</v>
          </cell>
          <cell r="X585" t="str">
            <v>뉴클 케이블_풀마그네틱G</v>
          </cell>
          <cell r="Y585" t="str">
            <v>뉴클 풀 마그네틱 65W CtoC타입 1.0m, 2개</v>
          </cell>
          <cell r="AB585">
            <v>1</v>
          </cell>
          <cell r="AC585">
            <v>4753.4545454545441</v>
          </cell>
          <cell r="AG585">
            <v>0</v>
          </cell>
        </row>
        <row r="586">
          <cell r="H586" t="str">
            <v>92876166284S</v>
          </cell>
          <cell r="R586" t="str">
            <v>92876166284S</v>
          </cell>
          <cell r="X586" t="str">
            <v>뉴클 케이블_풀마그네틱G</v>
          </cell>
          <cell r="Y586" t="str">
            <v>뉴클 풀 마그네틱 65W CtoC타입 1.0m, 2개</v>
          </cell>
          <cell r="AC586" t="str">
            <v>개당광고비→</v>
          </cell>
          <cell r="AG586" t="str">
            <v>광고X</v>
          </cell>
          <cell r="AH586">
            <v>3192</v>
          </cell>
        </row>
        <row r="587">
          <cell r="H587">
            <v>92573412281</v>
          </cell>
          <cell r="J587">
            <v>1179</v>
          </cell>
          <cell r="K587">
            <v>648</v>
          </cell>
          <cell r="L587">
            <v>10700</v>
          </cell>
          <cell r="M587">
            <v>10700</v>
          </cell>
          <cell r="N587">
            <v>0</v>
          </cell>
          <cell r="O587">
            <v>15900</v>
          </cell>
          <cell r="Q587">
            <v>10700</v>
          </cell>
          <cell r="R587">
            <v>92573412281</v>
          </cell>
          <cell r="V587">
            <v>14900</v>
          </cell>
          <cell r="W587" t="str">
            <v>https://smartstore.naver.com/psglobal1/products/11702368363</v>
          </cell>
          <cell r="X587" t="str">
            <v>뉴클 링거치대G</v>
          </cell>
          <cell r="Y587" t="str">
            <v>뉴클 마그네틱 링 거치대, 화이트</v>
          </cell>
          <cell r="AB587" t="str">
            <v>coupang.com/vp/products/8789822712?itemId=25582452350&amp;vendorItemId=92573412281</v>
          </cell>
          <cell r="AC587">
            <v>3493.6363636363635</v>
          </cell>
          <cell r="AD587">
            <v>349.36363636363637</v>
          </cell>
          <cell r="AE587">
            <v>3843</v>
          </cell>
          <cell r="AG587">
            <v>6241.2727272727261</v>
          </cell>
          <cell r="AH587">
            <v>624.12727272727352</v>
          </cell>
          <cell r="AI587">
            <v>6865.4</v>
          </cell>
          <cell r="AK587">
            <v>2747.6363636363626</v>
          </cell>
        </row>
        <row r="588">
          <cell r="H588" t="str">
            <v>92573412281AD</v>
          </cell>
          <cell r="R588" t="str">
            <v>92573412281AD</v>
          </cell>
          <cell r="X588" t="str">
            <v>뉴클 링거치대G</v>
          </cell>
          <cell r="Y588" t="str">
            <v>뉴클 마그네틱 링 거치대, 화이트</v>
          </cell>
          <cell r="AB588">
            <v>0</v>
          </cell>
          <cell r="AC588">
            <v>0</v>
          </cell>
          <cell r="AG588" t="str">
            <v>0</v>
          </cell>
        </row>
        <row r="589">
          <cell r="H589" t="str">
            <v>92573412281S</v>
          </cell>
          <cell r="R589" t="str">
            <v>92573412281S</v>
          </cell>
          <cell r="X589" t="str">
            <v>뉴클 링거치대G</v>
          </cell>
          <cell r="Y589" t="str">
            <v>뉴클 마그네틱 링 거치대, 화이트</v>
          </cell>
          <cell r="AC589" t="str">
            <v>개당광고비→</v>
          </cell>
          <cell r="AG589" t="str">
            <v>광고X</v>
          </cell>
          <cell r="AH589" t="str">
            <v>광고X</v>
          </cell>
        </row>
        <row r="590">
          <cell r="H590">
            <v>92573412253</v>
          </cell>
          <cell r="J590">
            <v>1798</v>
          </cell>
          <cell r="K590">
            <v>648</v>
          </cell>
          <cell r="L590">
            <v>16900</v>
          </cell>
          <cell r="M590">
            <v>16900</v>
          </cell>
          <cell r="N590">
            <v>0</v>
          </cell>
          <cell r="O590">
            <v>15900</v>
          </cell>
          <cell r="Q590">
            <v>10700</v>
          </cell>
          <cell r="R590">
            <v>92573412253</v>
          </cell>
          <cell r="V590">
            <v>14900</v>
          </cell>
          <cell r="W590" t="str">
            <v>https://smartstore.naver.com/psglobal1/products/11702368363</v>
          </cell>
          <cell r="X590" t="str">
            <v>뉴클 링거치대G</v>
          </cell>
          <cell r="Y590" t="str">
            <v>뉴클 마그네틱 링 거치대, 네이비</v>
          </cell>
          <cell r="AB590" t="str">
            <v>coupang.com/vp/products/8789822712?itemId=25582452347&amp;vendorItemId=92573412253</v>
          </cell>
          <cell r="AC590">
            <v>3493.6363636363635</v>
          </cell>
          <cell r="AD590">
            <v>349.36363636363637</v>
          </cell>
          <cell r="AE590">
            <v>3843</v>
          </cell>
          <cell r="AG590">
            <v>11437.999999999998</v>
          </cell>
          <cell r="AH590">
            <v>1143.8000000000011</v>
          </cell>
          <cell r="AI590">
            <v>12581.8</v>
          </cell>
          <cell r="AK590">
            <v>7944.3636363636342</v>
          </cell>
        </row>
        <row r="591">
          <cell r="H591" t="str">
            <v>92573412253AD</v>
          </cell>
          <cell r="R591" t="str">
            <v>92573412253AD</v>
          </cell>
          <cell r="X591" t="str">
            <v>뉴클 링거치대G</v>
          </cell>
          <cell r="Y591" t="str">
            <v>뉴클 마그네틱 링 거치대, 네이비</v>
          </cell>
          <cell r="AB591">
            <v>0</v>
          </cell>
          <cell r="AC591">
            <v>0</v>
          </cell>
          <cell r="AG591" t="str">
            <v>0</v>
          </cell>
        </row>
        <row r="592">
          <cell r="H592" t="str">
            <v>92573412253S</v>
          </cell>
          <cell r="R592" t="str">
            <v>92573412253S</v>
          </cell>
          <cell r="X592" t="str">
            <v>뉴클 링거치대G</v>
          </cell>
          <cell r="Y592" t="str">
            <v>뉴클 마그네틱 링 거치대, 네이비</v>
          </cell>
          <cell r="AC592" t="str">
            <v>개당광고비→</v>
          </cell>
          <cell r="AG592" t="str">
            <v>광고X</v>
          </cell>
          <cell r="AH592" t="str">
            <v>광고X</v>
          </cell>
        </row>
        <row r="593">
          <cell r="H593">
            <v>92573412233</v>
          </cell>
          <cell r="J593">
            <v>248</v>
          </cell>
          <cell r="K593">
            <v>648</v>
          </cell>
          <cell r="L593">
            <v>16900</v>
          </cell>
          <cell r="M593">
            <v>16900</v>
          </cell>
          <cell r="N593">
            <v>0</v>
          </cell>
          <cell r="O593">
            <v>15900</v>
          </cell>
          <cell r="Q593">
            <v>13700</v>
          </cell>
          <cell r="R593">
            <v>92573412233</v>
          </cell>
          <cell r="V593">
            <v>14900</v>
          </cell>
          <cell r="W593" t="str">
            <v>https://smartstore.naver.com/psglobal1/products/11702368363</v>
          </cell>
          <cell r="X593" t="str">
            <v>뉴클 링거치대G</v>
          </cell>
          <cell r="Y593" t="str">
            <v>뉴클 마그네틱 링 거치대, 퍼플</v>
          </cell>
          <cell r="AB593" t="str">
            <v>coupang.com/vp/products/8789822712?itemId=25582452351&amp;vendorItemId=92573412233</v>
          </cell>
          <cell r="AC593">
            <v>3493.6363636363635</v>
          </cell>
          <cell r="AD593">
            <v>349.36363636363637</v>
          </cell>
          <cell r="AE593">
            <v>3843</v>
          </cell>
          <cell r="AG593">
            <v>11437.999999999998</v>
          </cell>
          <cell r="AH593">
            <v>1143.8000000000011</v>
          </cell>
          <cell r="AI593">
            <v>12581.8</v>
          </cell>
          <cell r="AK593">
            <v>7944.3636363636342</v>
          </cell>
        </row>
        <row r="594">
          <cell r="H594" t="str">
            <v>92573412233AD</v>
          </cell>
          <cell r="R594" t="str">
            <v>92573412233AD</v>
          </cell>
          <cell r="X594" t="str">
            <v>뉴클 링거치대G</v>
          </cell>
          <cell r="Y594" t="str">
            <v>뉴클 마그네틱 링 거치대, 퍼플</v>
          </cell>
          <cell r="AB594">
            <v>20</v>
          </cell>
          <cell r="AC594">
            <v>-512.727272727323</v>
          </cell>
          <cell r="AG594" t="str">
            <v>0</v>
          </cell>
        </row>
        <row r="595">
          <cell r="H595" t="str">
            <v>92573412233S</v>
          </cell>
          <cell r="R595" t="str">
            <v>92573412233S</v>
          </cell>
          <cell r="X595" t="str">
            <v>뉴클 링거치대G</v>
          </cell>
          <cell r="Y595" t="str">
            <v>뉴클 마그네틱 링 거치대, 퍼플</v>
          </cell>
          <cell r="AC595" t="str">
            <v>개당광고비→</v>
          </cell>
          <cell r="AG595" t="str">
            <v>광고X</v>
          </cell>
          <cell r="AH595" t="str">
            <v>광고X</v>
          </cell>
        </row>
        <row r="596">
          <cell r="H596">
            <v>93120151882</v>
          </cell>
          <cell r="I596">
            <v>60455208</v>
          </cell>
          <cell r="J596">
            <v>67</v>
          </cell>
          <cell r="K596">
            <v>129</v>
          </cell>
          <cell r="L596">
            <v>29800</v>
          </cell>
          <cell r="M596">
            <v>29800</v>
          </cell>
          <cell r="Q596">
            <v>29400</v>
          </cell>
          <cell r="R596">
            <v>93120151882</v>
          </cell>
          <cell r="V596">
            <v>29940</v>
          </cell>
          <cell r="W596" t="str">
            <v>https://smartstore.naver.com/psglobal1/products/11755053072</v>
          </cell>
          <cell r="X596" t="str">
            <v>맥로이드_멀티허브G</v>
          </cell>
          <cell r="Y596" t="str">
            <v>맥로이드 멀티 허브 어댑터_그로스</v>
          </cell>
          <cell r="AB596" t="str">
            <v>coupang.com/vp/products/8939341691?itemId=26140039308&amp;vendorItemId=93120151882</v>
          </cell>
          <cell r="AC596">
            <v>11499.999999999998</v>
          </cell>
          <cell r="AD596">
            <v>1149.9999999999998</v>
          </cell>
          <cell r="AE596">
            <v>12650</v>
          </cell>
          <cell r="AG596">
            <v>22614.181818181816</v>
          </cell>
          <cell r="AH596">
            <v>2261.4181818181823</v>
          </cell>
          <cell r="AI596">
            <v>24875.599999999999</v>
          </cell>
          <cell r="AK596">
            <v>11114.181818181818</v>
          </cell>
        </row>
        <row r="597">
          <cell r="H597" t="str">
            <v>93120151882AD</v>
          </cell>
          <cell r="I597">
            <v>60455208</v>
          </cell>
          <cell r="R597" t="str">
            <v>93120151882AD</v>
          </cell>
          <cell r="X597" t="str">
            <v>맥로이드_멀티허브G</v>
          </cell>
          <cell r="Y597" t="str">
            <v>맥로이드 멀티 허브 어댑터_그로스</v>
          </cell>
          <cell r="AB597">
            <v>0</v>
          </cell>
          <cell r="AC597">
            <v>0</v>
          </cell>
          <cell r="AG597" t="str">
            <v>0</v>
          </cell>
        </row>
        <row r="598">
          <cell r="H598" t="str">
            <v>93120151882S</v>
          </cell>
          <cell r="I598">
            <v>60455208</v>
          </cell>
          <cell r="R598" t="str">
            <v>93120151882S</v>
          </cell>
          <cell r="X598" t="str">
            <v>맥로이드_멀티허브G</v>
          </cell>
          <cell r="Y598" t="str">
            <v>맥로이드 멀티 허브 어댑터_그로스</v>
          </cell>
          <cell r="AC598" t="str">
            <v>개당광고비→</v>
          </cell>
          <cell r="AG598" t="str">
            <v>광고X</v>
          </cell>
          <cell r="AH598" t="str">
            <v>광고X</v>
          </cell>
        </row>
        <row r="599">
          <cell r="H599">
            <v>93120151882</v>
          </cell>
          <cell r="I599">
            <v>60455208</v>
          </cell>
          <cell r="R599">
            <v>93120151882</v>
          </cell>
          <cell r="X599" t="str">
            <v>맥로이드_멀티허브G</v>
          </cell>
          <cell r="Y599" t="str">
            <v>C타입멀티허브93120151882</v>
          </cell>
        </row>
        <row r="600">
          <cell r="H600">
            <v>92242613471</v>
          </cell>
          <cell r="J600">
            <v>529</v>
          </cell>
          <cell r="K600">
            <v>25</v>
          </cell>
          <cell r="L600">
            <v>9900</v>
          </cell>
          <cell r="M600">
            <v>9900</v>
          </cell>
          <cell r="N600">
            <v>0</v>
          </cell>
          <cell r="O600">
            <v>9900</v>
          </cell>
          <cell r="Q600">
            <v>9900</v>
          </cell>
          <cell r="R600">
            <v>92242613471</v>
          </cell>
          <cell r="V600">
            <v>14900</v>
          </cell>
          <cell r="W600" t="str">
            <v>https://smartstore.naver.com/sskoreatrade/products/11268180420</v>
          </cell>
          <cell r="X600" t="str">
            <v>뉴클 기타_멀티키트G</v>
          </cell>
          <cell r="Y600" t="str">
            <v>뉴클 멀티 케이블 키트 화이트 1개 그로스</v>
          </cell>
          <cell r="AB600" t="str">
            <v>coupang.com/vp/products/8715754702?itemId=25314213601&amp;vendorItemId=92242613471</v>
          </cell>
          <cell r="AC600">
            <v>1301.8181818181818</v>
          </cell>
          <cell r="AD600">
            <v>130.18181818181819</v>
          </cell>
          <cell r="AE600">
            <v>1432</v>
          </cell>
          <cell r="AG600">
            <v>5934.3636363636351</v>
          </cell>
          <cell r="AH600">
            <v>593.43636363636415</v>
          </cell>
          <cell r="AI600">
            <v>6527.7999999999993</v>
          </cell>
          <cell r="AK600">
            <v>4632.5454545454531</v>
          </cell>
        </row>
        <row r="601">
          <cell r="H601" t="str">
            <v>92242613471AD</v>
          </cell>
          <cell r="R601" t="str">
            <v>92242613471AD</v>
          </cell>
          <cell r="X601" t="str">
            <v>뉴클 기타_멀티키트G</v>
          </cell>
          <cell r="Y601" t="str">
            <v>뉴클 멀티 케이블 키트 화이트 1개 그로스</v>
          </cell>
          <cell r="AB601">
            <v>1</v>
          </cell>
          <cell r="AC601">
            <v>4132.5454545454531</v>
          </cell>
          <cell r="AG601">
            <v>1</v>
          </cell>
        </row>
        <row r="602">
          <cell r="H602" t="str">
            <v>92242613471S</v>
          </cell>
          <cell r="R602" t="str">
            <v>92242613471S</v>
          </cell>
          <cell r="X602" t="str">
            <v>뉴클 기타_멀티키트G</v>
          </cell>
          <cell r="Y602" t="str">
            <v>뉴클 멀티 케이블 키트 화이트 1개 그로스</v>
          </cell>
          <cell r="AC602" t="str">
            <v>개당광고비→</v>
          </cell>
          <cell r="AG602">
            <v>2364</v>
          </cell>
          <cell r="AH602">
            <v>2364</v>
          </cell>
        </row>
        <row r="603">
          <cell r="H603">
            <v>92242613463</v>
          </cell>
          <cell r="J603">
            <v>402</v>
          </cell>
          <cell r="K603">
            <v>25</v>
          </cell>
          <cell r="L603">
            <v>9900</v>
          </cell>
          <cell r="M603">
            <v>9900</v>
          </cell>
          <cell r="N603">
            <v>0</v>
          </cell>
          <cell r="O603">
            <v>9900</v>
          </cell>
          <cell r="Q603">
            <v>9900</v>
          </cell>
          <cell r="R603">
            <v>92242613463</v>
          </cell>
          <cell r="V603">
            <v>14900</v>
          </cell>
          <cell r="W603" t="str">
            <v>https://smartstore.naver.com/sskoreatrade/products/11268180420</v>
          </cell>
          <cell r="X603" t="str">
            <v>뉴클 기타_멀티키트G</v>
          </cell>
          <cell r="Y603" t="str">
            <v>뉴클 멀티 케이블 키트 블랙 1개 그로스</v>
          </cell>
          <cell r="AB603" t="str">
            <v>coupang.com/vp/products/8518266259?itemId=24675211201&amp;vendorItemId=92242613463</v>
          </cell>
          <cell r="AC603">
            <v>1301.8181818181818</v>
          </cell>
          <cell r="AD603">
            <v>130.18181818181819</v>
          </cell>
          <cell r="AE603">
            <v>1432</v>
          </cell>
          <cell r="AG603">
            <v>5934.3636363636351</v>
          </cell>
          <cell r="AH603">
            <v>593.43636363636415</v>
          </cell>
          <cell r="AI603">
            <v>6527.7999999999993</v>
          </cell>
          <cell r="AK603">
            <v>4632.5454545454531</v>
          </cell>
        </row>
        <row r="604">
          <cell r="H604" t="str">
            <v>92242613463AD</v>
          </cell>
          <cell r="R604" t="str">
            <v>92242613463AD</v>
          </cell>
          <cell r="X604" t="str">
            <v>뉴클 기타_멀티키트G</v>
          </cell>
          <cell r="Y604" t="str">
            <v>뉴클 멀티 케이블 키트 블랙 1개 그로스</v>
          </cell>
          <cell r="AB604">
            <v>-1</v>
          </cell>
          <cell r="AC604">
            <v>-3662.5454545454531</v>
          </cell>
          <cell r="AG604">
            <v>5</v>
          </cell>
        </row>
        <row r="605">
          <cell r="H605" t="str">
            <v>92242613463S</v>
          </cell>
          <cell r="R605" t="str">
            <v>92242613463S</v>
          </cell>
          <cell r="X605" t="str">
            <v>뉴클 기타_멀티키트G</v>
          </cell>
          <cell r="Y605" t="str">
            <v>뉴클 멀티 케이블 키트 블랙 1개 그로스</v>
          </cell>
          <cell r="AC605" t="str">
            <v>개당광고비→</v>
          </cell>
          <cell r="AG605">
            <v>2441</v>
          </cell>
          <cell r="AH605">
            <v>12205</v>
          </cell>
        </row>
        <row r="606">
          <cell r="H606">
            <v>92868674350</v>
          </cell>
          <cell r="J606">
            <v>9</v>
          </cell>
          <cell r="K606">
            <v>226</v>
          </cell>
          <cell r="L606">
            <v>8300</v>
          </cell>
          <cell r="M606">
            <v>8300</v>
          </cell>
          <cell r="N606">
            <v>0</v>
          </cell>
          <cell r="O606">
            <v>0</v>
          </cell>
          <cell r="Q606">
            <v>8300</v>
          </cell>
          <cell r="R606">
            <v>92868674350</v>
          </cell>
          <cell r="V606">
            <v>8200</v>
          </cell>
          <cell r="W606" t="str">
            <v>https://smartstore.naver.com/sskoreatrade/products/11774826486</v>
          </cell>
          <cell r="X606" t="str">
            <v>뉴클 기타_광택용천G</v>
          </cell>
          <cell r="Y606" t="str">
            <v>뉴클 NANO-TEXTURE 스크린 광택용천</v>
          </cell>
          <cell r="AB606" t="str">
            <v>coupang.com/vp/products/8871363775?itemId=25882523297&amp;vendorItemId=92868674350</v>
          </cell>
          <cell r="AC606">
            <v>966.36363636363626</v>
          </cell>
          <cell r="AD606">
            <v>96.636363636363626</v>
          </cell>
          <cell r="AE606">
            <v>1063</v>
          </cell>
          <cell r="AG606">
            <v>4593.272727272727</v>
          </cell>
          <cell r="AH606">
            <v>459.32727272727334</v>
          </cell>
          <cell r="AI606">
            <v>5052.6000000000004</v>
          </cell>
          <cell r="AK606">
            <v>3626.909090909091</v>
          </cell>
        </row>
        <row r="607">
          <cell r="H607" t="str">
            <v>92868674350AD</v>
          </cell>
          <cell r="R607" t="str">
            <v>92868674350AD</v>
          </cell>
          <cell r="X607" t="str">
            <v>뉴클 기타_광택용천G</v>
          </cell>
          <cell r="Y607" t="str">
            <v>뉴클 NANO-TEXTURE 스크린 광택용천</v>
          </cell>
          <cell r="AB607">
            <v>-2</v>
          </cell>
          <cell r="AC607">
            <v>-5473.818181818182</v>
          </cell>
          <cell r="AG607">
            <v>14</v>
          </cell>
        </row>
        <row r="608">
          <cell r="H608" t="str">
            <v>92868674350S</v>
          </cell>
          <cell r="R608" t="str">
            <v>92868674350S</v>
          </cell>
          <cell r="X608" t="str">
            <v>뉴클 기타_광택용천G</v>
          </cell>
          <cell r="Y608" t="str">
            <v>뉴클 NANO-TEXTURE 스크린 광택용천</v>
          </cell>
          <cell r="AC608" t="str">
            <v>개당광고비→</v>
          </cell>
          <cell r="AG608">
            <v>2527.6428571428573</v>
          </cell>
          <cell r="AH608">
            <v>35387</v>
          </cell>
        </row>
        <row r="609">
          <cell r="H609">
            <v>92876152674</v>
          </cell>
          <cell r="J609">
            <v>475</v>
          </cell>
          <cell r="K609">
            <v>226</v>
          </cell>
          <cell r="L609">
            <v>12500</v>
          </cell>
          <cell r="M609">
            <v>12500</v>
          </cell>
          <cell r="N609">
            <v>0</v>
          </cell>
          <cell r="O609">
            <v>0</v>
          </cell>
          <cell r="Q609">
            <v>12500</v>
          </cell>
          <cell r="R609">
            <v>92876152674</v>
          </cell>
          <cell r="X609" t="str">
            <v>뉴클 기타_광택용천G</v>
          </cell>
          <cell r="Y609" t="str">
            <v>뉴클 NANO-TEXTURE 스크린 광택용천, 2P</v>
          </cell>
          <cell r="AB609" t="str">
            <v>coupang.com/vp/products/8873196773?itemId=25890191268&amp;vendorItemId=92876152674</v>
          </cell>
          <cell r="AC609">
            <v>1813.6363636363635</v>
          </cell>
          <cell r="AD609">
            <v>181.36363636363637</v>
          </cell>
          <cell r="AE609">
            <v>1995</v>
          </cell>
          <cell r="AG609">
            <v>7749.9999999999991</v>
          </cell>
          <cell r="AH609">
            <v>775.00000000000091</v>
          </cell>
          <cell r="AI609">
            <v>8525</v>
          </cell>
          <cell r="AK609">
            <v>5936.363636363636</v>
          </cell>
        </row>
        <row r="610">
          <cell r="H610" t="str">
            <v>92876152674AD</v>
          </cell>
          <cell r="R610" t="str">
            <v>92876152674AD</v>
          </cell>
          <cell r="X610" t="str">
            <v>뉴클 기타_광택용천G</v>
          </cell>
          <cell r="Y610" t="str">
            <v>뉴클 NANO-TEXTURE 스크린 광택용천, 2P</v>
          </cell>
          <cell r="AB610">
            <v>5</v>
          </cell>
          <cell r="AC610">
            <v>19631.81818181818</v>
          </cell>
          <cell r="AG610">
            <v>0</v>
          </cell>
        </row>
        <row r="611">
          <cell r="H611" t="str">
            <v>92876152674S</v>
          </cell>
          <cell r="R611" t="str">
            <v>92876152674S</v>
          </cell>
          <cell r="X611" t="str">
            <v>뉴클 기타_광택용천G</v>
          </cell>
          <cell r="Y611" t="str">
            <v>뉴클 NANO-TEXTURE 스크린 광택용천, 2P</v>
          </cell>
          <cell r="AC611" t="str">
            <v>개당광고비→</v>
          </cell>
          <cell r="AG611" t="str">
            <v>광고X</v>
          </cell>
          <cell r="AH611">
            <v>5309</v>
          </cell>
        </row>
        <row r="612">
          <cell r="H612">
            <v>93812857845</v>
          </cell>
          <cell r="J612">
            <v>77</v>
          </cell>
          <cell r="K612">
            <v>2</v>
          </cell>
          <cell r="L612">
            <v>88000</v>
          </cell>
          <cell r="M612">
            <v>88000</v>
          </cell>
          <cell r="N612">
            <v>0</v>
          </cell>
          <cell r="O612">
            <v>0</v>
          </cell>
          <cell r="Q612">
            <v>88000</v>
          </cell>
          <cell r="R612">
            <v>93812857845</v>
          </cell>
          <cell r="X612" t="str">
            <v>한샘_수저살균기_G</v>
          </cell>
          <cell r="Y612" t="str">
            <v>한샘 멀티 수저 살균기 그로스</v>
          </cell>
          <cell r="AB612" t="str">
            <v>coupang.com/vp/products/16414587?itemId=26842981511&amp;vendorItemId=93812857845</v>
          </cell>
          <cell r="AC612">
            <v>40000</v>
          </cell>
          <cell r="AD612">
            <v>4000</v>
          </cell>
          <cell r="AE612">
            <v>44000</v>
          </cell>
          <cell r="AG612">
            <v>70260</v>
          </cell>
          <cell r="AH612">
            <v>7026</v>
          </cell>
          <cell r="AI612">
            <v>77286</v>
          </cell>
          <cell r="AK612">
            <v>30260</v>
          </cell>
        </row>
        <row r="613">
          <cell r="H613" t="str">
            <v>93812857845AD</v>
          </cell>
          <cell r="R613" t="str">
            <v>93812857845AD</v>
          </cell>
          <cell r="X613" t="str">
            <v>한샘_수저살균기_G</v>
          </cell>
          <cell r="Y613" t="str">
            <v>한샘 멀티 수저 살균기 그로스</v>
          </cell>
          <cell r="AB613">
            <v>0</v>
          </cell>
          <cell r="AC613">
            <v>0</v>
          </cell>
          <cell r="AG613" t="str">
            <v>0</v>
          </cell>
        </row>
        <row r="614">
          <cell r="H614" t="str">
            <v>93812857845S</v>
          </cell>
          <cell r="R614" t="str">
            <v>93812857845S</v>
          </cell>
          <cell r="X614" t="str">
            <v>한샘_수저살균기_G</v>
          </cell>
          <cell r="Y614" t="str">
            <v>한샘 멀티 수저 살균기 그로스</v>
          </cell>
          <cell r="AC614" t="str">
            <v>개당광고비→</v>
          </cell>
          <cell r="AG614" t="str">
            <v>광고X</v>
          </cell>
          <cell r="AH614" t="str">
            <v>광고X</v>
          </cell>
        </row>
        <row r="615">
          <cell r="H615">
            <v>92868860002</v>
          </cell>
          <cell r="J615">
            <v>0</v>
          </cell>
          <cell r="K615" t="str">
            <v>-</v>
          </cell>
          <cell r="L615">
            <v>19900</v>
          </cell>
          <cell r="M615">
            <v>19900</v>
          </cell>
          <cell r="N615">
            <v>0</v>
          </cell>
          <cell r="O615">
            <v>0</v>
          </cell>
          <cell r="Q615">
            <v>19900</v>
          </cell>
          <cell r="R615">
            <v>92868860002</v>
          </cell>
          <cell r="X615" t="str">
            <v>웅진_아이스크림_G</v>
          </cell>
          <cell r="Y615" t="str">
            <v>웅진 철판 아이스크림 메이커 그로스</v>
          </cell>
          <cell r="AB615" t="str">
            <v>coupang.com/vp/products/6530564556?itemId=14502929774&amp;vendorItemId=92868860002</v>
          </cell>
          <cell r="AC615">
            <v>5068.181818181818</v>
          </cell>
          <cell r="AD615">
            <v>506.81818181818181</v>
          </cell>
          <cell r="AE615">
            <v>5575</v>
          </cell>
          <cell r="AG615">
            <v>13588.909090909088</v>
          </cell>
          <cell r="AH615">
            <v>1358.890909090911</v>
          </cell>
          <cell r="AI615">
            <v>14947.8</v>
          </cell>
          <cell r="AK615">
            <v>8520.7272727272702</v>
          </cell>
        </row>
        <row r="616">
          <cell r="H616" t="str">
            <v>92868860002AD</v>
          </cell>
          <cell r="R616" t="str">
            <v>92868860002AD</v>
          </cell>
          <cell r="X616" t="str">
            <v>웅진_아이스크림_G</v>
          </cell>
          <cell r="Y616" t="str">
            <v>웅진 철판 아이스크림 메이커 그로스</v>
          </cell>
          <cell r="AB616">
            <v>67</v>
          </cell>
          <cell r="AC616">
            <v>570888.72727272706</v>
          </cell>
          <cell r="AG616" t="str">
            <v>0</v>
          </cell>
        </row>
        <row r="617">
          <cell r="H617" t="str">
            <v>92868860002S</v>
          </cell>
          <cell r="R617" t="str">
            <v>92868860002S</v>
          </cell>
          <cell r="X617" t="str">
            <v>웅진_아이스크림_G</v>
          </cell>
          <cell r="Y617" t="str">
            <v>웅진 철판 아이스크림 메이커 그로스</v>
          </cell>
          <cell r="AC617" t="str">
            <v>개당광고비→</v>
          </cell>
          <cell r="AG617" t="str">
            <v>광고X</v>
          </cell>
          <cell r="AH617" t="str">
            <v>광고X</v>
          </cell>
        </row>
        <row r="619">
          <cell r="H619">
            <v>90299335965</v>
          </cell>
          <cell r="I619">
            <v>47380996</v>
          </cell>
          <cell r="J619">
            <v>481</v>
          </cell>
          <cell r="K619">
            <v>780</v>
          </cell>
          <cell r="L619">
            <v>8600</v>
          </cell>
          <cell r="M619">
            <v>8600</v>
          </cell>
          <cell r="N619">
            <v>13900</v>
          </cell>
          <cell r="O619">
            <v>24900</v>
          </cell>
          <cell r="P619">
            <v>31000</v>
          </cell>
          <cell r="Q619">
            <v>9800</v>
          </cell>
          <cell r="R619">
            <v>90299335965</v>
          </cell>
          <cell r="S619" t="str">
            <v>윤혜주BM</v>
          </cell>
          <cell r="V619">
            <v>8600</v>
          </cell>
          <cell r="W619" t="str">
            <v>https://smartstore.naver.com/sskoreatrade/products/10386524437</v>
          </cell>
          <cell r="X619" t="str">
            <v>뉴클 도킹PD2</v>
          </cell>
          <cell r="Y619" t="str">
            <v>뉴클 PD 도킹 22.5W 보조배터리 8&amp;C 민트</v>
          </cell>
          <cell r="AB619" t="str">
            <v>coupang.com/vp/products/8161058033?itemId=23266975110&amp;vendorItemId=90299335965</v>
          </cell>
          <cell r="AC619">
            <v>4404.545454545454</v>
          </cell>
          <cell r="AD619">
            <v>440.45454545454544</v>
          </cell>
          <cell r="AE619">
            <v>4845</v>
          </cell>
          <cell r="AG619">
            <v>9090.9090909090901</v>
          </cell>
          <cell r="AH619">
            <v>909.09090909090992</v>
          </cell>
          <cell r="AI619">
            <v>10000</v>
          </cell>
          <cell r="AK619">
            <v>4686.363636363636</v>
          </cell>
        </row>
        <row r="620">
          <cell r="H620" t="str">
            <v>90299335965AD</v>
          </cell>
          <cell r="I620">
            <v>47380996</v>
          </cell>
          <cell r="R620" t="str">
            <v>90299335965AD</v>
          </cell>
          <cell r="S620" t="str">
            <v>hyejooisonly@coupang.com</v>
          </cell>
          <cell r="V620" t="str">
            <v>12월2일</v>
          </cell>
          <cell r="X620" t="str">
            <v>뉴클 도킹PD2</v>
          </cell>
          <cell r="Y620" t="str">
            <v>뉴클 PD 도킹 22.5W 보조배터리 8&amp;C 민트</v>
          </cell>
          <cell r="AB620">
            <v>5</v>
          </cell>
          <cell r="AC620">
            <v>23431.81818181818</v>
          </cell>
          <cell r="AG620">
            <v>7</v>
          </cell>
        </row>
        <row r="621">
          <cell r="H621" t="str">
            <v>90299335965S</v>
          </cell>
          <cell r="I621">
            <v>47380996</v>
          </cell>
          <cell r="R621" t="str">
            <v>90299335965S</v>
          </cell>
          <cell r="V621" t="str">
            <v>9800/7월18일/11900/4/30일/13900/4/17일/11900/1/14일</v>
          </cell>
          <cell r="X621" t="str">
            <v>뉴클 도킹PD2</v>
          </cell>
          <cell r="Y621" t="str">
            <v>뉴클 PD 도킹 22.5W 보조배터리 8&amp;C 민트</v>
          </cell>
          <cell r="AC621" t="str">
            <v>개당광고비→</v>
          </cell>
          <cell r="AG621">
            <v>2185.2857142857142</v>
          </cell>
          <cell r="AH621">
            <v>15297</v>
          </cell>
        </row>
        <row r="622">
          <cell r="H622">
            <v>90299335965</v>
          </cell>
          <cell r="I622">
            <v>47380996</v>
          </cell>
          <cell r="R622">
            <v>90299335965</v>
          </cell>
          <cell r="X622" t="str">
            <v>뉴클 도킹PD2</v>
          </cell>
          <cell r="Y622" t="str">
            <v>도킹형보조배터리90299335965</v>
          </cell>
        </row>
        <row r="623">
          <cell r="H623">
            <v>90299335892</v>
          </cell>
          <cell r="I623">
            <v>47380986</v>
          </cell>
          <cell r="J623">
            <v>598</v>
          </cell>
          <cell r="K623">
            <v>780</v>
          </cell>
          <cell r="L623">
            <v>8600</v>
          </cell>
          <cell r="M623">
            <v>8600</v>
          </cell>
          <cell r="N623">
            <v>13900</v>
          </cell>
          <cell r="O623">
            <v>24900</v>
          </cell>
          <cell r="P623">
            <v>31000</v>
          </cell>
          <cell r="Q623">
            <v>9800</v>
          </cell>
          <cell r="R623">
            <v>90299335892</v>
          </cell>
          <cell r="S623" t="str">
            <v>윤혜주BM</v>
          </cell>
          <cell r="V623">
            <v>8600</v>
          </cell>
          <cell r="W623" t="str">
            <v>https://smartstore.naver.com/sskoreatrade/products/10386524437</v>
          </cell>
          <cell r="X623" t="str">
            <v>뉴클 도킹PD2</v>
          </cell>
          <cell r="Y623" t="str">
            <v>뉴클 PD 도킹 22.5W 보조배터리 8&amp;C 베이지</v>
          </cell>
          <cell r="AB623" t="str">
            <v>coupang.com/vp/products/8161058033?itemId=23266975086&amp;vendorItemId=90299335892</v>
          </cell>
          <cell r="AC623">
            <v>4404.545454545454</v>
          </cell>
          <cell r="AD623">
            <v>440.45454545454544</v>
          </cell>
          <cell r="AE623">
            <v>4845</v>
          </cell>
          <cell r="AG623">
            <v>9090.9090909090901</v>
          </cell>
          <cell r="AH623">
            <v>909.09090909090992</v>
          </cell>
          <cell r="AI623">
            <v>10000</v>
          </cell>
          <cell r="AK623">
            <v>4686.363636363636</v>
          </cell>
        </row>
        <row r="624">
          <cell r="H624" t="str">
            <v>90299335892AD</v>
          </cell>
          <cell r="I624">
            <v>47380986</v>
          </cell>
          <cell r="R624" t="str">
            <v>90299335892AD</v>
          </cell>
          <cell r="S624" t="str">
            <v>hyejooisonly@coupang.com</v>
          </cell>
          <cell r="X624" t="str">
            <v>뉴클 도킹PD2</v>
          </cell>
          <cell r="Y624" t="str">
            <v>뉴클 PD 도킹 22.5W 보조배터리 8&amp;C 베이지</v>
          </cell>
          <cell r="AB624">
            <v>-3</v>
          </cell>
          <cell r="AC624">
            <v>-14059.090909090908</v>
          </cell>
          <cell r="AG624">
            <v>45</v>
          </cell>
        </row>
        <row r="625">
          <cell r="H625" t="str">
            <v>90299335892S</v>
          </cell>
          <cell r="I625">
            <v>47380986</v>
          </cell>
          <cell r="R625" t="str">
            <v>90299335892S</v>
          </cell>
          <cell r="X625" t="str">
            <v>뉴클 도킹PD2</v>
          </cell>
          <cell r="Y625" t="str">
            <v>뉴클 PD 도킹 22.5W 보조배터리 8&amp;C 베이지</v>
          </cell>
          <cell r="AC625" t="str">
            <v>개당광고비→</v>
          </cell>
          <cell r="AG625">
            <v>2973.088888888889</v>
          </cell>
          <cell r="AH625">
            <v>133789</v>
          </cell>
        </row>
        <row r="626">
          <cell r="H626">
            <v>90299335892</v>
          </cell>
          <cell r="I626">
            <v>47380986</v>
          </cell>
          <cell r="R626">
            <v>90299335892</v>
          </cell>
          <cell r="X626" t="str">
            <v>뉴클 도킹PD2</v>
          </cell>
          <cell r="Y626" t="str">
            <v>도킹형보조배터리90299335892</v>
          </cell>
        </row>
        <row r="627">
          <cell r="H627">
            <v>90299335941</v>
          </cell>
          <cell r="I627">
            <v>47380994</v>
          </cell>
          <cell r="J627">
            <v>525</v>
          </cell>
          <cell r="K627">
            <v>780</v>
          </cell>
          <cell r="L627">
            <v>8600</v>
          </cell>
          <cell r="M627">
            <v>8600</v>
          </cell>
          <cell r="N627">
            <v>13900</v>
          </cell>
          <cell r="O627">
            <v>24900</v>
          </cell>
          <cell r="P627">
            <v>31000</v>
          </cell>
          <cell r="Q627">
            <v>9800</v>
          </cell>
          <cell r="R627">
            <v>90299335941</v>
          </cell>
          <cell r="S627" t="str">
            <v>윤혜주BM</v>
          </cell>
          <cell r="V627">
            <v>8600</v>
          </cell>
          <cell r="W627" t="str">
            <v>https://smartstore.naver.com/sskoreatrade/products/10386524437</v>
          </cell>
          <cell r="X627" t="str">
            <v>뉴클 도킹PD2</v>
          </cell>
          <cell r="Y627" t="str">
            <v>뉴클 PD 도킹 22.5W 보조배터리 8&amp;C 블랙</v>
          </cell>
          <cell r="AB627" t="str">
            <v>coupang.com/vp/products/8161058033?itemId=23266975105&amp;vendorItemId=90299335941</v>
          </cell>
          <cell r="AC627">
            <v>4404.545454545454</v>
          </cell>
          <cell r="AD627">
            <v>440.45454545454544</v>
          </cell>
          <cell r="AE627">
            <v>4845</v>
          </cell>
          <cell r="AG627">
            <v>9090.9090909090901</v>
          </cell>
          <cell r="AH627">
            <v>909.09090909090992</v>
          </cell>
          <cell r="AI627">
            <v>10000</v>
          </cell>
          <cell r="AK627">
            <v>4686.363636363636</v>
          </cell>
        </row>
        <row r="628">
          <cell r="H628" t="str">
            <v>90299335941AD</v>
          </cell>
          <cell r="I628">
            <v>47380994</v>
          </cell>
          <cell r="R628" t="str">
            <v>90299335941AD</v>
          </cell>
          <cell r="S628" t="str">
            <v>hyejooisonly@coupang.com</v>
          </cell>
          <cell r="X628" t="str">
            <v>뉴클 도킹PD2</v>
          </cell>
          <cell r="Y628" t="str">
            <v>뉴클 PD 도킹 22.5W 보조배터리 8&amp;C 블랙</v>
          </cell>
          <cell r="AB628">
            <v>10</v>
          </cell>
          <cell r="AC628">
            <v>46863.63636363636</v>
          </cell>
          <cell r="AG628">
            <v>4</v>
          </cell>
        </row>
        <row r="629">
          <cell r="H629" t="str">
            <v>90299335941S</v>
          </cell>
          <cell r="I629">
            <v>47380994</v>
          </cell>
          <cell r="R629" t="str">
            <v>90299335941S</v>
          </cell>
          <cell r="X629" t="str">
            <v>뉴클 도킹PD2</v>
          </cell>
          <cell r="Y629" t="str">
            <v>뉴클 PD 도킹 22.5W 보조배터리 8&amp;C 블랙</v>
          </cell>
          <cell r="AC629" t="str">
            <v>개당광고비→</v>
          </cell>
          <cell r="AG629">
            <v>1850</v>
          </cell>
          <cell r="AH629">
            <v>7400</v>
          </cell>
        </row>
        <row r="630">
          <cell r="H630">
            <v>90299335941</v>
          </cell>
          <cell r="I630">
            <v>47380994</v>
          </cell>
          <cell r="R630">
            <v>90299335941</v>
          </cell>
          <cell r="X630" t="str">
            <v>뉴클 도킹PD2</v>
          </cell>
          <cell r="Y630" t="str">
            <v>도킹형보조배터리90299335941</v>
          </cell>
        </row>
        <row r="631">
          <cell r="H631">
            <v>90299335980</v>
          </cell>
          <cell r="I631">
            <v>47380998</v>
          </cell>
          <cell r="J631">
            <v>575</v>
          </cell>
          <cell r="K631">
            <v>780</v>
          </cell>
          <cell r="L631">
            <v>8600</v>
          </cell>
          <cell r="M631">
            <v>8600</v>
          </cell>
          <cell r="N631">
            <v>13900</v>
          </cell>
          <cell r="O631">
            <v>24900</v>
          </cell>
          <cell r="P631">
            <v>31000</v>
          </cell>
          <cell r="Q631">
            <v>9800</v>
          </cell>
          <cell r="R631">
            <v>90299335980</v>
          </cell>
          <cell r="S631" t="str">
            <v>윤혜주BM</v>
          </cell>
          <cell r="V631">
            <v>8600</v>
          </cell>
          <cell r="W631" t="str">
            <v>https://smartstore.naver.com/sskoreatrade/products/10386524437</v>
          </cell>
          <cell r="X631" t="str">
            <v>뉴클 도킹PD2</v>
          </cell>
          <cell r="Y631" t="str">
            <v>뉴클 PD 도킹 22.5W 보조배터리 8&amp;C 퍼플</v>
          </cell>
          <cell r="AB631" t="str">
            <v>coupang.com/vp/products/8161058033?itemId=23266975115&amp;vendorItemId=90299335980</v>
          </cell>
          <cell r="AC631">
            <v>4404.545454545454</v>
          </cell>
          <cell r="AD631">
            <v>440.45454545454544</v>
          </cell>
          <cell r="AE631">
            <v>4845</v>
          </cell>
          <cell r="AG631">
            <v>9090.9090909090901</v>
          </cell>
          <cell r="AH631">
            <v>909.09090909090992</v>
          </cell>
          <cell r="AI631">
            <v>10000</v>
          </cell>
          <cell r="AK631">
            <v>4686.363636363636</v>
          </cell>
        </row>
        <row r="632">
          <cell r="H632" t="str">
            <v>90299335980AD</v>
          </cell>
          <cell r="I632">
            <v>47380998</v>
          </cell>
          <cell r="R632" t="str">
            <v>90299335980AD</v>
          </cell>
          <cell r="S632" t="str">
            <v>hyejooisonly@coupang.com</v>
          </cell>
          <cell r="X632" t="str">
            <v>뉴클 도킹PD2</v>
          </cell>
          <cell r="Y632" t="str">
            <v>뉴클 PD 도킹 22.5W 보조배터리 8&amp;C 퍼플</v>
          </cell>
          <cell r="AB632">
            <v>8</v>
          </cell>
          <cell r="AC632">
            <v>37490.909090909088</v>
          </cell>
          <cell r="AG632">
            <v>4</v>
          </cell>
        </row>
        <row r="633">
          <cell r="H633" t="str">
            <v>90299335980S</v>
          </cell>
          <cell r="I633">
            <v>47380998</v>
          </cell>
          <cell r="R633" t="str">
            <v>90299335980S</v>
          </cell>
          <cell r="X633" t="str">
            <v>뉴클 도킹PD2</v>
          </cell>
          <cell r="Y633" t="str">
            <v>뉴클 PD 도킹 22.5W 보조배터리 8&amp;C 퍼플</v>
          </cell>
          <cell r="AC633" t="str">
            <v>개당광고비→</v>
          </cell>
          <cell r="AG633">
            <v>5249.5</v>
          </cell>
          <cell r="AH633">
            <v>20998</v>
          </cell>
        </row>
        <row r="634">
          <cell r="H634">
            <v>90299335980</v>
          </cell>
          <cell r="I634">
            <v>47380998</v>
          </cell>
          <cell r="R634">
            <v>90299335980</v>
          </cell>
          <cell r="X634" t="str">
            <v>뉴클 도킹PD2</v>
          </cell>
          <cell r="Y634" t="str">
            <v>도킹형보조배터리90299335980</v>
          </cell>
        </row>
        <row r="635">
          <cell r="H635">
            <v>90299335908</v>
          </cell>
          <cell r="I635">
            <v>47380988</v>
          </cell>
          <cell r="J635">
            <v>1371</v>
          </cell>
          <cell r="K635">
            <v>780</v>
          </cell>
          <cell r="L635">
            <v>8600</v>
          </cell>
          <cell r="M635">
            <v>8600</v>
          </cell>
          <cell r="N635">
            <v>13900</v>
          </cell>
          <cell r="O635">
            <v>24900</v>
          </cell>
          <cell r="P635">
            <v>31000</v>
          </cell>
          <cell r="Q635">
            <v>9800</v>
          </cell>
          <cell r="R635">
            <v>90299335908</v>
          </cell>
          <cell r="S635" t="str">
            <v>윤혜주BM</v>
          </cell>
          <cell r="V635">
            <v>8600</v>
          </cell>
          <cell r="W635" t="str">
            <v>https://smartstore.naver.com/sskoreatrade/products/10386524437</v>
          </cell>
          <cell r="X635" t="str">
            <v>뉴클 도킹PD2</v>
          </cell>
          <cell r="Y635" t="str">
            <v>뉴클 PD 도킹 22.5W 보조배터리 8&amp;C 핑크</v>
          </cell>
          <cell r="AB635" t="str">
            <v>coupang.com/vp/products/8161058033?itemId=23266975094&amp;vendorItemId=90299335908</v>
          </cell>
          <cell r="AC635">
            <v>4404.545454545454</v>
          </cell>
          <cell r="AD635">
            <v>440.45454545454544</v>
          </cell>
          <cell r="AE635">
            <v>4845</v>
          </cell>
          <cell r="AG635">
            <v>9090.9090909090901</v>
          </cell>
          <cell r="AH635">
            <v>909.09090909090992</v>
          </cell>
          <cell r="AI635">
            <v>10000</v>
          </cell>
          <cell r="AK635">
            <v>4686.363636363636</v>
          </cell>
        </row>
        <row r="636">
          <cell r="H636" t="str">
            <v>90299335908AD</v>
          </cell>
          <cell r="I636">
            <v>47380988</v>
          </cell>
          <cell r="R636" t="str">
            <v>90299335908AD</v>
          </cell>
          <cell r="S636" t="str">
            <v>hyejooisonly@coupang.com</v>
          </cell>
          <cell r="X636" t="str">
            <v>뉴클 도킹PD2</v>
          </cell>
          <cell r="Y636" t="str">
            <v>뉴클 PD 도킹 22.5W 보조배터리 8&amp;C 핑크</v>
          </cell>
          <cell r="AB636">
            <v>10</v>
          </cell>
          <cell r="AC636">
            <v>46863.63636363636</v>
          </cell>
          <cell r="AG636">
            <v>14</v>
          </cell>
        </row>
        <row r="637">
          <cell r="H637" t="str">
            <v>90299335908S</v>
          </cell>
          <cell r="I637">
            <v>47380988</v>
          </cell>
          <cell r="R637" t="str">
            <v>90299335908S</v>
          </cell>
          <cell r="X637" t="str">
            <v>뉴클 도킹PD2</v>
          </cell>
          <cell r="Y637" t="str">
            <v>뉴클 PD 도킹 22.5W 보조배터리 8&amp;C 핑크</v>
          </cell>
          <cell r="AC637" t="str">
            <v>개당광고비→</v>
          </cell>
          <cell r="AG637">
            <v>4549.2142857142853</v>
          </cell>
          <cell r="AH637">
            <v>63689</v>
          </cell>
        </row>
        <row r="638">
          <cell r="H638">
            <v>90299335908</v>
          </cell>
          <cell r="I638">
            <v>47380988</v>
          </cell>
          <cell r="R638">
            <v>90299335908</v>
          </cell>
          <cell r="X638" t="str">
            <v>뉴클 도킹PD2</v>
          </cell>
          <cell r="Y638" t="str">
            <v>도킹형보조배터리90299335908</v>
          </cell>
        </row>
        <row r="639">
          <cell r="H639">
            <v>90299335924</v>
          </cell>
          <cell r="I639">
            <v>47380991</v>
          </cell>
          <cell r="J639">
            <v>962</v>
          </cell>
          <cell r="K639">
            <v>780</v>
          </cell>
          <cell r="L639">
            <v>8600</v>
          </cell>
          <cell r="M639">
            <v>8600</v>
          </cell>
          <cell r="N639">
            <v>16900</v>
          </cell>
          <cell r="O639">
            <v>24900</v>
          </cell>
          <cell r="P639">
            <v>31000</v>
          </cell>
          <cell r="Q639">
            <v>9800</v>
          </cell>
          <cell r="R639">
            <v>90299335924</v>
          </cell>
          <cell r="S639" t="str">
            <v>윤혜주BM</v>
          </cell>
          <cell r="V639">
            <v>8600</v>
          </cell>
          <cell r="W639" t="str">
            <v>https://smartstore.naver.com/sskoreatrade/products/10386524437</v>
          </cell>
          <cell r="X639" t="str">
            <v>뉴클 도킹PD2</v>
          </cell>
          <cell r="Y639" t="str">
            <v>뉴클 PD 도킹 22.5W 보조배터리 8&amp;C 화이트</v>
          </cell>
          <cell r="AB639" t="str">
            <v>coupang.com/vp/products/8161058033?itemId=23266975099&amp;vendorItemId=90299335924</v>
          </cell>
          <cell r="AC639">
            <v>4404.545454545454</v>
          </cell>
          <cell r="AD639">
            <v>440.45454545454544</v>
          </cell>
          <cell r="AE639">
            <v>4845</v>
          </cell>
          <cell r="AG639">
            <v>9090.9090909090901</v>
          </cell>
          <cell r="AH639">
            <v>909.09090909090992</v>
          </cell>
          <cell r="AI639">
            <v>10000</v>
          </cell>
          <cell r="AK639">
            <v>4686.363636363636</v>
          </cell>
        </row>
        <row r="640">
          <cell r="H640" t="str">
            <v>90299335924AD</v>
          </cell>
          <cell r="I640">
            <v>47380991</v>
          </cell>
          <cell r="R640" t="str">
            <v>90299335924AD</v>
          </cell>
          <cell r="S640" t="str">
            <v>hyejooisonly@coupang.com</v>
          </cell>
          <cell r="X640" t="str">
            <v>뉴클 도킹PD2</v>
          </cell>
          <cell r="Y640" t="str">
            <v>뉴클 PD 도킹 22.5W 보조배터리 8&amp;C 화이트</v>
          </cell>
          <cell r="AB640">
            <v>9</v>
          </cell>
          <cell r="AC640">
            <v>42177.272727272721</v>
          </cell>
          <cell r="AG640">
            <v>30</v>
          </cell>
        </row>
        <row r="641">
          <cell r="H641" t="str">
            <v>90299335924S</v>
          </cell>
          <cell r="I641">
            <v>47380991</v>
          </cell>
          <cell r="R641" t="str">
            <v>90299335924S</v>
          </cell>
          <cell r="X641" t="str">
            <v>뉴클 도킹PD2</v>
          </cell>
          <cell r="Y641" t="str">
            <v>뉴클 PD 도킹 22.5W 보조배터리 8&amp;C 화이트</v>
          </cell>
          <cell r="AC641" t="str">
            <v>개당광고비→</v>
          </cell>
          <cell r="AG641">
            <v>2152.1333333333332</v>
          </cell>
          <cell r="AH641">
            <v>64564</v>
          </cell>
        </row>
        <row r="642">
          <cell r="H642">
            <v>90299335924</v>
          </cell>
          <cell r="I642">
            <v>47380991</v>
          </cell>
          <cell r="R642">
            <v>90299335924</v>
          </cell>
          <cell r="X642" t="str">
            <v>뉴클 도킹PD2</v>
          </cell>
          <cell r="Y642" t="str">
            <v>도킹형보조배터리90299335924</v>
          </cell>
        </row>
        <row r="643">
          <cell r="H643">
            <v>90299335885</v>
          </cell>
          <cell r="I643">
            <v>47380987</v>
          </cell>
          <cell r="J643">
            <v>268</v>
          </cell>
          <cell r="K643">
            <v>780</v>
          </cell>
          <cell r="L643">
            <v>8600</v>
          </cell>
          <cell r="M643">
            <v>8600</v>
          </cell>
          <cell r="N643">
            <v>13900</v>
          </cell>
          <cell r="O643">
            <v>24900</v>
          </cell>
          <cell r="P643">
            <v>31000</v>
          </cell>
          <cell r="Q643">
            <v>9800</v>
          </cell>
          <cell r="R643">
            <v>90299335885</v>
          </cell>
          <cell r="S643" t="str">
            <v>윤혜주BM</v>
          </cell>
          <cell r="V643">
            <v>8600</v>
          </cell>
          <cell r="W643" t="str">
            <v>https://smartstore.naver.com/innerjoy/products/11438116590</v>
          </cell>
          <cell r="X643" t="str">
            <v>뉴클 도킹PD2</v>
          </cell>
          <cell r="Y643" t="str">
            <v>뉴클 PD 도킹 22.5W 보조배터리 C&amp;8 민트</v>
          </cell>
          <cell r="AB643" t="str">
            <v>coupang.com/vp/products/8161058031?itemId=23266975074&amp;vendorItemId=90299335885</v>
          </cell>
          <cell r="AC643">
            <v>4368.181818181818</v>
          </cell>
          <cell r="AD643">
            <v>436.81818181818181</v>
          </cell>
          <cell r="AE643">
            <v>4805</v>
          </cell>
          <cell r="AG643">
            <v>9090.9090909090901</v>
          </cell>
          <cell r="AH643">
            <v>909.09090909090992</v>
          </cell>
          <cell r="AI643">
            <v>10000</v>
          </cell>
          <cell r="AK643">
            <v>4722.7272727272721</v>
          </cell>
        </row>
        <row r="644">
          <cell r="H644" t="str">
            <v>90299335885AD</v>
          </cell>
          <cell r="I644">
            <v>47380987</v>
          </cell>
          <cell r="R644" t="str">
            <v>90299335885AD</v>
          </cell>
          <cell r="S644" t="str">
            <v>hyejooisonly@coupang.com</v>
          </cell>
          <cell r="X644" t="str">
            <v>뉴클 도킹PD2</v>
          </cell>
          <cell r="Y644" t="str">
            <v>뉴클 PD 도킹 22.5W 보조배터리 C&amp;8 민트</v>
          </cell>
          <cell r="AB644">
            <v>6</v>
          </cell>
          <cell r="AC644">
            <v>28336.363636363632</v>
          </cell>
          <cell r="AG644">
            <v>3</v>
          </cell>
        </row>
        <row r="645">
          <cell r="H645" t="str">
            <v>90299335885S</v>
          </cell>
          <cell r="I645">
            <v>47380987</v>
          </cell>
          <cell r="R645" t="str">
            <v>90299335885S</v>
          </cell>
          <cell r="X645" t="str">
            <v>뉴클 도킹PD2</v>
          </cell>
          <cell r="Y645" t="str">
            <v>뉴클 PD 도킹 22.5W 보조배터리 C&amp;8 민트</v>
          </cell>
          <cell r="AC645" t="str">
            <v>개당광고비→</v>
          </cell>
          <cell r="AG645">
            <v>8136</v>
          </cell>
          <cell r="AH645">
            <v>24408</v>
          </cell>
        </row>
        <row r="646">
          <cell r="H646">
            <v>90299335885</v>
          </cell>
          <cell r="I646">
            <v>47380987</v>
          </cell>
          <cell r="R646">
            <v>90299335885</v>
          </cell>
          <cell r="X646" t="str">
            <v>뉴클 도킹PD2</v>
          </cell>
          <cell r="Y646" t="str">
            <v>도킹형보조배터리90299335885</v>
          </cell>
        </row>
        <row r="647">
          <cell r="H647">
            <v>90299335979</v>
          </cell>
          <cell r="I647">
            <v>47380997</v>
          </cell>
          <cell r="J647">
            <v>432</v>
          </cell>
          <cell r="K647">
            <v>780</v>
          </cell>
          <cell r="L647">
            <v>8600</v>
          </cell>
          <cell r="M647">
            <v>8600</v>
          </cell>
          <cell r="N647">
            <v>16900</v>
          </cell>
          <cell r="O647">
            <v>24900</v>
          </cell>
          <cell r="P647">
            <v>31000</v>
          </cell>
          <cell r="Q647">
            <v>9800</v>
          </cell>
          <cell r="R647">
            <v>90299335979</v>
          </cell>
          <cell r="S647" t="str">
            <v>윤혜주BM</v>
          </cell>
          <cell r="V647">
            <v>8600</v>
          </cell>
          <cell r="W647" t="str">
            <v>https://smartstore.naver.com/innerjoy/products/11438116590</v>
          </cell>
          <cell r="X647" t="str">
            <v>뉴클 도킹PD2</v>
          </cell>
          <cell r="Y647" t="str">
            <v>뉴클 PD 도킹 22.5W 보조배터리 C&amp;8 베이지</v>
          </cell>
          <cell r="AB647" t="str">
            <v>coupang.com/vp/products/8161058031?itemId=23266975102&amp;vendorItemId=90299335979</v>
          </cell>
          <cell r="AC647">
            <v>4368.181818181818</v>
          </cell>
          <cell r="AD647">
            <v>436.81818181818181</v>
          </cell>
          <cell r="AE647">
            <v>4805</v>
          </cell>
          <cell r="AG647">
            <v>9090.9090909090901</v>
          </cell>
          <cell r="AH647">
            <v>909.09090909090992</v>
          </cell>
          <cell r="AI647">
            <v>10000</v>
          </cell>
          <cell r="AK647">
            <v>4722.7272727272721</v>
          </cell>
        </row>
        <row r="648">
          <cell r="H648" t="str">
            <v>90299335979AD</v>
          </cell>
          <cell r="I648">
            <v>47380997</v>
          </cell>
          <cell r="R648" t="str">
            <v>90299335979AD</v>
          </cell>
          <cell r="S648" t="str">
            <v>hyejooisonly@coupang.com</v>
          </cell>
          <cell r="X648" t="str">
            <v>뉴클 도킹PD2</v>
          </cell>
          <cell r="Y648" t="str">
            <v>뉴클 PD 도킹 22.5W 보조배터리 C&amp;8 베이지</v>
          </cell>
          <cell r="AB648">
            <v>-1</v>
          </cell>
          <cell r="AC648">
            <v>-4722.7272727272721</v>
          </cell>
          <cell r="AG648">
            <v>3</v>
          </cell>
        </row>
        <row r="649">
          <cell r="H649" t="str">
            <v>90299335979S</v>
          </cell>
          <cell r="I649">
            <v>47380997</v>
          </cell>
          <cell r="R649" t="str">
            <v>90299335979S</v>
          </cell>
          <cell r="X649" t="str">
            <v>뉴클 도킹PD2</v>
          </cell>
          <cell r="Y649" t="str">
            <v>뉴클 PD 도킹 22.5W 보조배터리 C&amp;8 베이지</v>
          </cell>
          <cell r="AC649" t="str">
            <v>개당광고비→</v>
          </cell>
          <cell r="AG649">
            <v>6662.333333333333</v>
          </cell>
          <cell r="AH649">
            <v>19987</v>
          </cell>
        </row>
        <row r="650">
          <cell r="H650">
            <v>90299335979</v>
          </cell>
          <cell r="I650">
            <v>47380997</v>
          </cell>
          <cell r="R650">
            <v>90299335979</v>
          </cell>
          <cell r="X650" t="str">
            <v>뉴클 도킹PD2</v>
          </cell>
          <cell r="Y650" t="str">
            <v>도킹형보조배터리90299335979</v>
          </cell>
        </row>
        <row r="651">
          <cell r="H651">
            <v>90299335904</v>
          </cell>
          <cell r="I651">
            <v>47380989</v>
          </cell>
          <cell r="J651">
            <v>730</v>
          </cell>
          <cell r="K651">
            <v>780</v>
          </cell>
          <cell r="L651">
            <v>8600</v>
          </cell>
          <cell r="M651">
            <v>8600</v>
          </cell>
          <cell r="N651">
            <v>13900</v>
          </cell>
          <cell r="O651">
            <v>24900</v>
          </cell>
          <cell r="P651">
            <v>31000</v>
          </cell>
          <cell r="Q651">
            <v>9800</v>
          </cell>
          <cell r="R651">
            <v>90299335904</v>
          </cell>
          <cell r="S651" t="str">
            <v>윤혜주BM</v>
          </cell>
          <cell r="V651">
            <v>8600</v>
          </cell>
          <cell r="W651" t="str">
            <v>https://smartstore.naver.com/innerjoy/products/11438116590</v>
          </cell>
          <cell r="X651" t="str">
            <v>뉴클 도킹PD2</v>
          </cell>
          <cell r="Y651" t="str">
            <v>뉴클 PD 도킹 22.5W 보조배터리 C&amp;8 블랙</v>
          </cell>
          <cell r="AB651" t="str">
            <v>coupang.com/vp/products/8161058031?itemId=23266975081&amp;vendorItemId=90299335904</v>
          </cell>
          <cell r="AC651">
            <v>4368.181818181818</v>
          </cell>
          <cell r="AD651">
            <v>436.81818181818181</v>
          </cell>
          <cell r="AE651">
            <v>4805</v>
          </cell>
          <cell r="AG651">
            <v>9090.9090909090901</v>
          </cell>
          <cell r="AH651">
            <v>909.09090909090992</v>
          </cell>
          <cell r="AI651">
            <v>10000</v>
          </cell>
          <cell r="AK651">
            <v>4722.7272727272721</v>
          </cell>
        </row>
        <row r="652">
          <cell r="H652" t="str">
            <v>90299335904AD</v>
          </cell>
          <cell r="I652">
            <v>47380989</v>
          </cell>
          <cell r="R652" t="str">
            <v>90299335904AD</v>
          </cell>
          <cell r="S652" t="str">
            <v>hyejooisonly@coupang.com</v>
          </cell>
          <cell r="X652" t="str">
            <v>뉴클 도킹PD2</v>
          </cell>
          <cell r="Y652" t="str">
            <v>뉴클 PD 도킹 22.5W 보조배터리 C&amp;8 블랙</v>
          </cell>
          <cell r="AB652">
            <v>6</v>
          </cell>
          <cell r="AC652">
            <v>28336.363636363632</v>
          </cell>
          <cell r="AG652">
            <v>7</v>
          </cell>
        </row>
        <row r="653">
          <cell r="H653" t="str">
            <v>90299335904S</v>
          </cell>
          <cell r="I653">
            <v>47380989</v>
          </cell>
          <cell r="R653" t="str">
            <v>90299335904S</v>
          </cell>
          <cell r="X653" t="str">
            <v>뉴클 도킹PD2</v>
          </cell>
          <cell r="Y653" t="str">
            <v>뉴클 PD 도킹 22.5W 보조배터리 C&amp;8 블랙</v>
          </cell>
          <cell r="AC653" t="str">
            <v>개당광고비→</v>
          </cell>
          <cell r="AG653">
            <v>8127.5714285714284</v>
          </cell>
          <cell r="AH653">
            <v>56893</v>
          </cell>
        </row>
        <row r="654">
          <cell r="H654">
            <v>90299335904</v>
          </cell>
          <cell r="I654">
            <v>47380989</v>
          </cell>
          <cell r="R654">
            <v>90299335904</v>
          </cell>
          <cell r="X654" t="str">
            <v>뉴클 도킹PD2</v>
          </cell>
          <cell r="Y654" t="str">
            <v>도킹형보조배터리90299335904</v>
          </cell>
        </row>
        <row r="655">
          <cell r="H655">
            <v>90299335957</v>
          </cell>
          <cell r="I655">
            <v>47380995</v>
          </cell>
          <cell r="J655">
            <v>719</v>
          </cell>
          <cell r="K655">
            <v>780</v>
          </cell>
          <cell r="L655">
            <v>8600</v>
          </cell>
          <cell r="M655">
            <v>8600</v>
          </cell>
          <cell r="N655">
            <v>16900</v>
          </cell>
          <cell r="O655">
            <v>24900</v>
          </cell>
          <cell r="P655">
            <v>31000</v>
          </cell>
          <cell r="Q655">
            <v>9800</v>
          </cell>
          <cell r="R655">
            <v>90299335957</v>
          </cell>
          <cell r="S655" t="str">
            <v>윤혜주BM</v>
          </cell>
          <cell r="V655">
            <v>8600</v>
          </cell>
          <cell r="W655" t="str">
            <v>https://smartstore.naver.com/innerjoy/products/11438116590</v>
          </cell>
          <cell r="X655" t="str">
            <v>뉴클 도킹PD2</v>
          </cell>
          <cell r="Y655" t="str">
            <v>뉴클 PD 도킹 22.5W 보조배터리 C&amp;8 퍼플</v>
          </cell>
          <cell r="AB655" t="str">
            <v>coupang.com/vp/products/8161058031?itemId=23266975097&amp;vendorItemId=90299335957</v>
          </cell>
          <cell r="AC655">
            <v>4368.181818181818</v>
          </cell>
          <cell r="AD655">
            <v>436.81818181818181</v>
          </cell>
          <cell r="AE655">
            <v>4805</v>
          </cell>
          <cell r="AG655">
            <v>9090.9090909090901</v>
          </cell>
          <cell r="AH655">
            <v>909.09090909090992</v>
          </cell>
          <cell r="AI655">
            <v>10000</v>
          </cell>
          <cell r="AK655">
            <v>4722.7272727272721</v>
          </cell>
        </row>
        <row r="656">
          <cell r="H656" t="str">
            <v>90299335957AD</v>
          </cell>
          <cell r="I656">
            <v>47380995</v>
          </cell>
          <cell r="R656" t="str">
            <v>90299335957AD</v>
          </cell>
          <cell r="S656" t="str">
            <v>hyejooisonly@coupang.com</v>
          </cell>
          <cell r="X656" t="str">
            <v>뉴클 도킹PD2</v>
          </cell>
          <cell r="Y656" t="str">
            <v>뉴클 PD 도킹 22.5W 보조배터리 C&amp;8 퍼플</v>
          </cell>
          <cell r="AB656">
            <v>-4</v>
          </cell>
          <cell r="AC656">
            <v>-18890.909090909088</v>
          </cell>
          <cell r="AG656">
            <v>8</v>
          </cell>
        </row>
        <row r="657">
          <cell r="H657" t="str">
            <v>90299335957S</v>
          </cell>
          <cell r="I657">
            <v>47380995</v>
          </cell>
          <cell r="R657" t="str">
            <v>90299335957S</v>
          </cell>
          <cell r="X657" t="str">
            <v>뉴클 도킹PD2</v>
          </cell>
          <cell r="Y657" t="str">
            <v>뉴클 PD 도킹 22.5W 보조배터리 C&amp;8 퍼플</v>
          </cell>
          <cell r="AC657" t="str">
            <v>개당광고비→</v>
          </cell>
          <cell r="AG657">
            <v>2654.875</v>
          </cell>
          <cell r="AH657">
            <v>21239</v>
          </cell>
        </row>
        <row r="658">
          <cell r="H658">
            <v>90299335957</v>
          </cell>
          <cell r="I658">
            <v>47380995</v>
          </cell>
          <cell r="R658">
            <v>90299335957</v>
          </cell>
          <cell r="X658" t="str">
            <v>뉴클 도킹PD2</v>
          </cell>
          <cell r="Y658" t="str">
            <v>도킹형보조배터리90299335957</v>
          </cell>
        </row>
        <row r="659">
          <cell r="H659">
            <v>90299335921</v>
          </cell>
          <cell r="I659">
            <v>47380992</v>
          </cell>
          <cell r="J659">
            <v>934</v>
          </cell>
          <cell r="K659">
            <v>780</v>
          </cell>
          <cell r="L659">
            <v>8600</v>
          </cell>
          <cell r="M659">
            <v>8600</v>
          </cell>
          <cell r="N659">
            <v>13900</v>
          </cell>
          <cell r="O659">
            <v>24900</v>
          </cell>
          <cell r="P659">
            <v>31000</v>
          </cell>
          <cell r="Q659">
            <v>9800</v>
          </cell>
          <cell r="R659">
            <v>90299335921</v>
          </cell>
          <cell r="S659" t="str">
            <v>윤혜주BM</v>
          </cell>
          <cell r="V659">
            <v>8600</v>
          </cell>
          <cell r="W659" t="str">
            <v>https://smartstore.naver.com/innerjoy/products/11438116590</v>
          </cell>
          <cell r="X659" t="str">
            <v>뉴클 도킹PD2</v>
          </cell>
          <cell r="Y659" t="str">
            <v>뉴클 PD 도킹 22.5W 보조배터리 C&amp;8 핑크</v>
          </cell>
          <cell r="AB659" t="str">
            <v>coupang.com/vp/products/8161058031?itemId=23266975087&amp;vendorItemId=90299335921</v>
          </cell>
          <cell r="AC659">
            <v>4368.181818181818</v>
          </cell>
          <cell r="AD659">
            <v>436.81818181818181</v>
          </cell>
          <cell r="AE659">
            <v>4805</v>
          </cell>
          <cell r="AG659">
            <v>9090.9090909090901</v>
          </cell>
          <cell r="AH659">
            <v>909.09090909090992</v>
          </cell>
          <cell r="AI659">
            <v>10000</v>
          </cell>
          <cell r="AK659">
            <v>4722.7272727272721</v>
          </cell>
        </row>
        <row r="660">
          <cell r="H660" t="str">
            <v>90299335921AD</v>
          </cell>
          <cell r="I660">
            <v>47380992</v>
          </cell>
          <cell r="R660" t="str">
            <v>90299335921AD</v>
          </cell>
          <cell r="S660" t="str">
            <v>hyejooisonly@coupang.com</v>
          </cell>
          <cell r="X660" t="str">
            <v>뉴클 도킹PD2</v>
          </cell>
          <cell r="Y660" t="str">
            <v>뉴클 PD 도킹 22.5W 보조배터리 C&amp;8 핑크</v>
          </cell>
          <cell r="AB660">
            <v>3</v>
          </cell>
          <cell r="AC660">
            <v>14168.181818181816</v>
          </cell>
          <cell r="AG660">
            <v>2</v>
          </cell>
        </row>
        <row r="661">
          <cell r="H661" t="str">
            <v>90299335921S</v>
          </cell>
          <cell r="I661">
            <v>47380992</v>
          </cell>
          <cell r="R661" t="str">
            <v>90299335921S</v>
          </cell>
          <cell r="X661" t="str">
            <v>뉴클 도킹PD2</v>
          </cell>
          <cell r="Y661" t="str">
            <v>뉴클 PD 도킹 22.5W 보조배터리 C&amp;8 핑크</v>
          </cell>
          <cell r="AC661" t="str">
            <v>개당광고비→</v>
          </cell>
          <cell r="AG661">
            <v>9369</v>
          </cell>
          <cell r="AH661">
            <v>18738</v>
          </cell>
        </row>
        <row r="662">
          <cell r="H662">
            <v>90299335921</v>
          </cell>
          <cell r="I662">
            <v>47380992</v>
          </cell>
          <cell r="R662">
            <v>90299335921</v>
          </cell>
          <cell r="X662" t="str">
            <v>뉴클 도킹PD2</v>
          </cell>
          <cell r="Y662" t="str">
            <v>도킹형보조배터리90299335921</v>
          </cell>
        </row>
        <row r="663">
          <cell r="H663">
            <v>90299335939</v>
          </cell>
          <cell r="I663">
            <v>47380993</v>
          </cell>
          <cell r="J663">
            <v>1202</v>
          </cell>
          <cell r="K663">
            <v>780</v>
          </cell>
          <cell r="L663">
            <v>8600</v>
          </cell>
          <cell r="M663">
            <v>8600</v>
          </cell>
          <cell r="N663">
            <v>13900</v>
          </cell>
          <cell r="O663">
            <v>24900</v>
          </cell>
          <cell r="P663">
            <v>31000</v>
          </cell>
          <cell r="Q663">
            <v>9800</v>
          </cell>
          <cell r="R663">
            <v>90299335939</v>
          </cell>
          <cell r="S663" t="str">
            <v>윤혜주BM</v>
          </cell>
          <cell r="V663">
            <v>8600</v>
          </cell>
          <cell r="W663" t="str">
            <v>https://smartstore.naver.com/innerjoy/products/11438116590</v>
          </cell>
          <cell r="X663" t="str">
            <v>뉴클 도킹PD2</v>
          </cell>
          <cell r="Y663" t="str">
            <v>뉴클 PD 도킹 22.5W 보조배터리 C&amp;8 화이트</v>
          </cell>
          <cell r="AB663" t="str">
            <v>coupang.com/vp/products/8161058031?itemId=23266975093&amp;vendorItemId=90299335939</v>
          </cell>
          <cell r="AC663">
            <v>4368.181818181818</v>
          </cell>
          <cell r="AD663">
            <v>436.81818181818181</v>
          </cell>
          <cell r="AE663">
            <v>4805</v>
          </cell>
          <cell r="AG663">
            <v>9090.9090909090901</v>
          </cell>
          <cell r="AH663">
            <v>909.09090909090992</v>
          </cell>
          <cell r="AI663">
            <v>10000</v>
          </cell>
          <cell r="AK663">
            <v>4722.7272727272721</v>
          </cell>
        </row>
        <row r="664">
          <cell r="H664" t="str">
            <v>90299335939AD</v>
          </cell>
          <cell r="I664">
            <v>47380993</v>
          </cell>
          <cell r="R664" t="str">
            <v>90299335939AD</v>
          </cell>
          <cell r="S664" t="str">
            <v>hyejooisonly@coupang.com</v>
          </cell>
          <cell r="X664" t="str">
            <v>뉴클 도킹PD2</v>
          </cell>
          <cell r="Y664" t="str">
            <v>뉴클 PD 도킹 22.5W 보조배터리 C&amp;8 화이트</v>
          </cell>
          <cell r="AB664">
            <v>6</v>
          </cell>
          <cell r="AC664">
            <v>28336.363636363632</v>
          </cell>
          <cell r="AG664">
            <v>9</v>
          </cell>
        </row>
        <row r="665">
          <cell r="H665" t="str">
            <v>90299335939S</v>
          </cell>
          <cell r="I665">
            <v>47380993</v>
          </cell>
          <cell r="R665" t="str">
            <v>90299335939S</v>
          </cell>
          <cell r="X665" t="str">
            <v>뉴클 도킹PD2</v>
          </cell>
          <cell r="Y665" t="str">
            <v>뉴클 PD 도킹 22.5W 보조배터리 C&amp;8 화이트</v>
          </cell>
          <cell r="AC665" t="str">
            <v>개당광고비→</v>
          </cell>
          <cell r="AG665">
            <v>3046.1111111111113</v>
          </cell>
          <cell r="AH665">
            <v>27415</v>
          </cell>
        </row>
        <row r="666">
          <cell r="H666">
            <v>90299335939</v>
          </cell>
          <cell r="I666">
            <v>47380993</v>
          </cell>
          <cell r="R666">
            <v>90299335939</v>
          </cell>
          <cell r="X666" t="str">
            <v>뉴클 도킹PD2</v>
          </cell>
          <cell r="Y666" t="str">
            <v>도킹형보조배터리90299335939</v>
          </cell>
        </row>
        <row r="667">
          <cell r="H667">
            <v>90299336178</v>
          </cell>
          <cell r="I667">
            <v>47380999</v>
          </cell>
          <cell r="J667">
            <v>655</v>
          </cell>
          <cell r="K667">
            <v>1158</v>
          </cell>
          <cell r="L667">
            <v>8600</v>
          </cell>
          <cell r="M667">
            <v>8600</v>
          </cell>
          <cell r="N667">
            <v>16900</v>
          </cell>
          <cell r="O667">
            <v>24900</v>
          </cell>
          <cell r="P667">
            <v>31000</v>
          </cell>
          <cell r="Q667">
            <v>9800</v>
          </cell>
          <cell r="R667">
            <v>90299336178</v>
          </cell>
          <cell r="S667" t="str">
            <v>윤혜주BM</v>
          </cell>
          <cell r="V667">
            <v>8600</v>
          </cell>
          <cell r="W667" t="str">
            <v>https://smartstore.naver.com/sskoreatrade/products/10386524437</v>
          </cell>
          <cell r="X667" t="str">
            <v>뉴클 도킹PD2</v>
          </cell>
          <cell r="Y667" t="str">
            <v>뉴클 PD 도킹 22.5W 보조배터리 C&amp;C 민트</v>
          </cell>
          <cell r="AB667" t="str">
            <v>coupang.com/vp/products/8161058073?itemId=23266975525&amp;vendorItemId=90299336178</v>
          </cell>
          <cell r="AC667">
            <v>4404.545454545454</v>
          </cell>
          <cell r="AD667">
            <v>440.45454545454544</v>
          </cell>
          <cell r="AE667">
            <v>4845</v>
          </cell>
          <cell r="AG667">
            <v>9090.9090909090901</v>
          </cell>
          <cell r="AH667">
            <v>909.09090909090992</v>
          </cell>
          <cell r="AI667">
            <v>10000</v>
          </cell>
          <cell r="AK667">
            <v>4686.363636363636</v>
          </cell>
        </row>
        <row r="668">
          <cell r="H668" t="str">
            <v>90299336178AD</v>
          </cell>
          <cell r="I668">
            <v>47380999</v>
          </cell>
          <cell r="R668" t="str">
            <v>90299336178AD</v>
          </cell>
          <cell r="S668" t="str">
            <v>hyejooisonly@coupang.com</v>
          </cell>
          <cell r="X668" t="str">
            <v>뉴클 도킹PD2</v>
          </cell>
          <cell r="Y668" t="str">
            <v>뉴클 PD 도킹 22.5W 보조배터리 C&amp;C 민트</v>
          </cell>
          <cell r="AB668">
            <v>31</v>
          </cell>
          <cell r="AC668">
            <v>145277.27272727271</v>
          </cell>
          <cell r="AG668">
            <v>14</v>
          </cell>
        </row>
        <row r="669">
          <cell r="H669" t="str">
            <v>90299336178S</v>
          </cell>
          <cell r="I669">
            <v>47380999</v>
          </cell>
          <cell r="R669" t="str">
            <v>90299336178S</v>
          </cell>
          <cell r="X669" t="str">
            <v>뉴클 도킹PD2</v>
          </cell>
          <cell r="Y669" t="str">
            <v>뉴클 PD 도킹 22.5W 보조배터리 C&amp;C 민트</v>
          </cell>
          <cell r="AC669" t="str">
            <v>개당광고비→</v>
          </cell>
          <cell r="AG669">
            <v>2682</v>
          </cell>
          <cell r="AH669">
            <v>37548</v>
          </cell>
        </row>
        <row r="670">
          <cell r="H670">
            <v>90299336178</v>
          </cell>
          <cell r="I670">
            <v>47380999</v>
          </cell>
          <cell r="R670">
            <v>90299336178</v>
          </cell>
          <cell r="X670" t="str">
            <v>뉴클 도킹PD2</v>
          </cell>
          <cell r="Y670" t="str">
            <v>도킹형보조배터리90299336178</v>
          </cell>
        </row>
        <row r="671">
          <cell r="H671">
            <v>90299336194</v>
          </cell>
          <cell r="I671">
            <v>47381000</v>
          </cell>
          <cell r="J671">
            <v>484</v>
          </cell>
          <cell r="K671">
            <v>1158</v>
          </cell>
          <cell r="L671">
            <v>8600</v>
          </cell>
          <cell r="M671">
            <v>8600</v>
          </cell>
          <cell r="N671">
            <v>13900</v>
          </cell>
          <cell r="O671">
            <v>24900</v>
          </cell>
          <cell r="P671">
            <v>31000</v>
          </cell>
          <cell r="Q671">
            <v>9800</v>
          </cell>
          <cell r="R671">
            <v>90299336194</v>
          </cell>
          <cell r="S671" t="str">
            <v>윤혜주BM</v>
          </cell>
          <cell r="V671">
            <v>8600</v>
          </cell>
          <cell r="W671" t="str">
            <v>https://smartstore.naver.com/sskoreatrade/products/10386524437</v>
          </cell>
          <cell r="X671" t="str">
            <v>뉴클 도킹PD2</v>
          </cell>
          <cell r="Y671" t="str">
            <v>뉴클 PD 도킹 22.5W 보조배터리 C&amp;C 베이지</v>
          </cell>
          <cell r="AB671" t="str">
            <v>coupang.com/vp/products/8161058073?itemId=23266975531&amp;vendorItemId=90299336194</v>
          </cell>
          <cell r="AC671">
            <v>4404.545454545454</v>
          </cell>
          <cell r="AD671">
            <v>440.45454545454544</v>
          </cell>
          <cell r="AE671">
            <v>4845</v>
          </cell>
          <cell r="AG671">
            <v>9090.9090909090901</v>
          </cell>
          <cell r="AH671">
            <v>909.09090909090992</v>
          </cell>
          <cell r="AI671">
            <v>10000</v>
          </cell>
          <cell r="AK671">
            <v>4686.363636363636</v>
          </cell>
        </row>
        <row r="672">
          <cell r="H672" t="str">
            <v>90299336194AD</v>
          </cell>
          <cell r="I672">
            <v>47381000</v>
          </cell>
          <cell r="R672" t="str">
            <v>90299336194AD</v>
          </cell>
          <cell r="S672" t="str">
            <v>hyejooisonly@coupang.com</v>
          </cell>
          <cell r="X672" t="str">
            <v>뉴클 도킹PD2</v>
          </cell>
          <cell r="Y672" t="str">
            <v>뉴클 PD 도킹 22.5W 보조배터리 C&amp;C 베이지</v>
          </cell>
          <cell r="AB672">
            <v>11</v>
          </cell>
          <cell r="AC672">
            <v>51550</v>
          </cell>
          <cell r="AG672">
            <v>35</v>
          </cell>
        </row>
        <row r="673">
          <cell r="H673" t="str">
            <v>90299336194S</v>
          </cell>
          <cell r="I673">
            <v>47381000</v>
          </cell>
          <cell r="R673" t="str">
            <v>90299336194S</v>
          </cell>
          <cell r="X673" t="str">
            <v>뉴클 도킹PD2</v>
          </cell>
          <cell r="Y673" t="str">
            <v>뉴클 PD 도킹 22.5W 보조배터리 C&amp;C 베이지</v>
          </cell>
          <cell r="AC673" t="str">
            <v>개당광고비→</v>
          </cell>
          <cell r="AG673">
            <v>2862.3714285714286</v>
          </cell>
          <cell r="AH673">
            <v>100183</v>
          </cell>
        </row>
        <row r="674">
          <cell r="H674">
            <v>90299336194</v>
          </cell>
          <cell r="I674">
            <v>47381000</v>
          </cell>
          <cell r="R674">
            <v>90299336194</v>
          </cell>
          <cell r="X674" t="str">
            <v>뉴클 도킹PD2</v>
          </cell>
          <cell r="Y674" t="str">
            <v>도킹형보조배터리90299336194</v>
          </cell>
        </row>
        <row r="675">
          <cell r="H675">
            <v>90299336240</v>
          </cell>
          <cell r="I675">
            <v>47381002</v>
          </cell>
          <cell r="J675">
            <v>667</v>
          </cell>
          <cell r="K675">
            <v>1158</v>
          </cell>
          <cell r="L675">
            <v>8600</v>
          </cell>
          <cell r="M675">
            <v>8600</v>
          </cell>
          <cell r="N675">
            <v>13900</v>
          </cell>
          <cell r="O675">
            <v>24900</v>
          </cell>
          <cell r="P675">
            <v>31000</v>
          </cell>
          <cell r="Q675">
            <v>9800</v>
          </cell>
          <cell r="R675">
            <v>90299336240</v>
          </cell>
          <cell r="S675" t="str">
            <v>윤혜주BM</v>
          </cell>
          <cell r="V675">
            <v>8600</v>
          </cell>
          <cell r="W675" t="str">
            <v>https://smartstore.naver.com/sskoreatrade/products/10386524437</v>
          </cell>
          <cell r="X675" t="str">
            <v>뉴클 도킹PD2</v>
          </cell>
          <cell r="Y675" t="str">
            <v>뉴클 PD 도킹 22.5W 보조배터리 C&amp;C 블랙</v>
          </cell>
          <cell r="AB675" t="str">
            <v>coupang.com/vp/products/8161058073?itemId=23266975541&amp;vendorItemId=90299336240</v>
          </cell>
          <cell r="AC675">
            <v>4404.545454545454</v>
          </cell>
          <cell r="AD675">
            <v>440.45454545454544</v>
          </cell>
          <cell r="AE675">
            <v>4845</v>
          </cell>
          <cell r="AG675">
            <v>9090.9090909090901</v>
          </cell>
          <cell r="AH675">
            <v>909.09090909090992</v>
          </cell>
          <cell r="AI675">
            <v>10000</v>
          </cell>
          <cell r="AK675">
            <v>4686.363636363636</v>
          </cell>
        </row>
        <row r="676">
          <cell r="H676" t="str">
            <v>90299336240AD</v>
          </cell>
          <cell r="I676">
            <v>47381002</v>
          </cell>
          <cell r="R676" t="str">
            <v>90299336240AD</v>
          </cell>
          <cell r="S676" t="str">
            <v>hyejooisonly@coupang.com</v>
          </cell>
          <cell r="X676" t="str">
            <v>뉴클 도킹PD2</v>
          </cell>
          <cell r="Y676" t="str">
            <v>뉴클 PD 도킹 22.5W 보조배터리 C&amp;C 블랙</v>
          </cell>
          <cell r="AB676">
            <v>18</v>
          </cell>
          <cell r="AC676">
            <v>84354.545454545441</v>
          </cell>
          <cell r="AG676">
            <v>31</v>
          </cell>
        </row>
        <row r="677">
          <cell r="H677" t="str">
            <v>90299336240S</v>
          </cell>
          <cell r="I677">
            <v>47381002</v>
          </cell>
          <cell r="R677" t="str">
            <v>90299336240S</v>
          </cell>
          <cell r="X677" t="str">
            <v>뉴클 도킹PD2</v>
          </cell>
          <cell r="Y677" t="str">
            <v>뉴클 PD 도킹 22.5W 보조배터리 C&amp;C 블랙</v>
          </cell>
          <cell r="AC677" t="str">
            <v>개당광고비→</v>
          </cell>
          <cell r="AG677">
            <v>2995.6129032258063</v>
          </cell>
          <cell r="AH677">
            <v>92864</v>
          </cell>
        </row>
        <row r="678">
          <cell r="H678">
            <v>90299336240</v>
          </cell>
          <cell r="I678">
            <v>47381002</v>
          </cell>
          <cell r="R678">
            <v>90299336240</v>
          </cell>
          <cell r="X678" t="str">
            <v>뉴클 도킹PD2</v>
          </cell>
          <cell r="Y678" t="str">
            <v>도킹형보조배터리90299336240</v>
          </cell>
        </row>
        <row r="679">
          <cell r="H679">
            <v>90299336254</v>
          </cell>
          <cell r="I679">
            <v>47381003</v>
          </cell>
          <cell r="J679">
            <v>719</v>
          </cell>
          <cell r="K679">
            <v>1158</v>
          </cell>
          <cell r="L679">
            <v>8600</v>
          </cell>
          <cell r="M679">
            <v>8600</v>
          </cell>
          <cell r="N679">
            <v>16900</v>
          </cell>
          <cell r="O679">
            <v>24900</v>
          </cell>
          <cell r="P679">
            <v>31000</v>
          </cell>
          <cell r="Q679">
            <v>9800</v>
          </cell>
          <cell r="R679">
            <v>90299336254</v>
          </cell>
          <cell r="S679" t="str">
            <v>윤혜주BM</v>
          </cell>
          <cell r="V679">
            <v>8600</v>
          </cell>
          <cell r="W679" t="str">
            <v>https://smartstore.naver.com/sskoreatrade/products/10386524437</v>
          </cell>
          <cell r="X679" t="str">
            <v>뉴클 도킹PD2</v>
          </cell>
          <cell r="Y679" t="str">
            <v>뉴클 PD 도킹 22.5W 보조배터리 C&amp;C 퍼플</v>
          </cell>
          <cell r="AB679" t="str">
            <v>coupang.com/vp/products/8161058073?itemId=23266975546&amp;vendorItemId=90299336254</v>
          </cell>
          <cell r="AC679">
            <v>4404.545454545454</v>
          </cell>
          <cell r="AD679">
            <v>440.45454545454544</v>
          </cell>
          <cell r="AE679">
            <v>4845</v>
          </cell>
          <cell r="AG679">
            <v>9090.9090909090901</v>
          </cell>
          <cell r="AH679">
            <v>909.09090909090992</v>
          </cell>
          <cell r="AI679">
            <v>10000</v>
          </cell>
          <cell r="AK679">
            <v>4686.363636363636</v>
          </cell>
        </row>
        <row r="680">
          <cell r="H680" t="str">
            <v>90299336254AD</v>
          </cell>
          <cell r="I680">
            <v>47381003</v>
          </cell>
          <cell r="R680" t="str">
            <v>90299336254AD</v>
          </cell>
          <cell r="S680" t="str">
            <v>hyejooisonly@coupang.com</v>
          </cell>
          <cell r="X680" t="str">
            <v>뉴클 도킹PD2</v>
          </cell>
          <cell r="Y680" t="str">
            <v>뉴클 PD 도킹 22.5W 보조배터리 C&amp;C 퍼플</v>
          </cell>
          <cell r="AB680">
            <v>-36</v>
          </cell>
          <cell r="AC680">
            <v>-168709.09090909088</v>
          </cell>
          <cell r="AG680">
            <v>116</v>
          </cell>
        </row>
        <row r="681">
          <cell r="H681" t="str">
            <v>90299336254S</v>
          </cell>
          <cell r="I681">
            <v>47381003</v>
          </cell>
          <cell r="R681" t="str">
            <v>90299336254S</v>
          </cell>
          <cell r="X681" t="str">
            <v>뉴클 도킹PD2</v>
          </cell>
          <cell r="Y681" t="str">
            <v>뉴클 PD 도킹 22.5W 보조배터리 C&amp;C 퍼플</v>
          </cell>
          <cell r="AC681" t="str">
            <v>개당광고비→</v>
          </cell>
          <cell r="AG681">
            <v>2754.2586206896553</v>
          </cell>
          <cell r="AH681">
            <v>319494</v>
          </cell>
        </row>
        <row r="682">
          <cell r="H682">
            <v>90299336254</v>
          </cell>
          <cell r="I682">
            <v>47381003</v>
          </cell>
          <cell r="R682">
            <v>90299336254</v>
          </cell>
          <cell r="X682" t="str">
            <v>뉴클 도킹PD2</v>
          </cell>
          <cell r="Y682" t="str">
            <v>도킹형보조배터리90299336254</v>
          </cell>
        </row>
        <row r="683">
          <cell r="H683">
            <v>90299336224</v>
          </cell>
          <cell r="I683">
            <v>47381001</v>
          </cell>
          <cell r="J683">
            <v>671</v>
          </cell>
          <cell r="K683">
            <v>1158</v>
          </cell>
          <cell r="L683">
            <v>8600</v>
          </cell>
          <cell r="M683">
            <v>8600</v>
          </cell>
          <cell r="N683">
            <v>16900</v>
          </cell>
          <cell r="O683">
            <v>24900</v>
          </cell>
          <cell r="P683">
            <v>31000</v>
          </cell>
          <cell r="Q683">
            <v>9800</v>
          </cell>
          <cell r="R683">
            <v>90299336224</v>
          </cell>
          <cell r="S683" t="str">
            <v>윤혜주BM</v>
          </cell>
          <cell r="V683">
            <v>8600</v>
          </cell>
          <cell r="W683" t="str">
            <v>https://smartstore.naver.com/sskoreatrade/products/10386524437</v>
          </cell>
          <cell r="X683" t="str">
            <v>뉴클 도킹PD2</v>
          </cell>
          <cell r="Y683" t="str">
            <v>뉴클 PD 도킹 22.5W 보조배터리 C&amp;C 핑크</v>
          </cell>
          <cell r="AB683" t="str">
            <v>coupang.com/vp/products/8161058073?itemId=23266975536&amp;vendorItemId=90299336224</v>
          </cell>
          <cell r="AC683">
            <v>4404.545454545454</v>
          </cell>
          <cell r="AD683">
            <v>440.45454545454544</v>
          </cell>
          <cell r="AE683">
            <v>4845</v>
          </cell>
          <cell r="AG683">
            <v>9090.9090909090901</v>
          </cell>
          <cell r="AH683">
            <v>909.09090909090992</v>
          </cell>
          <cell r="AI683">
            <v>10000</v>
          </cell>
          <cell r="AK683">
            <v>4686.363636363636</v>
          </cell>
        </row>
        <row r="684">
          <cell r="H684" t="str">
            <v>90299336224AD</v>
          </cell>
          <cell r="I684">
            <v>47381001</v>
          </cell>
          <cell r="R684" t="str">
            <v>90299336224AD</v>
          </cell>
          <cell r="S684" t="str">
            <v>hyejooisonly@coupang.com</v>
          </cell>
          <cell r="X684" t="str">
            <v>뉴클 도킹PD2</v>
          </cell>
          <cell r="Y684" t="str">
            <v>뉴클 PD 도킹 22.5W 보조배터리 C&amp;C 핑크</v>
          </cell>
          <cell r="AB684">
            <v>28</v>
          </cell>
          <cell r="AC684">
            <v>131218.18181818182</v>
          </cell>
          <cell r="AG684">
            <v>6</v>
          </cell>
        </row>
        <row r="685">
          <cell r="H685" t="str">
            <v>90299336224S</v>
          </cell>
          <cell r="I685">
            <v>47381001</v>
          </cell>
          <cell r="R685" t="str">
            <v>90299336224S</v>
          </cell>
          <cell r="X685" t="str">
            <v>뉴클 도킹PD2</v>
          </cell>
          <cell r="Y685" t="str">
            <v>뉴클 PD 도킹 22.5W 보조배터리 C&amp;C 핑크</v>
          </cell>
          <cell r="AC685" t="str">
            <v>개당광고비→</v>
          </cell>
          <cell r="AG685">
            <v>1368.5</v>
          </cell>
          <cell r="AH685">
            <v>8211</v>
          </cell>
        </row>
        <row r="686">
          <cell r="H686">
            <v>90299336224</v>
          </cell>
          <cell r="I686">
            <v>47381001</v>
          </cell>
          <cell r="R686">
            <v>90299336224</v>
          </cell>
          <cell r="X686" t="str">
            <v>뉴클 도킹PD2</v>
          </cell>
          <cell r="Y686" t="str">
            <v>도킹형보조배터리90299336224</v>
          </cell>
        </row>
        <row r="687">
          <cell r="H687">
            <v>90299336272</v>
          </cell>
          <cell r="I687">
            <v>47381004</v>
          </cell>
          <cell r="J687">
            <v>1443</v>
          </cell>
          <cell r="K687">
            <v>1158</v>
          </cell>
          <cell r="L687">
            <v>8600</v>
          </cell>
          <cell r="M687">
            <v>8600</v>
          </cell>
          <cell r="N687">
            <v>16900</v>
          </cell>
          <cell r="O687">
            <v>24900</v>
          </cell>
          <cell r="P687">
            <v>31000</v>
          </cell>
          <cell r="Q687">
            <v>9800</v>
          </cell>
          <cell r="R687">
            <v>90299336272</v>
          </cell>
          <cell r="S687" t="str">
            <v>윤혜주BM</v>
          </cell>
          <cell r="V687">
            <v>8600</v>
          </cell>
          <cell r="W687" t="str">
            <v>https://smartstore.naver.com/sskoreatrade/products/10386524437</v>
          </cell>
          <cell r="X687" t="str">
            <v>뉴클 도킹PD2</v>
          </cell>
          <cell r="Y687" t="str">
            <v>뉴클 PD 도킹 22.5W 보조배터리 C&amp;C 화이트</v>
          </cell>
          <cell r="AB687" t="str">
            <v>coupang.com/vp/products/8161058073?itemId=23266975550&amp;vendorItemId=90299336272</v>
          </cell>
          <cell r="AC687">
            <v>4404.545454545454</v>
          </cell>
          <cell r="AD687">
            <v>440.45454545454544</v>
          </cell>
          <cell r="AE687">
            <v>4845</v>
          </cell>
          <cell r="AG687">
            <v>9090.9090909090901</v>
          </cell>
          <cell r="AH687">
            <v>909.09090909090992</v>
          </cell>
          <cell r="AI687">
            <v>10000</v>
          </cell>
          <cell r="AK687">
            <v>4686.363636363636</v>
          </cell>
        </row>
        <row r="688">
          <cell r="H688" t="str">
            <v>90299336272AD</v>
          </cell>
          <cell r="I688">
            <v>47381004</v>
          </cell>
          <cell r="R688" t="str">
            <v>90299336272AD</v>
          </cell>
          <cell r="S688" t="str">
            <v>hyejooisonly@coupang.com</v>
          </cell>
          <cell r="X688" t="str">
            <v>뉴클 도킹PD2</v>
          </cell>
          <cell r="Y688" t="str">
            <v>뉴클 PD 도킹 22.5W 보조배터리 C&amp;C 화이트</v>
          </cell>
          <cell r="AB688">
            <v>18</v>
          </cell>
          <cell r="AC688">
            <v>84354.545454545441</v>
          </cell>
          <cell r="AG688">
            <v>21</v>
          </cell>
        </row>
        <row r="689">
          <cell r="H689" t="str">
            <v>90299336272S</v>
          </cell>
          <cell r="I689">
            <v>47381004</v>
          </cell>
          <cell r="R689" t="str">
            <v>90299336272S</v>
          </cell>
          <cell r="X689" t="str">
            <v>뉴클 도킹PD2</v>
          </cell>
          <cell r="Y689" t="str">
            <v>뉴클 PD 도킹 22.5W 보조배터리 C&amp;C 화이트</v>
          </cell>
          <cell r="AC689" t="str">
            <v>개당광고비→</v>
          </cell>
          <cell r="AG689">
            <v>4202.6190476190477</v>
          </cell>
          <cell r="AH689">
            <v>88255</v>
          </cell>
        </row>
        <row r="690">
          <cell r="H690">
            <v>90299336272</v>
          </cell>
          <cell r="I690">
            <v>47381004</v>
          </cell>
          <cell r="R690">
            <v>90299336272</v>
          </cell>
          <cell r="X690" t="str">
            <v>뉴클 도킹PD2</v>
          </cell>
          <cell r="Y690" t="str">
            <v>도킹형보조배터리90299336272</v>
          </cell>
        </row>
        <row r="691">
          <cell r="H691">
            <v>91006720914</v>
          </cell>
          <cell r="I691">
            <v>50018645</v>
          </cell>
          <cell r="J691">
            <v>377</v>
          </cell>
          <cell r="K691">
            <v>129</v>
          </cell>
          <cell r="L691">
            <v>5900</v>
          </cell>
          <cell r="M691">
            <v>5900</v>
          </cell>
          <cell r="O691">
            <v>12900</v>
          </cell>
          <cell r="Q691">
            <v>5900</v>
          </cell>
          <cell r="R691">
            <v>91006720914</v>
          </cell>
          <cell r="V691">
            <v>5900</v>
          </cell>
          <cell r="W691" t="str">
            <v>https://smartstore.naver.com/sskoreatrade/products/11791992803</v>
          </cell>
          <cell r="X691" t="str">
            <v>IZNC_N3</v>
          </cell>
          <cell r="Y691" t="str">
            <v>오픈형 유선 이어폰 IZNC 화이트 N3</v>
          </cell>
          <cell r="AB691" t="str">
            <v>coupang.com/vp/products/8312079617?itemId=23985653198&amp;vendorItemId=91006720914</v>
          </cell>
          <cell r="AC691">
            <v>1341.8181818181818</v>
          </cell>
          <cell r="AD691">
            <v>134.18181818181819</v>
          </cell>
          <cell r="AE691">
            <v>1476</v>
          </cell>
          <cell r="AG691">
            <v>4136.363636363636</v>
          </cell>
          <cell r="AH691">
            <v>413.63636363636397</v>
          </cell>
          <cell r="AI691">
            <v>4550</v>
          </cell>
          <cell r="AK691">
            <v>2794.545454545454</v>
          </cell>
        </row>
        <row r="692">
          <cell r="H692" t="str">
            <v>91006720914AD</v>
          </cell>
          <cell r="I692">
            <v>50018645</v>
          </cell>
          <cell r="R692" t="str">
            <v>91006720914AD</v>
          </cell>
          <cell r="X692" t="str">
            <v>IZNC_N3</v>
          </cell>
          <cell r="Y692" t="str">
            <v>오픈형 유선 이어폰 IZNC 화이트 N3</v>
          </cell>
          <cell r="AB692">
            <v>12</v>
          </cell>
          <cell r="AC692">
            <v>33534.545454545449</v>
          </cell>
          <cell r="AG692">
            <v>27</v>
          </cell>
        </row>
        <row r="693">
          <cell r="H693" t="str">
            <v>91006720914S</v>
          </cell>
          <cell r="I693">
            <v>50018645</v>
          </cell>
          <cell r="R693" t="str">
            <v>91006720914S</v>
          </cell>
          <cell r="X693" t="str">
            <v>IZNC_N3</v>
          </cell>
          <cell r="Y693" t="str">
            <v>오픈형 유선 이어폰 IZNC 화이트 N3</v>
          </cell>
          <cell r="AC693" t="str">
            <v>개당광고비→</v>
          </cell>
          <cell r="AG693">
            <v>2011.7777777777778</v>
          </cell>
          <cell r="AH693">
            <v>54318</v>
          </cell>
        </row>
        <row r="694">
          <cell r="H694">
            <v>90473949951</v>
          </cell>
          <cell r="I694">
            <v>47933809</v>
          </cell>
          <cell r="J694">
            <v>463</v>
          </cell>
          <cell r="K694">
            <v>134</v>
          </cell>
          <cell r="L694">
            <v>15010</v>
          </cell>
          <cell r="M694">
            <v>15010</v>
          </cell>
          <cell r="N694">
            <v>12150</v>
          </cell>
          <cell r="O694">
            <v>19900</v>
          </cell>
          <cell r="Q694">
            <v>15080</v>
          </cell>
          <cell r="R694">
            <v>90473949951</v>
          </cell>
          <cell r="V694">
            <v>12400</v>
          </cell>
          <cell r="W694" t="str">
            <v>https://smartstore.naver.com/psglobal1/products/10285903221</v>
          </cell>
          <cell r="X694" t="str">
            <v>워치 케이블</v>
          </cell>
          <cell r="Y694" t="str">
            <v>뉴클 2in1 워치 충전 케이블 애플 8핀 1M</v>
          </cell>
          <cell r="AB694" t="str">
            <v>coupang.com/vp/products/8191911814?itemId=23447168919&amp;vendorItemId=90473949951</v>
          </cell>
          <cell r="AC694">
            <v>2411.8181818181815</v>
          </cell>
          <cell r="AD694">
            <v>241.18181818181816</v>
          </cell>
          <cell r="AE694">
            <v>2653</v>
          </cell>
          <cell r="AG694">
            <v>8836.363636363636</v>
          </cell>
          <cell r="AH694">
            <v>883.63636363636397</v>
          </cell>
          <cell r="AI694">
            <v>9720</v>
          </cell>
          <cell r="AK694">
            <v>6424.545454545454</v>
          </cell>
        </row>
        <row r="695">
          <cell r="H695" t="str">
            <v>90473949951AD</v>
          </cell>
          <cell r="I695">
            <v>47933809</v>
          </cell>
          <cell r="R695" t="str">
            <v>90473949951AD</v>
          </cell>
          <cell r="V695">
            <v>45841</v>
          </cell>
          <cell r="X695" t="str">
            <v>워치 케이블</v>
          </cell>
          <cell r="Y695" t="str">
            <v>뉴클 2in1 워치 충전 케이블 애플 8핀 1M</v>
          </cell>
          <cell r="AB695">
            <v>0</v>
          </cell>
          <cell r="AC695">
            <v>0</v>
          </cell>
          <cell r="AG695" t="str">
            <v>0</v>
          </cell>
        </row>
        <row r="696">
          <cell r="H696" t="str">
            <v>90473949951S</v>
          </cell>
          <cell r="I696">
            <v>47933809</v>
          </cell>
          <cell r="R696" t="str">
            <v>90473949951S</v>
          </cell>
          <cell r="V696">
            <v>10900</v>
          </cell>
          <cell r="X696" t="str">
            <v>워치 케이블</v>
          </cell>
          <cell r="Y696" t="str">
            <v>뉴클 2in1 워치 충전 케이블 애플 8핀 1M</v>
          </cell>
          <cell r="AC696" t="str">
            <v>개당광고비→</v>
          </cell>
          <cell r="AG696" t="str">
            <v>광고X</v>
          </cell>
          <cell r="AH696" t="str">
            <v>광고X</v>
          </cell>
        </row>
        <row r="697">
          <cell r="H697">
            <v>90473949936</v>
          </cell>
          <cell r="I697">
            <v>47933808</v>
          </cell>
          <cell r="J697">
            <v>3048</v>
          </cell>
          <cell r="K697">
            <v>420</v>
          </cell>
          <cell r="L697">
            <v>5850</v>
          </cell>
          <cell r="M697">
            <v>5850</v>
          </cell>
          <cell r="N697">
            <v>12800</v>
          </cell>
          <cell r="O697">
            <v>19900</v>
          </cell>
          <cell r="Q697">
            <v>5850</v>
          </cell>
          <cell r="R697">
            <v>90473949936</v>
          </cell>
          <cell r="V697">
            <v>5900</v>
          </cell>
          <cell r="W697" t="str">
            <v>https://smartstore.naver.com/sskoreatrade/products/11122373348</v>
          </cell>
          <cell r="X697" t="str">
            <v>워치 케이블</v>
          </cell>
          <cell r="Y697" t="str">
            <v>뉴클 2in1 워치 충전 케이블 갤럭시 C타입 1M</v>
          </cell>
          <cell r="AB697" t="str">
            <v>coupang.com/vp/products/8191911811?itemId=23447168908&amp;vendorItemId=90473949936</v>
          </cell>
          <cell r="AC697">
            <v>2645.454545454545</v>
          </cell>
          <cell r="AD697">
            <v>264.5454545454545</v>
          </cell>
          <cell r="AE697">
            <v>2910</v>
          </cell>
          <cell r="AG697">
            <v>9045.4545454545441</v>
          </cell>
          <cell r="AH697">
            <v>904.54545454545587</v>
          </cell>
          <cell r="AI697">
            <v>9950</v>
          </cell>
          <cell r="AK697">
            <v>6399.9999999999991</v>
          </cell>
        </row>
        <row r="698">
          <cell r="H698" t="str">
            <v>90473949936AD</v>
          </cell>
          <cell r="I698">
            <v>47933808</v>
          </cell>
          <cell r="R698" t="str">
            <v>90473949936AD</v>
          </cell>
          <cell r="V698">
            <v>45911</v>
          </cell>
          <cell r="X698" t="str">
            <v>워치 케이블</v>
          </cell>
          <cell r="Y698" t="str">
            <v>뉴클 2in1 워치 충전 케이블 갤럭시 C타입 1M</v>
          </cell>
          <cell r="AB698">
            <v>32</v>
          </cell>
          <cell r="AC698">
            <v>204799.99999999997</v>
          </cell>
          <cell r="AG698">
            <v>64</v>
          </cell>
        </row>
        <row r="699">
          <cell r="H699" t="str">
            <v>90473949936S</v>
          </cell>
          <cell r="I699">
            <v>47933808</v>
          </cell>
          <cell r="R699" t="str">
            <v>90473949936S</v>
          </cell>
          <cell r="V699">
            <v>5800</v>
          </cell>
          <cell r="X699" t="str">
            <v>워치 케이블</v>
          </cell>
          <cell r="Y699" t="str">
            <v>뉴클 2in1 워치 충전 케이블 갤럭시 C타입 1M</v>
          </cell>
          <cell r="AC699" t="str">
            <v>개당광고비→</v>
          </cell>
          <cell r="AG699">
            <v>3404.125</v>
          </cell>
          <cell r="AH699">
            <v>217864</v>
          </cell>
        </row>
        <row r="700">
          <cell r="H700">
            <v>90473949936</v>
          </cell>
          <cell r="I700">
            <v>47933808</v>
          </cell>
          <cell r="R700">
            <v>90473949936</v>
          </cell>
          <cell r="X700" t="str">
            <v>워치 케이블</v>
          </cell>
          <cell r="Y700" t="str">
            <v>워치 충전기90473949936</v>
          </cell>
        </row>
        <row r="701">
          <cell r="H701">
            <v>90474073218</v>
          </cell>
          <cell r="I701">
            <v>47934364</v>
          </cell>
          <cell r="J701">
            <v>99</v>
          </cell>
          <cell r="K701">
            <v>420</v>
          </cell>
          <cell r="L701">
            <v>12800</v>
          </cell>
          <cell r="M701">
            <v>12800</v>
          </cell>
          <cell r="N701">
            <v>14150</v>
          </cell>
          <cell r="O701">
            <v>19900</v>
          </cell>
          <cell r="Q701">
            <v>12800</v>
          </cell>
          <cell r="R701">
            <v>90474073218</v>
          </cell>
          <cell r="V701">
            <v>9500</v>
          </cell>
          <cell r="W701" t="str">
            <v>https://smartstore.naver.com/sskoreatrade/products/10512923859</v>
          </cell>
          <cell r="X701" t="str">
            <v>워치 로에센셜 케이블</v>
          </cell>
          <cell r="Y701" t="str">
            <v>로에센셜 2in1 갤럭시워치 충전케이블 C타입 1M</v>
          </cell>
          <cell r="AB701" t="str">
            <v>coupang.com/vp/products/8191928198?itemId=23447291508&amp;vendorItemId=90474073218</v>
          </cell>
          <cell r="AC701">
            <v>2695.454545454545</v>
          </cell>
          <cell r="AD701">
            <v>269.5454545454545</v>
          </cell>
          <cell r="AE701">
            <v>2965</v>
          </cell>
          <cell r="AG701">
            <v>9045.4545454545441</v>
          </cell>
          <cell r="AH701">
            <v>904.54545454545587</v>
          </cell>
          <cell r="AI701">
            <v>9950</v>
          </cell>
          <cell r="AK701">
            <v>6349.9999999999991</v>
          </cell>
        </row>
        <row r="702">
          <cell r="H702" t="str">
            <v>90474073218AD</v>
          </cell>
          <cell r="I702">
            <v>47934364</v>
          </cell>
          <cell r="R702" t="str">
            <v>90474073218AD</v>
          </cell>
          <cell r="X702" t="str">
            <v>워치 로에센셜 케이블</v>
          </cell>
          <cell r="Y702" t="str">
            <v>로에센셜 2in1 갤럭시워치 충전케이블 C타입 1M</v>
          </cell>
          <cell r="AB702">
            <v>4</v>
          </cell>
          <cell r="AC702">
            <v>25399.999999999996</v>
          </cell>
          <cell r="AG702" t="str">
            <v>0</v>
          </cell>
        </row>
        <row r="703">
          <cell r="H703" t="str">
            <v>90474073218S</v>
          </cell>
          <cell r="I703">
            <v>47934364</v>
          </cell>
          <cell r="R703" t="str">
            <v>90474073218S</v>
          </cell>
          <cell r="X703" t="str">
            <v>워치 로에센셜 케이블</v>
          </cell>
          <cell r="Y703" t="str">
            <v>로에센셜 2in1 갤럭시워치 충전케이블 C타입 1M</v>
          </cell>
          <cell r="AC703" t="str">
            <v>개당광고비→</v>
          </cell>
          <cell r="AG703" t="str">
            <v>광고X</v>
          </cell>
          <cell r="AH703" t="str">
            <v>광고X</v>
          </cell>
        </row>
        <row r="704">
          <cell r="H704">
            <v>90474073247</v>
          </cell>
          <cell r="I704">
            <v>47934363</v>
          </cell>
          <cell r="J704">
            <v>11</v>
          </cell>
          <cell r="K704">
            <v>134</v>
          </cell>
          <cell r="L704">
            <v>12800</v>
          </cell>
          <cell r="M704">
            <v>12800</v>
          </cell>
          <cell r="N704">
            <v>14150</v>
          </cell>
          <cell r="O704">
            <v>19900</v>
          </cell>
          <cell r="Q704">
            <v>5970</v>
          </cell>
          <cell r="R704">
            <v>90474073247</v>
          </cell>
          <cell r="V704">
            <v>9500</v>
          </cell>
          <cell r="W704" t="str">
            <v>https://smartstore.naver.com/sskoreatrade/products/10512933213</v>
          </cell>
          <cell r="X704" t="str">
            <v>워치 로에센셜 케이블</v>
          </cell>
          <cell r="Y704" t="str">
            <v>로에센셜 2in1 애플워치 충전케이블 8핀 1M</v>
          </cell>
          <cell r="AB704" t="str">
            <v>coupang.com/vp/products/8191928209?itemId=23447291560&amp;vendorItemId=90474073247</v>
          </cell>
          <cell r="AC704">
            <v>2300</v>
          </cell>
          <cell r="AD704">
            <v>230</v>
          </cell>
          <cell r="AE704">
            <v>2530</v>
          </cell>
          <cell r="AG704">
            <v>9045.4545454545441</v>
          </cell>
          <cell r="AH704">
            <v>904.54545454545587</v>
          </cell>
          <cell r="AI704">
            <v>9950</v>
          </cell>
          <cell r="AK704">
            <v>6745.4545454545441</v>
          </cell>
        </row>
        <row r="705">
          <cell r="H705" t="str">
            <v>90474073247AD</v>
          </cell>
          <cell r="I705">
            <v>47934363</v>
          </cell>
          <cell r="R705" t="str">
            <v>90474073247AD</v>
          </cell>
          <cell r="X705" t="str">
            <v>워치 로에센셜 케이블</v>
          </cell>
          <cell r="Y705" t="str">
            <v>로에센셜 2in1 애플워치 충전케이블 8핀 1M</v>
          </cell>
          <cell r="AB705">
            <v>0</v>
          </cell>
          <cell r="AC705">
            <v>0</v>
          </cell>
          <cell r="AG705" t="str">
            <v>0</v>
          </cell>
        </row>
        <row r="706">
          <cell r="H706" t="str">
            <v>90474073247S</v>
          </cell>
          <cell r="I706">
            <v>47934363</v>
          </cell>
          <cell r="R706" t="str">
            <v>90474073247S</v>
          </cell>
          <cell r="X706" t="str">
            <v>워치 로에센셜 케이블</v>
          </cell>
          <cell r="Y706" t="str">
            <v>로에센셜 2in1 애플워치 충전케이블 8핀 1M</v>
          </cell>
          <cell r="AC706" t="str">
            <v>개당광고비→</v>
          </cell>
          <cell r="AG706" t="str">
            <v>광고X</v>
          </cell>
          <cell r="AH706" t="str">
            <v>광고X</v>
          </cell>
        </row>
        <row r="707">
          <cell r="H707">
            <v>93781777100</v>
          </cell>
          <cell r="I707">
            <v>65562843</v>
          </cell>
          <cell r="J707">
            <v>668</v>
          </cell>
          <cell r="K707" t="str">
            <v>-</v>
          </cell>
          <cell r="L707">
            <v>18200</v>
          </cell>
          <cell r="M707">
            <v>18200</v>
          </cell>
          <cell r="O707">
            <v>21900</v>
          </cell>
          <cell r="Q707">
            <v>18200</v>
          </cell>
          <cell r="R707">
            <v>93781777100</v>
          </cell>
          <cell r="V707">
            <v>18200</v>
          </cell>
          <cell r="W707" t="str">
            <v>https://smartstore.naver.com/psglobal1/products/12310178600</v>
          </cell>
          <cell r="X707" t="str">
            <v>퀵커 릴타입 차량용 충전기</v>
          </cell>
          <cell r="Y707" t="str">
            <v>퀵커 차량용 릴타입 시거잭 충전기 블랙</v>
          </cell>
          <cell r="AB707" t="str">
            <v>coupang.com/vp/products/9115827898?itemId=26811449184&amp;vendorItemId=93781777100</v>
          </cell>
          <cell r="AC707">
            <v>3839.9999999999995</v>
          </cell>
          <cell r="AD707">
            <v>384</v>
          </cell>
          <cell r="AE707">
            <v>4224</v>
          </cell>
          <cell r="AG707">
            <v>13181.81818181818</v>
          </cell>
          <cell r="AH707">
            <v>1318.1818181818198</v>
          </cell>
          <cell r="AI707">
            <v>14500</v>
          </cell>
          <cell r="AK707">
            <v>9341.8181818181802</v>
          </cell>
        </row>
        <row r="708">
          <cell r="H708" t="str">
            <v>93781777100AD</v>
          </cell>
          <cell r="I708">
            <v>65562843</v>
          </cell>
          <cell r="R708" t="str">
            <v>93781777100AD</v>
          </cell>
          <cell r="X708" t="str">
            <v>퀵커 릴타입 차량용 충전기</v>
          </cell>
          <cell r="Y708" t="str">
            <v>퀵커 차량용 릴타입 시거잭 충전기 블랙</v>
          </cell>
          <cell r="AB708">
            <v>0</v>
          </cell>
          <cell r="AC708">
            <v>0</v>
          </cell>
          <cell r="AG708" t="str">
            <v>0</v>
          </cell>
        </row>
        <row r="709">
          <cell r="H709" t="str">
            <v>93781777100S</v>
          </cell>
          <cell r="I709">
            <v>65562843</v>
          </cell>
          <cell r="R709" t="str">
            <v>93781777100S</v>
          </cell>
          <cell r="X709" t="str">
            <v>퀵커 릴타입 차량용 충전기</v>
          </cell>
          <cell r="Y709" t="str">
            <v>퀵커 차량용 릴타입 시거잭 충전기 블랙</v>
          </cell>
          <cell r="AC709" t="str">
            <v>개당광고비→</v>
          </cell>
          <cell r="AG709" t="str">
            <v>광고X</v>
          </cell>
          <cell r="AH709" t="str">
            <v>광고X</v>
          </cell>
        </row>
        <row r="710">
          <cell r="H710">
            <v>93781777099</v>
          </cell>
          <cell r="I710">
            <v>65562844</v>
          </cell>
          <cell r="J710">
            <v>588</v>
          </cell>
          <cell r="K710" t="str">
            <v>-</v>
          </cell>
          <cell r="L710">
            <v>18200</v>
          </cell>
          <cell r="M710">
            <v>18200</v>
          </cell>
          <cell r="O710">
            <v>21900</v>
          </cell>
          <cell r="Q710">
            <v>18200</v>
          </cell>
          <cell r="R710">
            <v>93781777099</v>
          </cell>
          <cell r="V710">
            <v>18200</v>
          </cell>
          <cell r="W710" t="str">
            <v>https://smartstore.naver.com/psglobal1/products/12310178600</v>
          </cell>
          <cell r="X710" t="str">
            <v>퀵커 릴타입 차량용 충전기</v>
          </cell>
          <cell r="Y710" t="str">
            <v>퀵커 차량용 릴타입 시거잭 충전기 화이트</v>
          </cell>
          <cell r="AB710" t="str">
            <v>coupang.com/vp/products/9115827898?itemId=26811449186&amp;vendorItemId=93781777099</v>
          </cell>
          <cell r="AC710">
            <v>3839.9999999999995</v>
          </cell>
          <cell r="AD710">
            <v>384</v>
          </cell>
          <cell r="AE710">
            <v>4224</v>
          </cell>
          <cell r="AG710">
            <v>13181.81818181818</v>
          </cell>
          <cell r="AH710">
            <v>1318.1818181818198</v>
          </cell>
          <cell r="AI710">
            <v>14500</v>
          </cell>
          <cell r="AK710">
            <v>9341.8181818181802</v>
          </cell>
        </row>
        <row r="711">
          <cell r="H711" t="str">
            <v>93781777099AD</v>
          </cell>
          <cell r="I711">
            <v>65562844</v>
          </cell>
          <cell r="R711" t="str">
            <v>93781777099AD</v>
          </cell>
          <cell r="X711" t="str">
            <v>퀵커 릴타입 차량용 충전기</v>
          </cell>
          <cell r="Y711" t="str">
            <v>퀵커 차량용 릴타입 시거잭 충전기 화이트</v>
          </cell>
          <cell r="AB711">
            <v>0</v>
          </cell>
          <cell r="AC711">
            <v>0</v>
          </cell>
          <cell r="AG711" t="str">
            <v>0</v>
          </cell>
        </row>
        <row r="712">
          <cell r="H712" t="str">
            <v>93781777099S</v>
          </cell>
          <cell r="I712">
            <v>65562844</v>
          </cell>
          <cell r="R712" t="str">
            <v>93781777099S</v>
          </cell>
          <cell r="X712" t="str">
            <v>퀵커 릴타입 차량용 충전기</v>
          </cell>
          <cell r="Y712" t="str">
            <v>퀵커 차량용 릴타입 시거잭 충전기 화이트</v>
          </cell>
          <cell r="AC712" t="str">
            <v>개당광고비→</v>
          </cell>
          <cell r="AG712" t="str">
            <v>광고X</v>
          </cell>
          <cell r="AH712" t="str">
            <v>광고X</v>
          </cell>
        </row>
        <row r="713">
          <cell r="H713">
            <v>93505731425</v>
          </cell>
          <cell r="I713">
            <v>64314893</v>
          </cell>
          <cell r="J713">
            <v>850</v>
          </cell>
          <cell r="K713" t="str">
            <v>-</v>
          </cell>
          <cell r="L713">
            <v>6900</v>
          </cell>
          <cell r="M713">
            <v>6900</v>
          </cell>
          <cell r="O713">
            <v>25900</v>
          </cell>
          <cell r="Q713">
            <v>6900</v>
          </cell>
          <cell r="R713">
            <v>93505731425</v>
          </cell>
          <cell r="V713">
            <v>6900</v>
          </cell>
          <cell r="W713" t="str">
            <v>https://smartstore.naver.com/psglobal1/products/12310365416</v>
          </cell>
          <cell r="X713" t="str">
            <v>퀵커 3포트 차량용 충전기</v>
          </cell>
          <cell r="Y713" t="str">
            <v>퀵커 3포트 차량용 충전기 블랙</v>
          </cell>
          <cell r="AB713" t="str">
            <v>coupang.com/vp/products/9042293987?itemId=26531610674&amp;vendorItemId=93505731425</v>
          </cell>
          <cell r="AC713">
            <v>2158.181818181818</v>
          </cell>
          <cell r="AD713">
            <v>215.81818181818181</v>
          </cell>
          <cell r="AE713">
            <v>2374</v>
          </cell>
          <cell r="AG713">
            <v>5000</v>
          </cell>
          <cell r="AH713">
            <v>500</v>
          </cell>
          <cell r="AI713">
            <v>5500</v>
          </cell>
          <cell r="AK713">
            <v>2841.818181818182</v>
          </cell>
        </row>
        <row r="714">
          <cell r="H714" t="str">
            <v>93505731425AD</v>
          </cell>
          <cell r="I714">
            <v>64314893</v>
          </cell>
          <cell r="R714" t="str">
            <v>93505731425AD</v>
          </cell>
          <cell r="X714" t="str">
            <v>퀵커 3포트 차량용 충전기</v>
          </cell>
          <cell r="Y714" t="str">
            <v>퀵커 3포트 차량용 충전기 블랙</v>
          </cell>
          <cell r="AB714">
            <v>1</v>
          </cell>
          <cell r="AC714">
            <v>2841.818181818182</v>
          </cell>
          <cell r="AG714" t="str">
            <v>0</v>
          </cell>
        </row>
        <row r="715">
          <cell r="H715" t="str">
            <v>93505731425S</v>
          </cell>
          <cell r="I715">
            <v>64314893</v>
          </cell>
          <cell r="R715" t="str">
            <v>93505731425S</v>
          </cell>
          <cell r="X715" t="str">
            <v>퀵커 3포트 차량용 충전기</v>
          </cell>
          <cell r="Y715" t="str">
            <v>퀵커 3포트 차량용 충전기 블랙</v>
          </cell>
          <cell r="AC715" t="str">
            <v>개당광고비→</v>
          </cell>
          <cell r="AG715" t="str">
            <v>광고X</v>
          </cell>
          <cell r="AH715" t="str">
            <v>광고X</v>
          </cell>
        </row>
        <row r="716">
          <cell r="H716">
            <v>93505731432</v>
          </cell>
          <cell r="I716">
            <v>64314894</v>
          </cell>
          <cell r="J716">
            <v>831</v>
          </cell>
          <cell r="K716" t="str">
            <v>-</v>
          </cell>
          <cell r="L716">
            <v>6900</v>
          </cell>
          <cell r="M716">
            <v>6900</v>
          </cell>
          <cell r="O716">
            <v>25900</v>
          </cell>
          <cell r="Q716">
            <v>6900</v>
          </cell>
          <cell r="R716">
            <v>93505731432</v>
          </cell>
          <cell r="V716">
            <v>6900</v>
          </cell>
          <cell r="W716" t="str">
            <v>https://smartstore.naver.com/psglobal1/products/12310365416</v>
          </cell>
          <cell r="X716" t="str">
            <v>퀵커 3포트 차량용 충전기</v>
          </cell>
          <cell r="Y716" t="str">
            <v>퀵커 3포트 차량용 충전기 화이트</v>
          </cell>
          <cell r="AB716" t="str">
            <v>coupang.com/vp/products/9042293987?itemId=26531610680&amp;vendorItemId=93505731432</v>
          </cell>
          <cell r="AC716">
            <v>2158.181818181818</v>
          </cell>
          <cell r="AD716">
            <v>215.81818181818181</v>
          </cell>
          <cell r="AE716">
            <v>2374</v>
          </cell>
          <cell r="AG716">
            <v>5000</v>
          </cell>
          <cell r="AH716">
            <v>500</v>
          </cell>
          <cell r="AI716">
            <v>5500</v>
          </cell>
          <cell r="AK716">
            <v>2841.818181818182</v>
          </cell>
        </row>
        <row r="717">
          <cell r="H717" t="str">
            <v>93505731432AD</v>
          </cell>
          <cell r="I717">
            <v>64314894</v>
          </cell>
          <cell r="R717" t="str">
            <v>93505731432AD</v>
          </cell>
          <cell r="X717" t="str">
            <v>퀵커 3포트 차량용 충전기</v>
          </cell>
          <cell r="Y717" t="str">
            <v>퀵커 3포트 차량용 충전기 화이트</v>
          </cell>
          <cell r="AB717">
            <v>0</v>
          </cell>
          <cell r="AC717">
            <v>0</v>
          </cell>
          <cell r="AG717" t="str">
            <v>0</v>
          </cell>
        </row>
        <row r="718">
          <cell r="H718" t="str">
            <v>93505731432S</v>
          </cell>
          <cell r="I718">
            <v>64314894</v>
          </cell>
          <cell r="R718" t="str">
            <v>93505731432S</v>
          </cell>
          <cell r="X718" t="str">
            <v>퀵커 3포트 차량용 충전기</v>
          </cell>
          <cell r="Y718" t="str">
            <v>퀵커 3포트 차량용 충전기 화이트</v>
          </cell>
          <cell r="AC718" t="str">
            <v>개당광고비→</v>
          </cell>
          <cell r="AG718" t="str">
            <v>광고X</v>
          </cell>
          <cell r="AH718" t="str">
            <v>광고X</v>
          </cell>
        </row>
        <row r="719">
          <cell r="H719">
            <v>93128885203</v>
          </cell>
          <cell r="I719">
            <v>62674768</v>
          </cell>
          <cell r="J719" t="str">
            <v/>
          </cell>
          <cell r="K719">
            <v>397</v>
          </cell>
          <cell r="L719">
            <v>14900</v>
          </cell>
          <cell r="M719">
            <v>14900</v>
          </cell>
          <cell r="O719">
            <v>19900</v>
          </cell>
          <cell r="Q719">
            <v>14800</v>
          </cell>
          <cell r="R719">
            <v>93128885203</v>
          </cell>
          <cell r="V719">
            <v>14900</v>
          </cell>
          <cell r="W719" t="str">
            <v>https://smartstore.naver.com/sskoreatrade/products/12286634283</v>
          </cell>
          <cell r="X719" t="str">
            <v>닷즈 맥세이프 흡착식 거치대</v>
          </cell>
          <cell r="Y719" t="str">
            <v>닷즈 맥세이프 흡착식 거치대 블랙</v>
          </cell>
          <cell r="AB719" t="str">
            <v>coupang.com/vp/products/8941597330?itemId=26148888145&amp;vendorItemId=93128885203</v>
          </cell>
          <cell r="AC719">
            <v>2007.272727272727</v>
          </cell>
          <cell r="AD719">
            <v>200.72727272727272</v>
          </cell>
          <cell r="AE719">
            <v>2208</v>
          </cell>
          <cell r="AG719">
            <v>10454.545454545454</v>
          </cell>
          <cell r="AH719">
            <v>1045.454545454546</v>
          </cell>
          <cell r="AI719">
            <v>11500</v>
          </cell>
          <cell r="AK719">
            <v>8447.2727272727279</v>
          </cell>
        </row>
        <row r="720">
          <cell r="H720" t="str">
            <v>93128885203AD</v>
          </cell>
          <cell r="I720">
            <v>62674768</v>
          </cell>
          <cell r="R720" t="str">
            <v>93128885203AD</v>
          </cell>
          <cell r="X720" t="str">
            <v>닷즈 맥세이프 흡착식 거치대</v>
          </cell>
          <cell r="Y720" t="str">
            <v>닷즈 맥세이프 흡착식 거치대 블랙</v>
          </cell>
          <cell r="AB720">
            <v>3</v>
          </cell>
          <cell r="AC720">
            <v>25341.818181818184</v>
          </cell>
          <cell r="AG720" t="str">
            <v>0</v>
          </cell>
        </row>
        <row r="721">
          <cell r="H721" t="str">
            <v>93128885203S</v>
          </cell>
          <cell r="I721">
            <v>62674768</v>
          </cell>
          <cell r="R721" t="str">
            <v>93128885203S</v>
          </cell>
          <cell r="X721" t="str">
            <v>닷즈 맥세이프 흡착식 거치대</v>
          </cell>
          <cell r="Y721" t="str">
            <v>닷즈 맥세이프 흡착식 거치대 블랙</v>
          </cell>
          <cell r="AC721" t="str">
            <v>개당광고비→</v>
          </cell>
          <cell r="AG721" t="str">
            <v>광고X</v>
          </cell>
          <cell r="AH721" t="str">
            <v>광고X</v>
          </cell>
        </row>
        <row r="722">
          <cell r="H722">
            <v>93128885228</v>
          </cell>
          <cell r="I722">
            <v>62674769</v>
          </cell>
          <cell r="J722">
            <v>619</v>
          </cell>
          <cell r="K722">
            <v>397</v>
          </cell>
          <cell r="L722">
            <v>14900</v>
          </cell>
          <cell r="M722">
            <v>14900</v>
          </cell>
          <cell r="O722">
            <v>19900</v>
          </cell>
          <cell r="Q722">
            <v>14800</v>
          </cell>
          <cell r="R722">
            <v>93128885228</v>
          </cell>
          <cell r="V722">
            <v>14900</v>
          </cell>
          <cell r="W722" t="str">
            <v>https://smartstore.naver.com/sskoreatrade/products/12286634283</v>
          </cell>
          <cell r="X722" t="str">
            <v>닷즈 맥세이프 흡착식 거치대</v>
          </cell>
          <cell r="Y722" t="str">
            <v>닷즈 맥세이프 흡착식 거치대 화이트</v>
          </cell>
          <cell r="AB722" t="str">
            <v>coupang.com/vp/products/8941597330?itemId=26148888148&amp;vendorItemId=93128885228</v>
          </cell>
          <cell r="AC722">
            <v>2007.272727272727</v>
          </cell>
          <cell r="AD722">
            <v>200.72727272727272</v>
          </cell>
          <cell r="AE722">
            <v>2208</v>
          </cell>
          <cell r="AG722">
            <v>10454.545454545454</v>
          </cell>
          <cell r="AH722">
            <v>1045.454545454546</v>
          </cell>
          <cell r="AI722">
            <v>11500</v>
          </cell>
          <cell r="AK722">
            <v>8447.2727272727279</v>
          </cell>
        </row>
        <row r="723">
          <cell r="H723" t="str">
            <v>93128885228AD</v>
          </cell>
          <cell r="I723">
            <v>62674769</v>
          </cell>
          <cell r="R723" t="str">
            <v>93128885228AD</v>
          </cell>
          <cell r="X723" t="str">
            <v>닷즈 맥세이프 흡착식 거치대</v>
          </cell>
          <cell r="Y723" t="str">
            <v>닷즈 맥세이프 흡착식 거치대 화이트</v>
          </cell>
          <cell r="AB723">
            <v>0</v>
          </cell>
          <cell r="AC723">
            <v>0</v>
          </cell>
          <cell r="AG723" t="str">
            <v>0</v>
          </cell>
        </row>
        <row r="724">
          <cell r="H724" t="str">
            <v>93128885228S</v>
          </cell>
          <cell r="I724">
            <v>62674769</v>
          </cell>
          <cell r="R724" t="str">
            <v>93128885228S</v>
          </cell>
          <cell r="X724" t="str">
            <v>닷즈 맥세이프 흡착식 거치대</v>
          </cell>
          <cell r="Y724" t="str">
            <v>닷즈 맥세이프 흡착식 거치대 화이트</v>
          </cell>
          <cell r="AC724" t="str">
            <v>개당광고비→</v>
          </cell>
          <cell r="AG724" t="str">
            <v>광고X</v>
          </cell>
          <cell r="AH724" t="str">
            <v>광고X</v>
          </cell>
        </row>
        <row r="725">
          <cell r="H725">
            <v>92353392584</v>
          </cell>
          <cell r="I725">
            <v>59080782</v>
          </cell>
          <cell r="J725">
            <v>78</v>
          </cell>
          <cell r="K725">
            <v>242</v>
          </cell>
          <cell r="L725">
            <v>7900</v>
          </cell>
          <cell r="M725">
            <v>7900</v>
          </cell>
          <cell r="O725">
            <v>11900</v>
          </cell>
          <cell r="Q725">
            <v>7900</v>
          </cell>
          <cell r="R725">
            <v>92353392584</v>
          </cell>
          <cell r="S725">
            <v>59080782</v>
          </cell>
          <cell r="V725">
            <v>7900</v>
          </cell>
          <cell r="W725" t="str">
            <v>https://smartstore.naver.com/dogoodstore/products/11702251341</v>
          </cell>
          <cell r="X725" t="str">
            <v>맥로이드_텀블러_스피드쉐이크</v>
          </cell>
          <cell r="Y725" t="str">
            <v>맥로이드 스피드 쉐이크 텀블러 블랙</v>
          </cell>
          <cell r="AB725" t="str">
            <v>coupang.com/vp/products/8728381466?itemId=25359054026&amp;vendorItemId=92353392584</v>
          </cell>
          <cell r="AC725">
            <v>1200</v>
          </cell>
          <cell r="AD725">
            <v>120</v>
          </cell>
          <cell r="AE725">
            <v>1320</v>
          </cell>
          <cell r="AG725">
            <v>6490.9090909090901</v>
          </cell>
          <cell r="AH725">
            <v>649.09090909090992</v>
          </cell>
          <cell r="AI725">
            <v>7140</v>
          </cell>
          <cell r="AK725">
            <v>5290.9090909090901</v>
          </cell>
        </row>
        <row r="726">
          <cell r="H726" t="str">
            <v>92353392584AD</v>
          </cell>
          <cell r="I726">
            <v>59080782</v>
          </cell>
          <cell r="R726" t="str">
            <v>92353392584AD</v>
          </cell>
          <cell r="X726" t="str">
            <v>맥로이드_텀블러_스피드쉐이크</v>
          </cell>
          <cell r="Y726" t="str">
            <v>맥로이드 스피드 쉐이크 텀블러 블랙</v>
          </cell>
          <cell r="AB726">
            <v>3</v>
          </cell>
          <cell r="AC726">
            <v>15872.72727272727</v>
          </cell>
          <cell r="AG726" t="str">
            <v>0</v>
          </cell>
        </row>
        <row r="727">
          <cell r="H727" t="str">
            <v>92353392584S</v>
          </cell>
          <cell r="I727">
            <v>59080782</v>
          </cell>
          <cell r="R727" t="str">
            <v>92353392584S</v>
          </cell>
          <cell r="X727" t="str">
            <v>맥로이드_텀블러_스피드쉐이크</v>
          </cell>
          <cell r="Y727" t="str">
            <v>맥로이드 스피드 쉐이크 텀블러 블랙</v>
          </cell>
          <cell r="AC727" t="str">
            <v>개당광고비→</v>
          </cell>
          <cell r="AG727" t="str">
            <v>광고X</v>
          </cell>
          <cell r="AH727" t="str">
            <v>광고X</v>
          </cell>
        </row>
        <row r="728">
          <cell r="H728">
            <v>92353392589</v>
          </cell>
          <cell r="I728">
            <v>59080783</v>
          </cell>
          <cell r="J728">
            <v>24</v>
          </cell>
          <cell r="K728">
            <v>242</v>
          </cell>
          <cell r="L728">
            <v>7900</v>
          </cell>
          <cell r="M728">
            <v>7900</v>
          </cell>
          <cell r="O728">
            <v>11900</v>
          </cell>
          <cell r="Q728">
            <v>7900</v>
          </cell>
          <cell r="R728">
            <v>92353392589</v>
          </cell>
          <cell r="S728">
            <v>59080783</v>
          </cell>
          <cell r="V728">
            <v>7900</v>
          </cell>
          <cell r="W728" t="str">
            <v>https://smartstore.naver.com/dogoodstore/products/11702251341</v>
          </cell>
          <cell r="X728" t="str">
            <v>맥로이드_텀블러_스피드쉐이크</v>
          </cell>
          <cell r="Y728" t="str">
            <v>맥로이드 스피드 쉐이크 텀블러 화이트</v>
          </cell>
          <cell r="AB728" t="str">
            <v>coupang.com/vp/products/8728381466?itemId=25359054029&amp;vendorItemId=92353392589</v>
          </cell>
          <cell r="AC728">
            <v>1200</v>
          </cell>
          <cell r="AD728">
            <v>120</v>
          </cell>
          <cell r="AE728">
            <v>1320</v>
          </cell>
          <cell r="AG728">
            <v>5454.545454545454</v>
          </cell>
          <cell r="AH728">
            <v>545.45454545454595</v>
          </cell>
          <cell r="AI728">
            <v>6000</v>
          </cell>
          <cell r="AK728">
            <v>4254.545454545454</v>
          </cell>
        </row>
        <row r="729">
          <cell r="H729" t="str">
            <v>92353392589AD</v>
          </cell>
          <cell r="I729">
            <v>59080783</v>
          </cell>
          <cell r="R729" t="str">
            <v>92353392589AD</v>
          </cell>
          <cell r="X729" t="str">
            <v>맥로이드_텀블러_스피드쉐이크</v>
          </cell>
          <cell r="Y729" t="str">
            <v>맥로이드 스피드 쉐이크 텀블러 화이트</v>
          </cell>
          <cell r="AB729">
            <v>-1</v>
          </cell>
          <cell r="AC729">
            <v>-4254.545454545454</v>
          </cell>
          <cell r="AG729">
            <v>17</v>
          </cell>
        </row>
        <row r="730">
          <cell r="H730" t="str">
            <v>92353392589S</v>
          </cell>
          <cell r="I730">
            <v>59080783</v>
          </cell>
          <cell r="R730" t="str">
            <v>92353392589S</v>
          </cell>
          <cell r="X730" t="str">
            <v>맥로이드_텀블러_스피드쉐이크</v>
          </cell>
          <cell r="Y730" t="str">
            <v>맥로이드 스피드 쉐이크 텀블러 화이트</v>
          </cell>
          <cell r="AC730" t="str">
            <v>개당광고비→</v>
          </cell>
          <cell r="AG730">
            <v>2122.5882352941176</v>
          </cell>
          <cell r="AH730">
            <v>36084</v>
          </cell>
        </row>
        <row r="731">
          <cell r="H731">
            <v>90335148438</v>
          </cell>
          <cell r="I731">
            <v>47480552</v>
          </cell>
          <cell r="J731">
            <v>1143</v>
          </cell>
          <cell r="K731">
            <v>345</v>
          </cell>
          <cell r="L731">
            <v>8900</v>
          </cell>
          <cell r="M731">
            <v>8900</v>
          </cell>
          <cell r="N731">
            <v>7900</v>
          </cell>
          <cell r="O731">
            <v>14900</v>
          </cell>
          <cell r="P731">
            <v>18600</v>
          </cell>
          <cell r="Q731">
            <v>8900</v>
          </cell>
          <cell r="R731">
            <v>90335148438</v>
          </cell>
          <cell r="S731" t="str">
            <v>윤혜주BM</v>
          </cell>
          <cell r="V731">
            <v>8900</v>
          </cell>
          <cell r="W731" t="str">
            <v>https://smartstore.naver.com/sskoreatrade/products/10376765056</v>
          </cell>
          <cell r="X731" t="str">
            <v>힙스터 도킹2</v>
          </cell>
          <cell r="Y731" t="str">
            <v>힙스터 도킹형보조배터리 8핀 화이트</v>
          </cell>
          <cell r="AB731" t="str">
            <v>coupang.com/vp/products/8166155514?itemId=23303101742&amp;vendorItemId=90335148438</v>
          </cell>
          <cell r="AC731">
            <v>2330</v>
          </cell>
          <cell r="AD731">
            <v>233</v>
          </cell>
          <cell r="AE731">
            <v>2563</v>
          </cell>
          <cell r="AG731">
            <v>6590.9090909090901</v>
          </cell>
          <cell r="AH731">
            <v>659.09090909090992</v>
          </cell>
          <cell r="AI731">
            <v>7250</v>
          </cell>
          <cell r="AK731">
            <v>4260.9090909090901</v>
          </cell>
        </row>
        <row r="732">
          <cell r="H732" t="str">
            <v>90335148438AD</v>
          </cell>
          <cell r="I732">
            <v>47480552</v>
          </cell>
          <cell r="R732" t="str">
            <v>90335148438AD</v>
          </cell>
          <cell r="V732">
            <v>45841</v>
          </cell>
          <cell r="X732" t="str">
            <v>힙스터 도킹2</v>
          </cell>
          <cell r="Y732" t="str">
            <v>힙스터 도킹형보조배터리 8핀 화이트</v>
          </cell>
          <cell r="AB732">
            <v>0</v>
          </cell>
          <cell r="AC732">
            <v>0</v>
          </cell>
          <cell r="AG732" t="str">
            <v>0</v>
          </cell>
        </row>
        <row r="733">
          <cell r="H733" t="str">
            <v>90335148438S</v>
          </cell>
          <cell r="I733">
            <v>47480552</v>
          </cell>
          <cell r="R733" t="str">
            <v>90335148438S</v>
          </cell>
          <cell r="V733" t="str">
            <v>12월20일 / 7900</v>
          </cell>
          <cell r="X733" t="str">
            <v>힙스터 도킹2</v>
          </cell>
          <cell r="Y733" t="str">
            <v>힙스터 도킹형보조배터리 8핀 화이트</v>
          </cell>
          <cell r="AC733" t="str">
            <v>개당광고비→</v>
          </cell>
          <cell r="AG733" t="str">
            <v>광고X</v>
          </cell>
          <cell r="AH733" t="str">
            <v>광고X</v>
          </cell>
        </row>
        <row r="734">
          <cell r="H734">
            <v>90335148438</v>
          </cell>
          <cell r="I734">
            <v>47480552</v>
          </cell>
          <cell r="R734">
            <v>90335148438</v>
          </cell>
          <cell r="V734" t="str">
            <v>12월16일 / 8900</v>
          </cell>
          <cell r="X734" t="str">
            <v>힙스터 도킹2</v>
          </cell>
          <cell r="Y734" t="str">
            <v>도킹형보조배터리90335148438</v>
          </cell>
        </row>
        <row r="735">
          <cell r="H735">
            <v>90335148485</v>
          </cell>
          <cell r="I735">
            <v>47480558</v>
          </cell>
          <cell r="J735">
            <v>1013</v>
          </cell>
          <cell r="K735">
            <v>345</v>
          </cell>
          <cell r="L735">
            <v>8900</v>
          </cell>
          <cell r="M735">
            <v>8900</v>
          </cell>
          <cell r="N735">
            <v>7900</v>
          </cell>
          <cell r="O735">
            <v>14900</v>
          </cell>
          <cell r="P735">
            <v>18600</v>
          </cell>
          <cell r="Q735">
            <v>8900</v>
          </cell>
          <cell r="R735">
            <v>90335148485</v>
          </cell>
          <cell r="S735" t="str">
            <v>윤혜주BM</v>
          </cell>
          <cell r="V735">
            <v>8900</v>
          </cell>
          <cell r="W735" t="str">
            <v>https://smartstore.naver.com/sskoreatrade/products/10376765056</v>
          </cell>
          <cell r="X735" t="str">
            <v>힙스터 도킹2</v>
          </cell>
          <cell r="Y735" t="str">
            <v>힙스터 도킹형보조배터리 8핀 베이지</v>
          </cell>
          <cell r="AB735" t="str">
            <v>coupang.com/vp/products/8166155514?itemId=23303101752&amp;vendorItemId=90335148485</v>
          </cell>
          <cell r="AC735">
            <v>2330</v>
          </cell>
          <cell r="AD735">
            <v>233</v>
          </cell>
          <cell r="AE735">
            <v>2563</v>
          </cell>
          <cell r="AG735">
            <v>6590.9090909090901</v>
          </cell>
          <cell r="AH735">
            <v>659.09090909090992</v>
          </cell>
          <cell r="AI735">
            <v>7250</v>
          </cell>
          <cell r="AK735">
            <v>4260.9090909090901</v>
          </cell>
        </row>
        <row r="736">
          <cell r="H736" t="str">
            <v>90335148485AD</v>
          </cell>
          <cell r="I736">
            <v>47480558</v>
          </cell>
          <cell r="R736" t="str">
            <v>90335148485AD</v>
          </cell>
          <cell r="X736" t="str">
            <v>힙스터 도킹2</v>
          </cell>
          <cell r="Y736" t="str">
            <v>힙스터 도킹형보조배터리 8핀 베이지</v>
          </cell>
          <cell r="AB736">
            <v>0</v>
          </cell>
          <cell r="AC736">
            <v>0</v>
          </cell>
          <cell r="AG736" t="str">
            <v>0</v>
          </cell>
        </row>
        <row r="737">
          <cell r="H737" t="str">
            <v>90335148485S</v>
          </cell>
          <cell r="I737">
            <v>47480558</v>
          </cell>
          <cell r="R737" t="str">
            <v>90335148485S</v>
          </cell>
          <cell r="X737" t="str">
            <v>힙스터 도킹2</v>
          </cell>
          <cell r="Y737" t="str">
            <v>힙스터 도킹형보조배터리 8핀 베이지</v>
          </cell>
          <cell r="AC737" t="str">
            <v>개당광고비→</v>
          </cell>
          <cell r="AG737" t="str">
            <v>광고X</v>
          </cell>
          <cell r="AH737" t="str">
            <v>광고X</v>
          </cell>
        </row>
        <row r="738">
          <cell r="H738">
            <v>90335148485</v>
          </cell>
          <cell r="I738">
            <v>47480558</v>
          </cell>
          <cell r="R738">
            <v>90335148485</v>
          </cell>
          <cell r="X738" t="str">
            <v>힙스터 도킹2</v>
          </cell>
          <cell r="Y738" t="str">
            <v>도킹형보조배터리90335148485</v>
          </cell>
        </row>
        <row r="739">
          <cell r="H739">
            <v>90335148456</v>
          </cell>
          <cell r="I739">
            <v>47480554</v>
          </cell>
          <cell r="J739">
            <v>327</v>
          </cell>
          <cell r="K739">
            <v>345</v>
          </cell>
          <cell r="L739">
            <v>8900</v>
          </cell>
          <cell r="M739">
            <v>8900</v>
          </cell>
          <cell r="N739">
            <v>7900</v>
          </cell>
          <cell r="O739">
            <v>14900</v>
          </cell>
          <cell r="P739">
            <v>18600</v>
          </cell>
          <cell r="Q739">
            <v>8900</v>
          </cell>
          <cell r="R739">
            <v>90335148456</v>
          </cell>
          <cell r="S739" t="str">
            <v>윤혜주BM</v>
          </cell>
          <cell r="V739">
            <v>8900</v>
          </cell>
          <cell r="W739" t="str">
            <v>https://smartstore.naver.com/sskoreatrade/products/10376765056</v>
          </cell>
          <cell r="X739" t="str">
            <v>힙스터 도킹2</v>
          </cell>
          <cell r="Y739" t="str">
            <v>힙스터 도킹형보조배터리 8핀 핑크</v>
          </cell>
          <cell r="AB739" t="str">
            <v>coupang.com/vp/products/8166155514?itemId=23303101745&amp;vendorItemId=90335148456</v>
          </cell>
          <cell r="AC739">
            <v>2330</v>
          </cell>
          <cell r="AD739">
            <v>233</v>
          </cell>
          <cell r="AE739">
            <v>2563</v>
          </cell>
          <cell r="AG739">
            <v>6590.9090909090901</v>
          </cell>
          <cell r="AH739">
            <v>659.09090909090992</v>
          </cell>
          <cell r="AI739">
            <v>7250</v>
          </cell>
          <cell r="AK739">
            <v>4260.9090909090901</v>
          </cell>
        </row>
        <row r="740">
          <cell r="H740" t="str">
            <v>90335148456AD</v>
          </cell>
          <cell r="I740">
            <v>47480554</v>
          </cell>
          <cell r="R740" t="str">
            <v>90335148456AD</v>
          </cell>
          <cell r="X740" t="str">
            <v>힙스터 도킹2</v>
          </cell>
          <cell r="Y740" t="str">
            <v>힙스터 도킹형보조배터리 8핀 핑크</v>
          </cell>
          <cell r="AB740">
            <v>0</v>
          </cell>
          <cell r="AC740">
            <v>0</v>
          </cell>
          <cell r="AG740" t="str">
            <v>0</v>
          </cell>
        </row>
        <row r="741">
          <cell r="H741" t="str">
            <v>90335148456S</v>
          </cell>
          <cell r="I741">
            <v>47480554</v>
          </cell>
          <cell r="R741" t="str">
            <v>90335148456S</v>
          </cell>
          <cell r="X741" t="str">
            <v>힙스터 도킹2</v>
          </cell>
          <cell r="Y741" t="str">
            <v>힙스터 도킹형보조배터리 8핀 핑크</v>
          </cell>
          <cell r="AC741" t="str">
            <v>개당광고비→</v>
          </cell>
          <cell r="AG741" t="str">
            <v>광고X</v>
          </cell>
          <cell r="AH741" t="str">
            <v>광고X</v>
          </cell>
        </row>
        <row r="742">
          <cell r="H742">
            <v>90335148456</v>
          </cell>
          <cell r="I742">
            <v>47480554</v>
          </cell>
          <cell r="R742">
            <v>90335148456</v>
          </cell>
          <cell r="X742" t="str">
            <v>힙스터 도킹2</v>
          </cell>
          <cell r="Y742" t="str">
            <v>도킹형보조배터리90335148456</v>
          </cell>
        </row>
        <row r="743">
          <cell r="H743">
            <v>90335148470</v>
          </cell>
          <cell r="I743">
            <v>47480556</v>
          </cell>
          <cell r="J743">
            <v>501</v>
          </cell>
          <cell r="K743">
            <v>345</v>
          </cell>
          <cell r="L743">
            <v>8900</v>
          </cell>
          <cell r="M743">
            <v>8900</v>
          </cell>
          <cell r="N743">
            <v>7900</v>
          </cell>
          <cell r="O743">
            <v>14900</v>
          </cell>
          <cell r="P743">
            <v>18600</v>
          </cell>
          <cell r="Q743">
            <v>8900</v>
          </cell>
          <cell r="R743">
            <v>90335148470</v>
          </cell>
          <cell r="S743" t="str">
            <v>윤혜주BM</v>
          </cell>
          <cell r="V743">
            <v>8900</v>
          </cell>
          <cell r="W743" t="str">
            <v>https://smartstore.naver.com/sskoreatrade/products/10376765056</v>
          </cell>
          <cell r="X743" t="str">
            <v>힙스터 도킹2</v>
          </cell>
          <cell r="Y743" t="str">
            <v>힙스터 도킹형보조배터리 8핀 퍼플</v>
          </cell>
          <cell r="AB743" t="str">
            <v>coupang.com/vp/products/8166155514?itemId=23303101749&amp;vendorItemId=90335148470</v>
          </cell>
          <cell r="AC743">
            <v>2330</v>
          </cell>
          <cell r="AD743">
            <v>233</v>
          </cell>
          <cell r="AE743">
            <v>2563</v>
          </cell>
          <cell r="AG743">
            <v>6590.9090909090901</v>
          </cell>
          <cell r="AH743">
            <v>659.09090909090992</v>
          </cell>
          <cell r="AI743">
            <v>7250</v>
          </cell>
          <cell r="AK743">
            <v>4260.9090909090901</v>
          </cell>
        </row>
        <row r="744">
          <cell r="H744" t="str">
            <v>90335148470AD</v>
          </cell>
          <cell r="I744">
            <v>47480556</v>
          </cell>
          <cell r="R744" t="str">
            <v>90335148470AD</v>
          </cell>
          <cell r="X744" t="str">
            <v>힙스터 도킹2</v>
          </cell>
          <cell r="Y744" t="str">
            <v>힙스터 도킹형보조배터리 8핀 퍼플</v>
          </cell>
          <cell r="AB744">
            <v>1</v>
          </cell>
          <cell r="AC744">
            <v>4260.9090909090901</v>
          </cell>
          <cell r="AG744" t="str">
            <v>0</v>
          </cell>
        </row>
        <row r="745">
          <cell r="H745" t="str">
            <v>90335148470S</v>
          </cell>
          <cell r="I745">
            <v>47480556</v>
          </cell>
          <cell r="R745" t="str">
            <v>90335148470S</v>
          </cell>
          <cell r="X745" t="str">
            <v>힙스터 도킹2</v>
          </cell>
          <cell r="Y745" t="str">
            <v>힙스터 도킹형보조배터리 8핀 퍼플</v>
          </cell>
          <cell r="AC745" t="str">
            <v>개당광고비→</v>
          </cell>
          <cell r="AG745" t="str">
            <v>광고X</v>
          </cell>
          <cell r="AH745" t="str">
            <v>광고X</v>
          </cell>
        </row>
        <row r="746">
          <cell r="H746">
            <v>90335148470</v>
          </cell>
          <cell r="I746">
            <v>47480556</v>
          </cell>
          <cell r="R746">
            <v>90335148470</v>
          </cell>
          <cell r="X746" t="str">
            <v>힙스터 도킹2</v>
          </cell>
          <cell r="Y746" t="str">
            <v>도킹형보조배터리90335148470</v>
          </cell>
        </row>
        <row r="747">
          <cell r="H747">
            <v>90335148499</v>
          </cell>
          <cell r="I747">
            <v>47480560</v>
          </cell>
          <cell r="J747">
            <v>474</v>
          </cell>
          <cell r="K747">
            <v>345</v>
          </cell>
          <cell r="L747">
            <v>8900</v>
          </cell>
          <cell r="M747">
            <v>8900</v>
          </cell>
          <cell r="N747">
            <v>7900</v>
          </cell>
          <cell r="O747">
            <v>14900</v>
          </cell>
          <cell r="P747">
            <v>18600</v>
          </cell>
          <cell r="Q747">
            <v>9510</v>
          </cell>
          <cell r="R747">
            <v>90335148499</v>
          </cell>
          <cell r="S747" t="str">
            <v>윤혜주BM</v>
          </cell>
          <cell r="V747">
            <v>8900</v>
          </cell>
          <cell r="W747" t="str">
            <v>https://smartstore.naver.com/sskoreatrade/products/10376765056</v>
          </cell>
          <cell r="X747" t="str">
            <v>힙스터 도킹2</v>
          </cell>
          <cell r="Y747" t="str">
            <v>힙스터 도킹형보조배터리 8핀 민트</v>
          </cell>
          <cell r="AB747" t="str">
            <v>coupang.com/vp/products/8166155514?itemId=23303101755&amp;vendorItemId=90335148499</v>
          </cell>
          <cell r="AC747">
            <v>2330</v>
          </cell>
          <cell r="AD747">
            <v>233</v>
          </cell>
          <cell r="AE747">
            <v>2563</v>
          </cell>
          <cell r="AG747">
            <v>6590.9090909090901</v>
          </cell>
          <cell r="AH747">
            <v>659.09090909090992</v>
          </cell>
          <cell r="AI747">
            <v>7250</v>
          </cell>
          <cell r="AK747">
            <v>4260.9090909090901</v>
          </cell>
        </row>
        <row r="748">
          <cell r="H748" t="str">
            <v>90335148499AD</v>
          </cell>
          <cell r="I748">
            <v>47480560</v>
          </cell>
          <cell r="R748" t="str">
            <v>90335148499AD</v>
          </cell>
          <cell r="X748" t="str">
            <v>힙스터 도킹2</v>
          </cell>
          <cell r="Y748" t="str">
            <v>힙스터 도킹형보조배터리 8핀 민트</v>
          </cell>
          <cell r="AB748">
            <v>0</v>
          </cell>
          <cell r="AC748">
            <v>0</v>
          </cell>
          <cell r="AG748" t="str">
            <v>0</v>
          </cell>
        </row>
        <row r="749">
          <cell r="H749" t="str">
            <v>90335148499S</v>
          </cell>
          <cell r="I749">
            <v>47480560</v>
          </cell>
          <cell r="R749" t="str">
            <v>90335148499S</v>
          </cell>
          <cell r="X749" t="str">
            <v>힙스터 도킹2</v>
          </cell>
          <cell r="Y749" t="str">
            <v>힙스터 도킹형보조배터리 8핀 민트</v>
          </cell>
          <cell r="AC749" t="str">
            <v>개당광고비→</v>
          </cell>
          <cell r="AG749" t="str">
            <v>광고X</v>
          </cell>
          <cell r="AH749" t="str">
            <v>광고X</v>
          </cell>
        </row>
        <row r="750">
          <cell r="H750">
            <v>90335148499</v>
          </cell>
          <cell r="I750">
            <v>47480560</v>
          </cell>
          <cell r="R750">
            <v>90335148499</v>
          </cell>
          <cell r="X750" t="str">
            <v>힙스터 도킹2</v>
          </cell>
          <cell r="Y750" t="str">
            <v>도킹형보조배터리90335148499</v>
          </cell>
        </row>
        <row r="751">
          <cell r="H751">
            <v>90335148424</v>
          </cell>
          <cell r="I751">
            <v>47480549</v>
          </cell>
          <cell r="J751">
            <v>313</v>
          </cell>
          <cell r="K751">
            <v>345</v>
          </cell>
          <cell r="L751">
            <v>8900</v>
          </cell>
          <cell r="M751">
            <v>8900</v>
          </cell>
          <cell r="N751">
            <v>7900</v>
          </cell>
          <cell r="O751">
            <v>14900</v>
          </cell>
          <cell r="P751">
            <v>18600</v>
          </cell>
          <cell r="Q751">
            <v>8900</v>
          </cell>
          <cell r="R751">
            <v>90335148424</v>
          </cell>
          <cell r="S751" t="str">
            <v>윤혜주BM</v>
          </cell>
          <cell r="V751">
            <v>8900</v>
          </cell>
          <cell r="W751" t="str">
            <v>https://smartstore.naver.com/sskoreatrade/products/10376765056</v>
          </cell>
          <cell r="X751" t="str">
            <v>힙스터 도킹2</v>
          </cell>
          <cell r="Y751" t="str">
            <v>힙스터 도킹형보조배터리 8핀 블랙</v>
          </cell>
          <cell r="AB751" t="str">
            <v>coupang.com/vp/products/8166155514?itemId=23303101740&amp;vendorItemId=90335148424</v>
          </cell>
          <cell r="AC751">
            <v>2330</v>
          </cell>
          <cell r="AD751">
            <v>233</v>
          </cell>
          <cell r="AE751">
            <v>2563</v>
          </cell>
          <cell r="AG751">
            <v>6590.9090909090901</v>
          </cell>
          <cell r="AH751">
            <v>659.09090909090992</v>
          </cell>
          <cell r="AI751">
            <v>7250</v>
          </cell>
          <cell r="AK751">
            <v>4260.9090909090901</v>
          </cell>
        </row>
        <row r="752">
          <cell r="H752" t="str">
            <v>90335148424AD</v>
          </cell>
          <cell r="I752">
            <v>47480549</v>
          </cell>
          <cell r="R752" t="str">
            <v>90335148424AD</v>
          </cell>
          <cell r="X752" t="str">
            <v>힙스터 도킹2</v>
          </cell>
          <cell r="Y752" t="str">
            <v>힙스터 도킹형보조배터리 8핀 블랙</v>
          </cell>
          <cell r="AB752">
            <v>0</v>
          </cell>
          <cell r="AC752">
            <v>0</v>
          </cell>
          <cell r="AG752" t="str">
            <v>0</v>
          </cell>
        </row>
        <row r="753">
          <cell r="H753" t="str">
            <v>90335148424S</v>
          </cell>
          <cell r="I753">
            <v>47480549</v>
          </cell>
          <cell r="R753" t="str">
            <v>90335148424S</v>
          </cell>
          <cell r="X753" t="str">
            <v>힙스터 도킹2</v>
          </cell>
          <cell r="Y753" t="str">
            <v>힙스터 도킹형보조배터리 8핀 블랙</v>
          </cell>
          <cell r="AC753" t="str">
            <v>개당광고비→</v>
          </cell>
          <cell r="AG753" t="str">
            <v>광고X</v>
          </cell>
          <cell r="AH753" t="str">
            <v>광고X</v>
          </cell>
        </row>
        <row r="754">
          <cell r="H754">
            <v>90335148424</v>
          </cell>
          <cell r="I754">
            <v>47480549</v>
          </cell>
          <cell r="R754">
            <v>90335148424</v>
          </cell>
          <cell r="X754" t="str">
            <v>힙스터 도킹2</v>
          </cell>
          <cell r="Y754" t="str">
            <v>도킹형보조배터리90335148424</v>
          </cell>
        </row>
        <row r="755">
          <cell r="H755">
            <v>90335148479</v>
          </cell>
          <cell r="I755">
            <v>47480553</v>
          </cell>
          <cell r="J755">
            <v>695</v>
          </cell>
          <cell r="K755">
            <v>191</v>
          </cell>
          <cell r="L755">
            <v>8900</v>
          </cell>
          <cell r="M755">
            <v>8900</v>
          </cell>
          <cell r="N755">
            <v>7900</v>
          </cell>
          <cell r="O755">
            <v>14900</v>
          </cell>
          <cell r="P755">
            <v>18600</v>
          </cell>
          <cell r="Q755">
            <v>8900</v>
          </cell>
          <cell r="R755">
            <v>90335148479</v>
          </cell>
          <cell r="S755" t="str">
            <v>윤혜주BM</v>
          </cell>
          <cell r="V755">
            <v>8900</v>
          </cell>
          <cell r="W755" t="str">
            <v>https://smartstore.naver.com/sskoreatrade/products/10376765056</v>
          </cell>
          <cell r="X755" t="str">
            <v>힙스터 도킹2</v>
          </cell>
          <cell r="Y755" t="str">
            <v>힙스터 도킹형보조배터리 C타입 민트</v>
          </cell>
          <cell r="AB755" t="str">
            <v>coupang.com/vp/products/8166155521?itemId=23303101812&amp;vendorItemId=90335148479</v>
          </cell>
          <cell r="AC755">
            <v>2373.6363636363635</v>
          </cell>
          <cell r="AD755">
            <v>237.36363636363637</v>
          </cell>
          <cell r="AE755">
            <v>2611</v>
          </cell>
          <cell r="AG755">
            <v>6590.9090909090901</v>
          </cell>
          <cell r="AH755">
            <v>659.09090909090992</v>
          </cell>
          <cell r="AI755">
            <v>7250</v>
          </cell>
          <cell r="AK755">
            <v>4217.2727272727261</v>
          </cell>
        </row>
        <row r="756">
          <cell r="H756" t="str">
            <v>90335148479AD</v>
          </cell>
          <cell r="I756">
            <v>47480553</v>
          </cell>
          <cell r="R756" t="str">
            <v>90335148479AD</v>
          </cell>
          <cell r="X756" t="str">
            <v>힙스터 도킹2</v>
          </cell>
          <cell r="Y756" t="str">
            <v>힙스터 도킹형보조배터리 C타입 민트</v>
          </cell>
          <cell r="AB756">
            <v>1</v>
          </cell>
          <cell r="AC756">
            <v>4217.2727272727261</v>
          </cell>
          <cell r="AG756" t="str">
            <v>0</v>
          </cell>
        </row>
        <row r="757">
          <cell r="H757" t="str">
            <v>90335148479S</v>
          </cell>
          <cell r="I757">
            <v>47480553</v>
          </cell>
          <cell r="R757" t="str">
            <v>90335148479S</v>
          </cell>
          <cell r="X757" t="str">
            <v>힙스터 도킹2</v>
          </cell>
          <cell r="Y757" t="str">
            <v>힙스터 도킹형보조배터리 C타입 민트</v>
          </cell>
          <cell r="AC757" t="str">
            <v>개당광고비→</v>
          </cell>
          <cell r="AG757" t="str">
            <v>광고X</v>
          </cell>
          <cell r="AH757" t="str">
            <v>광고X</v>
          </cell>
        </row>
        <row r="758">
          <cell r="H758">
            <v>90335148479</v>
          </cell>
          <cell r="I758">
            <v>47480553</v>
          </cell>
          <cell r="R758">
            <v>90335148479</v>
          </cell>
          <cell r="X758" t="str">
            <v>힙스터 도킹2</v>
          </cell>
          <cell r="Y758" t="str">
            <v>도킹형보조배터리90335148479</v>
          </cell>
        </row>
        <row r="759">
          <cell r="H759">
            <v>90335148468</v>
          </cell>
          <cell r="I759">
            <v>47480551</v>
          </cell>
          <cell r="J759">
            <v>592</v>
          </cell>
          <cell r="K759">
            <v>191</v>
          </cell>
          <cell r="L759">
            <v>8900</v>
          </cell>
          <cell r="M759">
            <v>8900</v>
          </cell>
          <cell r="N759">
            <v>7900</v>
          </cell>
          <cell r="O759">
            <v>14900</v>
          </cell>
          <cell r="P759">
            <v>18600</v>
          </cell>
          <cell r="Q759">
            <v>8900</v>
          </cell>
          <cell r="R759">
            <v>90335148468</v>
          </cell>
          <cell r="S759" t="str">
            <v>윤혜주BM</v>
          </cell>
          <cell r="V759">
            <v>8900</v>
          </cell>
          <cell r="W759" t="str">
            <v>https://smartstore.naver.com/sskoreatrade/products/10376765056</v>
          </cell>
          <cell r="X759" t="str">
            <v>힙스터 도킹2</v>
          </cell>
          <cell r="Y759" t="str">
            <v>힙스터 도킹형보조배터리 C타입 베이지</v>
          </cell>
          <cell r="AB759" t="str">
            <v>coupang.com/vp/products/8166155521?itemId=23303101808&amp;vendorItemId=90335148468</v>
          </cell>
          <cell r="AC759">
            <v>2373.6363636363635</v>
          </cell>
          <cell r="AD759">
            <v>237.36363636363637</v>
          </cell>
          <cell r="AE759">
            <v>2611</v>
          </cell>
          <cell r="AG759">
            <v>6590.9090909090901</v>
          </cell>
          <cell r="AH759">
            <v>659.09090909090992</v>
          </cell>
          <cell r="AI759">
            <v>7250</v>
          </cell>
          <cell r="AK759">
            <v>4217.2727272727261</v>
          </cell>
        </row>
        <row r="760">
          <cell r="H760" t="str">
            <v>90335148468AD</v>
          </cell>
          <cell r="I760">
            <v>47480551</v>
          </cell>
          <cell r="R760" t="str">
            <v>90335148468AD</v>
          </cell>
          <cell r="X760" t="str">
            <v>힙스터 도킹2</v>
          </cell>
          <cell r="Y760" t="str">
            <v>힙스터 도킹형보조배터리 C타입 베이지</v>
          </cell>
          <cell r="AB760">
            <v>0</v>
          </cell>
          <cell r="AC760">
            <v>0</v>
          </cell>
          <cell r="AG760" t="str">
            <v>0</v>
          </cell>
        </row>
        <row r="761">
          <cell r="H761" t="str">
            <v>90335148468S</v>
          </cell>
          <cell r="I761">
            <v>47480551</v>
          </cell>
          <cell r="R761" t="str">
            <v>90335148468S</v>
          </cell>
          <cell r="X761" t="str">
            <v>힙스터 도킹2</v>
          </cell>
          <cell r="Y761" t="str">
            <v>힙스터 도킹형보조배터리 C타입 베이지</v>
          </cell>
          <cell r="AC761" t="str">
            <v>개당광고비→</v>
          </cell>
          <cell r="AG761" t="str">
            <v>광고X</v>
          </cell>
          <cell r="AH761" t="str">
            <v>광고X</v>
          </cell>
        </row>
        <row r="762">
          <cell r="H762">
            <v>90335148468</v>
          </cell>
          <cell r="I762">
            <v>47480551</v>
          </cell>
          <cell r="R762">
            <v>90335148468</v>
          </cell>
          <cell r="X762" t="str">
            <v>힙스터 도킹2</v>
          </cell>
          <cell r="Y762" t="str">
            <v>도킹형보조배터리90335148468</v>
          </cell>
        </row>
        <row r="763">
          <cell r="H763">
            <v>90335148489</v>
          </cell>
          <cell r="I763">
            <v>47480555</v>
          </cell>
          <cell r="J763">
            <v>637</v>
          </cell>
          <cell r="K763">
            <v>191</v>
          </cell>
          <cell r="L763">
            <v>8900</v>
          </cell>
          <cell r="M763">
            <v>8900</v>
          </cell>
          <cell r="N763">
            <v>7900</v>
          </cell>
          <cell r="O763">
            <v>14900</v>
          </cell>
          <cell r="P763">
            <v>18600</v>
          </cell>
          <cell r="Q763">
            <v>8900</v>
          </cell>
          <cell r="R763">
            <v>90335148489</v>
          </cell>
          <cell r="S763" t="str">
            <v>윤혜주BM</v>
          </cell>
          <cell r="V763">
            <v>8900</v>
          </cell>
          <cell r="W763" t="str">
            <v>https://smartstore.naver.com/sskoreatrade/products/10376765056</v>
          </cell>
          <cell r="X763" t="str">
            <v>힙스터 도킹2</v>
          </cell>
          <cell r="Y763" t="str">
            <v>힙스터 도킹형보조배터리 C타입 블랙</v>
          </cell>
          <cell r="AB763" t="str">
            <v>coupang.com/vp/products/8166155521?itemId=23303101816&amp;vendorItemId=90335148489</v>
          </cell>
          <cell r="AC763">
            <v>2373.6363636363635</v>
          </cell>
          <cell r="AD763">
            <v>237.36363636363637</v>
          </cell>
          <cell r="AE763">
            <v>2611</v>
          </cell>
          <cell r="AG763">
            <v>6590.9090909090901</v>
          </cell>
          <cell r="AH763">
            <v>659.09090909090992</v>
          </cell>
          <cell r="AI763">
            <v>7250</v>
          </cell>
          <cell r="AK763">
            <v>4217.2727272727261</v>
          </cell>
        </row>
        <row r="764">
          <cell r="H764" t="str">
            <v>90335148489AD</v>
          </cell>
          <cell r="I764">
            <v>47480555</v>
          </cell>
          <cell r="R764" t="str">
            <v>90335148489AD</v>
          </cell>
          <cell r="X764" t="str">
            <v>힙스터 도킹2</v>
          </cell>
          <cell r="Y764" t="str">
            <v>힙스터 도킹형보조배터리 C타입 블랙</v>
          </cell>
          <cell r="AB764">
            <v>0</v>
          </cell>
          <cell r="AC764">
            <v>0</v>
          </cell>
          <cell r="AG764" t="str">
            <v>0</v>
          </cell>
        </row>
        <row r="765">
          <cell r="H765" t="str">
            <v>90335148489S</v>
          </cell>
          <cell r="I765">
            <v>47480555</v>
          </cell>
          <cell r="R765" t="str">
            <v>90335148489S</v>
          </cell>
          <cell r="X765" t="str">
            <v>힙스터 도킹2</v>
          </cell>
          <cell r="Y765" t="str">
            <v>힙스터 도킹형보조배터리 C타입 블랙</v>
          </cell>
          <cell r="AC765" t="str">
            <v>개당광고비→</v>
          </cell>
          <cell r="AG765" t="str">
            <v>광고X</v>
          </cell>
          <cell r="AH765" t="str">
            <v>광고X</v>
          </cell>
        </row>
        <row r="766">
          <cell r="H766">
            <v>90335148489</v>
          </cell>
          <cell r="I766">
            <v>47480555</v>
          </cell>
          <cell r="R766">
            <v>90335148489</v>
          </cell>
          <cell r="X766" t="str">
            <v>힙스터 도킹2</v>
          </cell>
          <cell r="Y766" t="str">
            <v>도킹형보조배터리90335148489</v>
          </cell>
        </row>
        <row r="767">
          <cell r="H767">
            <v>90335148504</v>
          </cell>
          <cell r="I767">
            <v>47480557</v>
          </cell>
          <cell r="J767">
            <v>845</v>
          </cell>
          <cell r="K767">
            <v>191</v>
          </cell>
          <cell r="L767">
            <v>8900</v>
          </cell>
          <cell r="M767">
            <v>8900</v>
          </cell>
          <cell r="N767">
            <v>7900</v>
          </cell>
          <cell r="O767">
            <v>14900</v>
          </cell>
          <cell r="P767">
            <v>18600</v>
          </cell>
          <cell r="Q767">
            <v>8900</v>
          </cell>
          <cell r="R767">
            <v>90335148504</v>
          </cell>
          <cell r="S767" t="str">
            <v>윤혜주BM</v>
          </cell>
          <cell r="V767">
            <v>8900</v>
          </cell>
          <cell r="W767" t="str">
            <v>https://smartstore.naver.com/sskoreatrade/products/10376765056</v>
          </cell>
          <cell r="X767" t="str">
            <v>힙스터 도킹2</v>
          </cell>
          <cell r="Y767" t="str">
            <v>힙스터 도킹형보조배터리 C타입 퍼플</v>
          </cell>
          <cell r="AB767" t="str">
            <v>coupang.com/vp/products/8166155521?itemId=23303101818&amp;vendorItemId=90335148504</v>
          </cell>
          <cell r="AC767">
            <v>2373.6363636363635</v>
          </cell>
          <cell r="AD767">
            <v>237.36363636363637</v>
          </cell>
          <cell r="AE767">
            <v>2611</v>
          </cell>
          <cell r="AG767">
            <v>6590.9090909090901</v>
          </cell>
          <cell r="AH767">
            <v>659.09090909090992</v>
          </cell>
          <cell r="AI767">
            <v>7250</v>
          </cell>
          <cell r="AK767">
            <v>4217.2727272727261</v>
          </cell>
        </row>
        <row r="768">
          <cell r="H768" t="str">
            <v>90335148504AD</v>
          </cell>
          <cell r="I768">
            <v>47480557</v>
          </cell>
          <cell r="R768" t="str">
            <v>90335148504AD</v>
          </cell>
          <cell r="X768" t="str">
            <v>힙스터 도킹2</v>
          </cell>
          <cell r="Y768" t="str">
            <v>힙스터 도킹형보조배터리 C타입 퍼플</v>
          </cell>
          <cell r="AB768">
            <v>3</v>
          </cell>
          <cell r="AC768">
            <v>12651.818181818178</v>
          </cell>
          <cell r="AG768" t="str">
            <v>0</v>
          </cell>
        </row>
        <row r="769">
          <cell r="H769" t="str">
            <v>90335148504S</v>
          </cell>
          <cell r="I769">
            <v>47480557</v>
          </cell>
          <cell r="R769" t="str">
            <v>90335148504S</v>
          </cell>
          <cell r="X769" t="str">
            <v>힙스터 도킹2</v>
          </cell>
          <cell r="Y769" t="str">
            <v>힙스터 도킹형보조배터리 C타입 퍼플</v>
          </cell>
          <cell r="AC769" t="str">
            <v>개당광고비→</v>
          </cell>
          <cell r="AG769" t="str">
            <v>광고X</v>
          </cell>
          <cell r="AH769" t="str">
            <v>광고X</v>
          </cell>
        </row>
        <row r="770">
          <cell r="H770">
            <v>90335148504</v>
          </cell>
          <cell r="I770">
            <v>47480557</v>
          </cell>
          <cell r="R770">
            <v>90335148504</v>
          </cell>
          <cell r="X770" t="str">
            <v>힙스터 도킹2</v>
          </cell>
          <cell r="Y770" t="str">
            <v>도킹형보조배터리90335148504</v>
          </cell>
        </row>
        <row r="771">
          <cell r="H771">
            <v>90335148540</v>
          </cell>
          <cell r="I771">
            <v>47480561</v>
          </cell>
          <cell r="J771">
            <v>997</v>
          </cell>
          <cell r="K771">
            <v>191</v>
          </cell>
          <cell r="L771">
            <v>8900</v>
          </cell>
          <cell r="M771">
            <v>8900</v>
          </cell>
          <cell r="N771">
            <v>8900</v>
          </cell>
          <cell r="O771">
            <v>14900</v>
          </cell>
          <cell r="P771">
            <v>18600</v>
          </cell>
          <cell r="Q771">
            <v>8900</v>
          </cell>
          <cell r="R771">
            <v>90335148540</v>
          </cell>
          <cell r="S771" t="str">
            <v>윤혜주BM</v>
          </cell>
          <cell r="V771">
            <v>8900</v>
          </cell>
          <cell r="W771" t="str">
            <v>https://smartstore.naver.com/sskoreatrade/products/10376765056</v>
          </cell>
          <cell r="X771" t="str">
            <v>힙스터 도킹2</v>
          </cell>
          <cell r="Y771" t="str">
            <v>힙스터 도킹형보조배터리 C타입 핑크</v>
          </cell>
          <cell r="AB771" t="str">
            <v>coupang.com/vp/products/8166155521?itemId=23303101825&amp;vendorItemId=90335148540</v>
          </cell>
          <cell r="AC771">
            <v>2373.6363636363635</v>
          </cell>
          <cell r="AD771">
            <v>237.36363636363637</v>
          </cell>
          <cell r="AE771">
            <v>2611</v>
          </cell>
          <cell r="AG771">
            <v>6590.9090909090901</v>
          </cell>
          <cell r="AH771">
            <v>659.09090909090992</v>
          </cell>
          <cell r="AI771">
            <v>7250</v>
          </cell>
          <cell r="AK771">
            <v>4217.2727272727261</v>
          </cell>
        </row>
        <row r="772">
          <cell r="H772" t="str">
            <v>90335148540AD</v>
          </cell>
          <cell r="I772">
            <v>47480561</v>
          </cell>
          <cell r="R772" t="str">
            <v>90335148540AD</v>
          </cell>
          <cell r="X772" t="str">
            <v>힙스터 도킹2</v>
          </cell>
          <cell r="Y772" t="str">
            <v>힙스터 도킹형보조배터리 C타입 핑크</v>
          </cell>
          <cell r="AB772">
            <v>1</v>
          </cell>
          <cell r="AC772">
            <v>4217.2727272727261</v>
          </cell>
          <cell r="AG772" t="str">
            <v>0</v>
          </cell>
        </row>
        <row r="773">
          <cell r="H773" t="str">
            <v>90335148540S</v>
          </cell>
          <cell r="I773">
            <v>47480561</v>
          </cell>
          <cell r="R773" t="str">
            <v>90335148540S</v>
          </cell>
          <cell r="X773" t="str">
            <v>힙스터 도킹2</v>
          </cell>
          <cell r="Y773" t="str">
            <v>힙스터 도킹형보조배터리 C타입 핑크</v>
          </cell>
          <cell r="AC773" t="str">
            <v>개당광고비→</v>
          </cell>
          <cell r="AG773" t="str">
            <v>광고X</v>
          </cell>
          <cell r="AH773" t="str">
            <v>광고X</v>
          </cell>
        </row>
        <row r="774">
          <cell r="H774">
            <v>90335148540</v>
          </cell>
          <cell r="I774">
            <v>47480561</v>
          </cell>
          <cell r="R774">
            <v>90335148540</v>
          </cell>
          <cell r="X774" t="str">
            <v>힙스터 도킹2</v>
          </cell>
          <cell r="Y774" t="str">
            <v>도킹형보조배터리90335148540</v>
          </cell>
        </row>
        <row r="775">
          <cell r="H775">
            <v>90335148526</v>
          </cell>
          <cell r="I775">
            <v>47480559</v>
          </cell>
          <cell r="J775">
            <v>1838</v>
          </cell>
          <cell r="K775">
            <v>191</v>
          </cell>
          <cell r="L775">
            <v>8900</v>
          </cell>
          <cell r="M775">
            <v>8900</v>
          </cell>
          <cell r="N775">
            <v>8900</v>
          </cell>
          <cell r="O775">
            <v>14900</v>
          </cell>
          <cell r="P775">
            <v>18600</v>
          </cell>
          <cell r="Q775">
            <v>8900</v>
          </cell>
          <cell r="R775">
            <v>90335148526</v>
          </cell>
          <cell r="S775" t="str">
            <v>윤혜주BM</v>
          </cell>
          <cell r="V775">
            <v>8900</v>
          </cell>
          <cell r="W775" t="str">
            <v>https://smartstore.naver.com/sskoreatrade/products/10376765056</v>
          </cell>
          <cell r="X775" t="str">
            <v>힙스터 도킹2</v>
          </cell>
          <cell r="Y775" t="str">
            <v>힙스터 도킹형보조배터리 C타입 화이트</v>
          </cell>
          <cell r="AB775" t="str">
            <v>coupang.com/vp/products/8166155521?itemId=23303101823&amp;vendorItemId=90335148526</v>
          </cell>
          <cell r="AC775">
            <v>2373.6363636363635</v>
          </cell>
          <cell r="AD775">
            <v>237.36363636363637</v>
          </cell>
          <cell r="AE775">
            <v>2611</v>
          </cell>
          <cell r="AG775">
            <v>6590.9090909090901</v>
          </cell>
          <cell r="AH775">
            <v>659.09090909090992</v>
          </cell>
          <cell r="AI775">
            <v>7250</v>
          </cell>
          <cell r="AK775">
            <v>4217.2727272727261</v>
          </cell>
        </row>
        <row r="776">
          <cell r="H776" t="str">
            <v>90335148526AD</v>
          </cell>
          <cell r="I776">
            <v>47480559</v>
          </cell>
          <cell r="R776" t="str">
            <v>90335148526AD</v>
          </cell>
          <cell r="X776" t="str">
            <v>힙스터 도킹2</v>
          </cell>
          <cell r="Y776" t="str">
            <v>힙스터 도킹형보조배터리 C타입 화이트</v>
          </cell>
          <cell r="AB776">
            <v>1</v>
          </cell>
          <cell r="AC776">
            <v>4217.2727272727261</v>
          </cell>
          <cell r="AG776" t="str">
            <v>0</v>
          </cell>
        </row>
        <row r="777">
          <cell r="H777" t="str">
            <v>90335148526S</v>
          </cell>
          <cell r="I777">
            <v>47480559</v>
          </cell>
          <cell r="R777" t="str">
            <v>90335148526S</v>
          </cell>
          <cell r="X777" t="str">
            <v>힙스터 도킹2</v>
          </cell>
          <cell r="Y777" t="str">
            <v>힙스터 도킹형보조배터리 C타입 화이트</v>
          </cell>
          <cell r="AC777" t="str">
            <v>개당광고비→</v>
          </cell>
          <cell r="AG777" t="str">
            <v>광고X</v>
          </cell>
          <cell r="AH777" t="str">
            <v>광고X</v>
          </cell>
        </row>
        <row r="778">
          <cell r="H778">
            <v>90335148526</v>
          </cell>
          <cell r="I778">
            <v>47480559</v>
          </cell>
          <cell r="R778">
            <v>90335148526</v>
          </cell>
          <cell r="X778" t="str">
            <v>힙스터 도킹2</v>
          </cell>
          <cell r="Y778" t="str">
            <v>도킹형보조배터리90335148526</v>
          </cell>
        </row>
        <row r="779">
          <cell r="H779">
            <v>90336946005</v>
          </cell>
          <cell r="I779">
            <v>47493973</v>
          </cell>
          <cell r="J779">
            <v>1976</v>
          </cell>
          <cell r="K779">
            <v>35</v>
          </cell>
          <cell r="L779">
            <v>10450</v>
          </cell>
          <cell r="M779">
            <v>10450</v>
          </cell>
          <cell r="N779">
            <v>7900</v>
          </cell>
          <cell r="O779">
            <v>14900</v>
          </cell>
          <cell r="P779">
            <v>18600</v>
          </cell>
          <cell r="Q779">
            <v>9730</v>
          </cell>
          <cell r="R779">
            <v>90336946005</v>
          </cell>
          <cell r="S779" t="str">
            <v>윤혜주BM</v>
          </cell>
          <cell r="V779">
            <v>8900</v>
          </cell>
          <cell r="W779" t="str">
            <v>https://smartstore.naver.com/sskoreatrade/products/10376765056</v>
          </cell>
          <cell r="X779" t="str">
            <v>힙스터 도킹2</v>
          </cell>
          <cell r="Y779" t="str">
            <v>힙스터 도킹형보조배터리 C타입+C스트랩 화이트</v>
          </cell>
          <cell r="AB779" t="str">
            <v>coupang.com/vp/products/8166643366?itemId=23304918521&amp;vendorItemId=90336946005</v>
          </cell>
          <cell r="AC779">
            <v>2282.7272727272725</v>
          </cell>
          <cell r="AD779">
            <v>228.27272727272725</v>
          </cell>
          <cell r="AE779">
            <v>2511</v>
          </cell>
          <cell r="AG779">
            <v>6590.9090909090901</v>
          </cell>
          <cell r="AH779">
            <v>659.09090909090992</v>
          </cell>
          <cell r="AI779">
            <v>7250</v>
          </cell>
          <cell r="AK779">
            <v>4308.181818181818</v>
          </cell>
        </row>
        <row r="780">
          <cell r="H780" t="str">
            <v>90336946005AD</v>
          </cell>
          <cell r="I780">
            <v>47493973</v>
          </cell>
          <cell r="R780" t="str">
            <v>90336946005AD</v>
          </cell>
          <cell r="X780" t="str">
            <v>힙스터 도킹2</v>
          </cell>
          <cell r="Y780" t="str">
            <v>힙스터 도킹형보조배터리 C타입+C스트랩 화이트</v>
          </cell>
          <cell r="AB780">
            <v>0</v>
          </cell>
          <cell r="AC780">
            <v>0</v>
          </cell>
          <cell r="AG780" t="str">
            <v>0</v>
          </cell>
        </row>
        <row r="781">
          <cell r="H781" t="str">
            <v>90336946005S</v>
          </cell>
          <cell r="I781">
            <v>47493973</v>
          </cell>
          <cell r="R781" t="str">
            <v>90336946005S</v>
          </cell>
          <cell r="X781" t="str">
            <v>힙스터 도킹2</v>
          </cell>
          <cell r="Y781" t="str">
            <v>힙스터 도킹형보조배터리 C타입+C스트랩 화이트</v>
          </cell>
          <cell r="AC781" t="str">
            <v>개당광고비→</v>
          </cell>
          <cell r="AG781" t="str">
            <v>광고X</v>
          </cell>
          <cell r="AH781" t="str">
            <v>광고X</v>
          </cell>
        </row>
        <row r="782">
          <cell r="H782">
            <v>90336946005</v>
          </cell>
          <cell r="I782">
            <v>47493973</v>
          </cell>
          <cell r="R782">
            <v>90336946005</v>
          </cell>
          <cell r="X782" t="str">
            <v>힙스터 도킹2</v>
          </cell>
          <cell r="Y782" t="str">
            <v>도킹형보조배터리90336946005</v>
          </cell>
        </row>
        <row r="783">
          <cell r="H783">
            <v>89425052948</v>
          </cell>
          <cell r="I783">
            <v>44540253</v>
          </cell>
          <cell r="J783">
            <v>2580</v>
          </cell>
          <cell r="K783">
            <v>153</v>
          </cell>
          <cell r="L783">
            <v>16900</v>
          </cell>
          <cell r="M783">
            <v>16900</v>
          </cell>
          <cell r="N783">
            <v>16900</v>
          </cell>
          <cell r="P783">
            <v>35900</v>
          </cell>
          <cell r="Q783">
            <v>16300</v>
          </cell>
          <cell r="R783">
            <v>89425052948</v>
          </cell>
          <cell r="S783" t="str">
            <v>백승민BM</v>
          </cell>
          <cell r="V783">
            <v>16900</v>
          </cell>
          <cell r="W783" t="str">
            <v>https://smartstore.naver.com/sskoreatrade/products/9979584297</v>
          </cell>
          <cell r="X783" t="str">
            <v>뉴클 이어폰_에어투이어</v>
          </cell>
          <cell r="Y783" t="str">
            <v>에어투이어 투명 블루투스 이어폰 V5.3</v>
          </cell>
          <cell r="AB783" t="str">
            <v>coupang.com/vp/products/8015593941?itemId=22380071947&amp;vendorItemId=89425052948</v>
          </cell>
          <cell r="AC783">
            <v>5361.8181818181811</v>
          </cell>
          <cell r="AD783">
            <v>536.18181818181813</v>
          </cell>
          <cell r="AE783">
            <v>5898</v>
          </cell>
          <cell r="AG783">
            <v>12290.90909090909</v>
          </cell>
          <cell r="AH783">
            <v>1229.0909090909099</v>
          </cell>
          <cell r="AI783">
            <v>13520</v>
          </cell>
          <cell r="AK783">
            <v>6929.090909090909</v>
          </cell>
        </row>
        <row r="784">
          <cell r="H784" t="str">
            <v>89425052948AD</v>
          </cell>
          <cell r="I784">
            <v>44540253</v>
          </cell>
          <cell r="R784" t="str">
            <v>89425052948AD</v>
          </cell>
          <cell r="S784" t="str">
            <v>sebaek64@coupang.com</v>
          </cell>
          <cell r="V784">
            <v>45575</v>
          </cell>
          <cell r="X784" t="str">
            <v>뉴클 이어폰_에어투이어</v>
          </cell>
          <cell r="Y784" t="str">
            <v>에어투이어 투명 블루투스 이어폰 V5.3</v>
          </cell>
          <cell r="AB784">
            <v>7</v>
          </cell>
          <cell r="AC784">
            <v>48503.63636363636</v>
          </cell>
          <cell r="AG784">
            <v>3</v>
          </cell>
        </row>
        <row r="785">
          <cell r="H785" t="str">
            <v>89425052948S</v>
          </cell>
          <cell r="I785">
            <v>44540253</v>
          </cell>
          <cell r="R785" t="str">
            <v>89425052948S</v>
          </cell>
          <cell r="X785" t="str">
            <v>뉴클 이어폰_에어투이어</v>
          </cell>
          <cell r="Y785" t="str">
            <v>에어투이어 투명 블루투스 이어폰 V5.3</v>
          </cell>
          <cell r="AC785" t="str">
            <v>개당광고비→</v>
          </cell>
          <cell r="AG785">
            <v>7720</v>
          </cell>
          <cell r="AH785">
            <v>23160</v>
          </cell>
        </row>
        <row r="786">
          <cell r="H786">
            <v>89425052948</v>
          </cell>
          <cell r="I786">
            <v>44540253</v>
          </cell>
          <cell r="R786">
            <v>89425052948</v>
          </cell>
          <cell r="X786" t="str">
            <v>뉴클 이어폰_에어투이어</v>
          </cell>
          <cell r="Y786" t="str">
            <v>무선이어폰89425052948</v>
          </cell>
        </row>
        <row r="787">
          <cell r="H787">
            <v>90474387686</v>
          </cell>
          <cell r="I787">
            <v>47935209</v>
          </cell>
          <cell r="J787">
            <v>893</v>
          </cell>
          <cell r="K787">
            <v>941</v>
          </cell>
          <cell r="L787">
            <v>9800</v>
          </cell>
          <cell r="M787">
            <v>9800</v>
          </cell>
          <cell r="N787">
            <v>10620</v>
          </cell>
          <cell r="O787">
            <v>16900</v>
          </cell>
          <cell r="P787">
            <v>21500</v>
          </cell>
          <cell r="Q787">
            <v>9800</v>
          </cell>
          <cell r="R787">
            <v>90474387686</v>
          </cell>
          <cell r="V787">
            <v>9900</v>
          </cell>
          <cell r="W787" t="str">
            <v>https://smartstore.naver.com/sskoreatrade/products/10453061362</v>
          </cell>
          <cell r="X787" t="str">
            <v>힙스터 선풍기</v>
          </cell>
          <cell r="Y787" t="str">
            <v>힙스터 미니 핸디선풍기 2000mAh 퍼플</v>
          </cell>
          <cell r="AB787" t="str">
            <v>coupang.com/vp/products/8191973839?itemId=23447605990&amp;vendorItemId=90474387686</v>
          </cell>
          <cell r="AC787">
            <v>1944.5454545454543</v>
          </cell>
          <cell r="AD787">
            <v>194.45454545454544</v>
          </cell>
          <cell r="AE787">
            <v>2139</v>
          </cell>
          <cell r="AG787">
            <v>7681.8181818181811</v>
          </cell>
          <cell r="AH787">
            <v>768.18181818181893</v>
          </cell>
          <cell r="AI787">
            <v>8450</v>
          </cell>
          <cell r="AK787">
            <v>5737.272727272727</v>
          </cell>
        </row>
        <row r="788">
          <cell r="H788" t="str">
            <v>90474387686AD</v>
          </cell>
          <cell r="I788">
            <v>47935209</v>
          </cell>
          <cell r="R788" t="str">
            <v>90474387686AD</v>
          </cell>
          <cell r="X788" t="str">
            <v>힙스터 선풍기</v>
          </cell>
          <cell r="Y788" t="str">
            <v>힙스터 미니 핸디선풍기 2000mAh 퍼플</v>
          </cell>
          <cell r="AB788">
            <v>0</v>
          </cell>
          <cell r="AC788">
            <v>0</v>
          </cell>
          <cell r="AG788" t="str">
            <v>0</v>
          </cell>
        </row>
        <row r="789">
          <cell r="H789" t="str">
            <v>90474387686S</v>
          </cell>
          <cell r="I789">
            <v>47935209</v>
          </cell>
          <cell r="R789" t="str">
            <v>90474387686S</v>
          </cell>
          <cell r="X789" t="str">
            <v>힙스터 선풍기</v>
          </cell>
          <cell r="Y789" t="str">
            <v>힙스터 미니 핸디선풍기 2000mAh 퍼플</v>
          </cell>
          <cell r="AC789" t="str">
            <v>개당광고비→</v>
          </cell>
          <cell r="AG789" t="str">
            <v>광고X</v>
          </cell>
          <cell r="AH789" t="str">
            <v>광고X</v>
          </cell>
        </row>
        <row r="790">
          <cell r="H790">
            <v>90474387686</v>
          </cell>
          <cell r="I790">
            <v>47935209</v>
          </cell>
          <cell r="R790">
            <v>90474387686</v>
          </cell>
          <cell r="X790" t="str">
            <v>힙스터 선풍기</v>
          </cell>
          <cell r="Y790" t="str">
            <v>휴대용선풍기90474387686</v>
          </cell>
        </row>
        <row r="791">
          <cell r="H791">
            <v>90474387623</v>
          </cell>
          <cell r="I791">
            <v>47935208</v>
          </cell>
          <cell r="J791">
            <v>414</v>
          </cell>
          <cell r="K791">
            <v>941</v>
          </cell>
          <cell r="L791">
            <v>9800</v>
          </cell>
          <cell r="M791">
            <v>9800</v>
          </cell>
          <cell r="N791">
            <v>10620</v>
          </cell>
          <cell r="O791">
            <v>16900</v>
          </cell>
          <cell r="P791">
            <v>21500</v>
          </cell>
          <cell r="Q791">
            <v>9800</v>
          </cell>
          <cell r="R791">
            <v>90474387623</v>
          </cell>
          <cell r="V791">
            <v>9900</v>
          </cell>
          <cell r="W791" t="str">
            <v>https://smartstore.naver.com/sskoreatrade/products/10453061362</v>
          </cell>
          <cell r="X791" t="str">
            <v>힙스터 선풍기</v>
          </cell>
          <cell r="Y791" t="str">
            <v>힙스터 미니 핸디선풍기 2000mAh 핑크</v>
          </cell>
          <cell r="AB791" t="str">
            <v>coupang.com/vp/products/8191973839?itemId=23447605979&amp;vendorItemId=90474387623</v>
          </cell>
          <cell r="AC791">
            <v>1944.5454545454543</v>
          </cell>
          <cell r="AD791">
            <v>194.45454545454544</v>
          </cell>
          <cell r="AE791">
            <v>2139</v>
          </cell>
          <cell r="AG791">
            <v>7681.8181818181811</v>
          </cell>
          <cell r="AH791">
            <v>768.18181818181893</v>
          </cell>
          <cell r="AI791">
            <v>8450</v>
          </cell>
          <cell r="AK791">
            <v>5737.272727272727</v>
          </cell>
        </row>
        <row r="792">
          <cell r="H792" t="str">
            <v>90474387623AD</v>
          </cell>
          <cell r="I792">
            <v>47935208</v>
          </cell>
          <cell r="R792" t="str">
            <v>90474387623AD</v>
          </cell>
          <cell r="X792" t="str">
            <v>힙스터 선풍기</v>
          </cell>
          <cell r="Y792" t="str">
            <v>힙스터 미니 핸디선풍기 2000mAh 핑크</v>
          </cell>
          <cell r="AB792">
            <v>1</v>
          </cell>
          <cell r="AC792">
            <v>5737.272727272727</v>
          </cell>
          <cell r="AG792" t="str">
            <v>0</v>
          </cell>
        </row>
        <row r="793">
          <cell r="H793" t="str">
            <v>90474387623S</v>
          </cell>
          <cell r="I793">
            <v>47935208</v>
          </cell>
          <cell r="R793" t="str">
            <v>90474387623S</v>
          </cell>
          <cell r="X793" t="str">
            <v>힙스터 선풍기</v>
          </cell>
          <cell r="Y793" t="str">
            <v>힙스터 미니 핸디선풍기 2000mAh 핑크</v>
          </cell>
          <cell r="AC793" t="str">
            <v>개당광고비→</v>
          </cell>
          <cell r="AG793" t="str">
            <v>광고X</v>
          </cell>
          <cell r="AH793" t="str">
            <v>광고X</v>
          </cell>
        </row>
        <row r="794">
          <cell r="H794">
            <v>90474387623</v>
          </cell>
          <cell r="I794">
            <v>47935208</v>
          </cell>
          <cell r="R794">
            <v>90474387623</v>
          </cell>
          <cell r="X794" t="str">
            <v>힙스터 선풍기</v>
          </cell>
          <cell r="Y794" t="str">
            <v>휴대용선풍기90474387623</v>
          </cell>
        </row>
        <row r="795">
          <cell r="H795">
            <v>90474387572</v>
          </cell>
          <cell r="I795">
            <v>47935207</v>
          </cell>
          <cell r="J795">
            <v>7430</v>
          </cell>
          <cell r="K795">
            <v>941</v>
          </cell>
          <cell r="L795">
            <v>9800</v>
          </cell>
          <cell r="M795">
            <v>9800</v>
          </cell>
          <cell r="N795">
            <v>10620</v>
          </cell>
          <cell r="O795">
            <v>16900</v>
          </cell>
          <cell r="P795">
            <v>21500</v>
          </cell>
          <cell r="Q795">
            <v>9800</v>
          </cell>
          <cell r="R795">
            <v>90474387572</v>
          </cell>
          <cell r="V795">
            <v>9900</v>
          </cell>
          <cell r="W795" t="str">
            <v>https://smartstore.naver.com/sskoreatrade/products/10453061362</v>
          </cell>
          <cell r="X795" t="str">
            <v>힙스터 선풍기</v>
          </cell>
          <cell r="Y795" t="str">
            <v>힙스터 미니 핸디선풍기 2000mAh 화이트</v>
          </cell>
          <cell r="AB795" t="str">
            <v>coupang.com/vp/products/8191973839?itemId=23447605969&amp;vendorItemId=90474387572</v>
          </cell>
          <cell r="AC795">
            <v>1944.5454545454543</v>
          </cell>
          <cell r="AD795">
            <v>194.45454545454544</v>
          </cell>
          <cell r="AE795">
            <v>2139</v>
          </cell>
          <cell r="AG795">
            <v>7681.8181818181811</v>
          </cell>
          <cell r="AH795">
            <v>768.18181818181893</v>
          </cell>
          <cell r="AI795">
            <v>8450</v>
          </cell>
          <cell r="AK795">
            <v>5737.272727272727</v>
          </cell>
        </row>
        <row r="796">
          <cell r="H796" t="str">
            <v>90474387572AD</v>
          </cell>
          <cell r="I796">
            <v>47935207</v>
          </cell>
          <cell r="R796" t="str">
            <v>90474387572AD</v>
          </cell>
          <cell r="X796" t="str">
            <v>힙스터 선풍기</v>
          </cell>
          <cell r="Y796" t="str">
            <v>힙스터 미니 핸디선풍기 2000mAh 화이트</v>
          </cell>
          <cell r="AB796">
            <v>1</v>
          </cell>
          <cell r="AC796">
            <v>5737.272727272727</v>
          </cell>
          <cell r="AG796" t="str">
            <v>0</v>
          </cell>
        </row>
        <row r="797">
          <cell r="H797" t="str">
            <v>90474387572S</v>
          </cell>
          <cell r="I797">
            <v>47935207</v>
          </cell>
          <cell r="R797" t="str">
            <v>90474387572S</v>
          </cell>
          <cell r="X797" t="str">
            <v>힙스터 선풍기</v>
          </cell>
          <cell r="Y797" t="str">
            <v>힙스터 미니 핸디선풍기 2000mAh 화이트</v>
          </cell>
          <cell r="AC797" t="str">
            <v>개당광고비→</v>
          </cell>
          <cell r="AG797" t="str">
            <v>광고X</v>
          </cell>
          <cell r="AH797" t="str">
            <v>광고X</v>
          </cell>
        </row>
        <row r="798">
          <cell r="H798">
            <v>90474387572</v>
          </cell>
          <cell r="I798">
            <v>47935207</v>
          </cell>
          <cell r="R798">
            <v>90474387572</v>
          </cell>
          <cell r="X798" t="str">
            <v>힙스터 선풍기</v>
          </cell>
          <cell r="Y798" t="str">
            <v>휴대용선풍기90474387572</v>
          </cell>
        </row>
        <row r="799">
          <cell r="H799">
            <v>92671811482</v>
          </cell>
          <cell r="I799">
            <v>60890954</v>
          </cell>
          <cell r="J799">
            <v>115</v>
          </cell>
          <cell r="K799">
            <v>941</v>
          </cell>
          <cell r="L799">
            <v>11000</v>
          </cell>
          <cell r="M799">
            <v>11000</v>
          </cell>
          <cell r="O799">
            <v>16900</v>
          </cell>
          <cell r="P799">
            <v>21500</v>
          </cell>
          <cell r="Q799">
            <v>9820</v>
          </cell>
          <cell r="R799">
            <v>92671811482</v>
          </cell>
          <cell r="V799">
            <v>9900</v>
          </cell>
          <cell r="W799" t="str">
            <v>https://smartstore.naver.com/sskoreatrade/products/10453061362</v>
          </cell>
          <cell r="X799" t="str">
            <v>힙스터 선풍기</v>
          </cell>
          <cell r="Y799" t="str">
            <v>힙스터 미니 핸디선풍기 2000mAh 블랙</v>
          </cell>
          <cell r="AB799" t="str">
            <v>coupang.com/vp/products/8191973839?itemId=25643501319&amp;vendorItemId=92671811482</v>
          </cell>
          <cell r="AC799">
            <v>1944.5454545454543</v>
          </cell>
          <cell r="AD799">
            <v>194.45454545454544</v>
          </cell>
          <cell r="AE799">
            <v>2139</v>
          </cell>
          <cell r="AG799">
            <v>9218.181818181818</v>
          </cell>
          <cell r="AH799">
            <v>921.81818181818198</v>
          </cell>
          <cell r="AI799">
            <v>10140</v>
          </cell>
          <cell r="AK799">
            <v>7273.636363636364</v>
          </cell>
        </row>
        <row r="800">
          <cell r="H800" t="str">
            <v>92671811482AD</v>
          </cell>
          <cell r="I800">
            <v>60890954</v>
          </cell>
          <cell r="R800" t="str">
            <v>92671811482AD</v>
          </cell>
          <cell r="X800" t="str">
            <v>힙스터 선풍기</v>
          </cell>
          <cell r="Y800" t="str">
            <v>힙스터 미니 핸디선풍기 2000mAh 블랙</v>
          </cell>
          <cell r="AB800">
            <v>-7</v>
          </cell>
          <cell r="AC800">
            <v>-50915.454545454544</v>
          </cell>
          <cell r="AG800" t="str">
            <v>0</v>
          </cell>
        </row>
        <row r="801">
          <cell r="H801" t="str">
            <v>92671811482S</v>
          </cell>
          <cell r="I801">
            <v>60890954</v>
          </cell>
          <cell r="R801" t="str">
            <v>92671811482S</v>
          </cell>
          <cell r="X801" t="str">
            <v>힙스터 선풍기</v>
          </cell>
          <cell r="Y801" t="str">
            <v>힙스터 미니 핸디선풍기 2000mAh 블랙</v>
          </cell>
          <cell r="AC801" t="str">
            <v>개당광고비→</v>
          </cell>
          <cell r="AG801" t="str">
            <v>광고X</v>
          </cell>
          <cell r="AH801" t="str">
            <v>광고X</v>
          </cell>
        </row>
        <row r="802">
          <cell r="H802">
            <v>92671811482</v>
          </cell>
          <cell r="I802">
            <v>60890954</v>
          </cell>
          <cell r="R802">
            <v>92671811482</v>
          </cell>
          <cell r="X802" t="str">
            <v>힙스터 선풍기</v>
          </cell>
          <cell r="Y802" t="str">
            <v>휴대용선풍기92671811482</v>
          </cell>
        </row>
        <row r="803">
          <cell r="H803">
            <v>90721284595</v>
          </cell>
          <cell r="I803">
            <v>48606154</v>
          </cell>
          <cell r="J803">
            <v>597</v>
          </cell>
          <cell r="K803">
            <v>90</v>
          </cell>
          <cell r="L803">
            <v>18900</v>
          </cell>
          <cell r="M803">
            <v>18900</v>
          </cell>
          <cell r="N803">
            <v>18900</v>
          </cell>
          <cell r="O803">
            <v>29900</v>
          </cell>
          <cell r="Q803">
            <v>18900</v>
          </cell>
          <cell r="R803">
            <v>90721284595</v>
          </cell>
          <cell r="V803">
            <v>18900</v>
          </cell>
          <cell r="W803" t="str">
            <v>https://smartstore.naver.com/sskoreatrade/products/10493696862</v>
          </cell>
          <cell r="X803" t="str">
            <v>뉴클 10000_컴팩트</v>
          </cell>
          <cell r="Y803" t="str">
            <v>뉴클 컴팩트 PD 고속충전 22.5W / 베이지</v>
          </cell>
          <cell r="AB803" t="str">
            <v>coupang.com/vp/products/8232603130?itemId=23696184393&amp;vendorItemId=90721284595</v>
          </cell>
          <cell r="AC803">
            <v>5590</v>
          </cell>
          <cell r="AD803">
            <v>559</v>
          </cell>
          <cell r="AE803">
            <v>6149</v>
          </cell>
          <cell r="AG803">
            <v>13745.454545454544</v>
          </cell>
          <cell r="AH803">
            <v>1374.5454545454559</v>
          </cell>
          <cell r="AI803">
            <v>15120</v>
          </cell>
          <cell r="AK803">
            <v>8155.4545454545441</v>
          </cell>
        </row>
        <row r="804">
          <cell r="H804" t="str">
            <v>90721284595AD</v>
          </cell>
          <cell r="I804">
            <v>48606154</v>
          </cell>
          <cell r="R804" t="str">
            <v>90721284595AD</v>
          </cell>
          <cell r="X804" t="str">
            <v>뉴클 10000_컴팩트</v>
          </cell>
          <cell r="Y804" t="str">
            <v>뉴클 컴팩트 PD 고속충전 22.5W / 베이지</v>
          </cell>
          <cell r="AB804">
            <v>1</v>
          </cell>
          <cell r="AC804">
            <v>8155.4545454545441</v>
          </cell>
          <cell r="AG804" t="str">
            <v>0</v>
          </cell>
        </row>
        <row r="805">
          <cell r="H805" t="str">
            <v>90721284595S</v>
          </cell>
          <cell r="I805">
            <v>48606154</v>
          </cell>
          <cell r="R805" t="str">
            <v>90721284595S</v>
          </cell>
          <cell r="X805" t="str">
            <v>뉴클 10000_컴팩트</v>
          </cell>
          <cell r="Y805" t="str">
            <v>뉴클 컴팩트 PD 고속충전 22.5W / 베이지</v>
          </cell>
          <cell r="AC805" t="str">
            <v>개당광고비→</v>
          </cell>
          <cell r="AG805" t="str">
            <v>광고X</v>
          </cell>
          <cell r="AH805" t="str">
            <v>광고X</v>
          </cell>
        </row>
        <row r="806">
          <cell r="H806">
            <v>90721284595</v>
          </cell>
          <cell r="I806">
            <v>48606154</v>
          </cell>
          <cell r="R806">
            <v>90721284595</v>
          </cell>
          <cell r="X806" t="str">
            <v>뉴클 10000_컴팩트</v>
          </cell>
          <cell r="Y806" t="str">
            <v>보조배터리1000090721284595</v>
          </cell>
        </row>
        <row r="807">
          <cell r="H807">
            <v>90721284583</v>
          </cell>
          <cell r="I807">
            <v>48606153</v>
          </cell>
          <cell r="J807">
            <v>1062</v>
          </cell>
          <cell r="K807">
            <v>90</v>
          </cell>
          <cell r="L807">
            <v>18900</v>
          </cell>
          <cell r="M807">
            <v>18900</v>
          </cell>
          <cell r="N807">
            <v>18900</v>
          </cell>
          <cell r="O807">
            <v>29900</v>
          </cell>
          <cell r="Q807">
            <v>18900</v>
          </cell>
          <cell r="R807">
            <v>90721284583</v>
          </cell>
          <cell r="V807">
            <v>18900</v>
          </cell>
          <cell r="W807" t="str">
            <v>https://smartstore.naver.com/sskoreatrade/products/10493696862</v>
          </cell>
          <cell r="X807" t="str">
            <v>뉴클 10000_컴팩트</v>
          </cell>
          <cell r="Y807" t="str">
            <v>뉴클 컴팩트 PD 고속충전 22.5W / 핑크</v>
          </cell>
          <cell r="AB807" t="str">
            <v>coupang.com/vp/products/8232603130?itemId=23696184393&amp;vendorItemId=90721284583</v>
          </cell>
          <cell r="AC807">
            <v>5588.181818181818</v>
          </cell>
          <cell r="AD807">
            <v>558.81818181818187</v>
          </cell>
          <cell r="AE807">
            <v>6147</v>
          </cell>
          <cell r="AG807">
            <v>13745.454545454544</v>
          </cell>
          <cell r="AH807">
            <v>1374.5454545454559</v>
          </cell>
          <cell r="AI807">
            <v>15120</v>
          </cell>
          <cell r="AK807">
            <v>8157.2727272727261</v>
          </cell>
        </row>
        <row r="808">
          <cell r="H808" t="str">
            <v>90721284583AD</v>
          </cell>
          <cell r="I808">
            <v>48606153</v>
          </cell>
          <cell r="R808" t="str">
            <v>90721284583AD</v>
          </cell>
          <cell r="X808" t="str">
            <v>뉴클 10000_컴팩트</v>
          </cell>
          <cell r="Y808" t="str">
            <v>뉴클 컴팩트 PD 고속충전 22.5W / 핑크</v>
          </cell>
          <cell r="AB808">
            <v>5</v>
          </cell>
          <cell r="AC808">
            <v>40786.363636363632</v>
          </cell>
          <cell r="AG808" t="str">
            <v>0</v>
          </cell>
        </row>
        <row r="809">
          <cell r="H809" t="str">
            <v>90721284583S</v>
          </cell>
          <cell r="I809">
            <v>48606153</v>
          </cell>
          <cell r="R809" t="str">
            <v>90721284583S</v>
          </cell>
          <cell r="X809" t="str">
            <v>뉴클 10000_컴팩트</v>
          </cell>
          <cell r="Y809" t="str">
            <v>뉴클 컴팩트 PD 고속충전 22.5W / 핑크</v>
          </cell>
          <cell r="AC809" t="str">
            <v>개당광고비→</v>
          </cell>
          <cell r="AG809" t="str">
            <v>광고X</v>
          </cell>
          <cell r="AH809" t="str">
            <v>광고X</v>
          </cell>
        </row>
        <row r="810">
          <cell r="H810">
            <v>90721284583</v>
          </cell>
          <cell r="I810">
            <v>48606153</v>
          </cell>
          <cell r="R810">
            <v>90721284583</v>
          </cell>
          <cell r="X810" t="str">
            <v>뉴클 10000_컴팩트</v>
          </cell>
          <cell r="Y810" t="str">
            <v>보조배터리1000090721284583</v>
          </cell>
        </row>
        <row r="812">
          <cell r="H812">
            <v>94177713294</v>
          </cell>
          <cell r="I812">
            <v>67410279</v>
          </cell>
          <cell r="J812">
            <v>1362</v>
          </cell>
          <cell r="K812" t="str">
            <v>-</v>
          </cell>
          <cell r="L812">
            <v>9900</v>
          </cell>
          <cell r="M812">
            <v>9900</v>
          </cell>
          <cell r="R812">
            <v>94177713294</v>
          </cell>
          <cell r="X812" t="str">
            <v>에이파워 도킹</v>
          </cell>
          <cell r="Y812" t="str">
            <v>에이파워 듀얼젠더 도킹형 보조배터리 라이트블루</v>
          </cell>
          <cell r="AB812" t="str">
            <v>coupang.com/vp/products/9211145202?itemId=27210438439&amp;vendorItemId=94177713294</v>
          </cell>
          <cell r="AC812">
            <v>3175.454545454545</v>
          </cell>
          <cell r="AD812">
            <v>317.5454545454545</v>
          </cell>
          <cell r="AE812">
            <v>3493</v>
          </cell>
          <cell r="AG812">
            <v>7272.7272727272721</v>
          </cell>
          <cell r="AH812">
            <v>727.27272727272793</v>
          </cell>
          <cell r="AI812">
            <v>8000</v>
          </cell>
          <cell r="AK812">
            <v>4097.272727272727</v>
          </cell>
        </row>
        <row r="813">
          <cell r="H813">
            <v>94177713295</v>
          </cell>
          <cell r="I813">
            <v>67410272</v>
          </cell>
          <cell r="J813">
            <v>991</v>
          </cell>
          <cell r="K813" t="str">
            <v>-</v>
          </cell>
          <cell r="L813">
            <v>9900</v>
          </cell>
          <cell r="M813">
            <v>9900</v>
          </cell>
          <cell r="R813">
            <v>94177713295</v>
          </cell>
          <cell r="X813" t="str">
            <v>에이파워 도킹</v>
          </cell>
          <cell r="Y813" t="str">
            <v>에이파워 듀얼젠더 도킹형 보조배터리 블랙</v>
          </cell>
          <cell r="AB813" t="str">
            <v>coupang.com/vp/products/9211145202?itemId=27210438433&amp;vendorItemId=94177713295</v>
          </cell>
          <cell r="AC813">
            <v>3175.454545454545</v>
          </cell>
          <cell r="AD813">
            <v>317.5454545454545</v>
          </cell>
          <cell r="AE813">
            <v>3493</v>
          </cell>
          <cell r="AG813">
            <v>7272.7272727272721</v>
          </cell>
          <cell r="AH813">
            <v>727.27272727272793</v>
          </cell>
          <cell r="AI813">
            <v>8000</v>
          </cell>
          <cell r="AK813">
            <v>4097.272727272727</v>
          </cell>
        </row>
        <row r="814">
          <cell r="H814">
            <v>94177713293</v>
          </cell>
          <cell r="I814">
            <v>67410278</v>
          </cell>
          <cell r="J814">
            <v>618</v>
          </cell>
          <cell r="K814" t="str">
            <v>-</v>
          </cell>
          <cell r="L814">
            <v>9900</v>
          </cell>
          <cell r="M814">
            <v>9900</v>
          </cell>
          <cell r="R814">
            <v>94177713293</v>
          </cell>
          <cell r="X814" t="str">
            <v>에이파워 도킹</v>
          </cell>
          <cell r="Y814" t="str">
            <v>에이파워 듀얼젠더 도킹형 보조배터리 퍼플</v>
          </cell>
          <cell r="AB814" t="str">
            <v>coupang.com/vp/products/9211145202?itemId=27210438436&amp;vendorItemId=94177713293</v>
          </cell>
          <cell r="AC814">
            <v>3175.454545454545</v>
          </cell>
          <cell r="AD814">
            <v>317.5454545454545</v>
          </cell>
          <cell r="AE814">
            <v>3493</v>
          </cell>
          <cell r="AG814">
            <v>7272.7272727272721</v>
          </cell>
          <cell r="AH814">
            <v>727.27272727272793</v>
          </cell>
          <cell r="AI814">
            <v>8000</v>
          </cell>
          <cell r="AK814">
            <v>4097.272727272727</v>
          </cell>
        </row>
        <row r="815">
          <cell r="H815">
            <v>94177713291</v>
          </cell>
          <cell r="I815">
            <v>67410277</v>
          </cell>
          <cell r="J815">
            <v>1331</v>
          </cell>
          <cell r="K815" t="str">
            <v>-</v>
          </cell>
          <cell r="L815">
            <v>9900</v>
          </cell>
          <cell r="M815">
            <v>9900</v>
          </cell>
          <cell r="R815">
            <v>94177713291</v>
          </cell>
          <cell r="X815" t="str">
            <v>에이파워 도킹</v>
          </cell>
          <cell r="Y815" t="str">
            <v>에이파워 듀얼젠더 도킹형 보조배터리 핑크</v>
          </cell>
          <cell r="AB815" t="str">
            <v>coupang.com/vp/products/9211145202?itemId=27210438434&amp;vendorItemId=94177713291</v>
          </cell>
          <cell r="AC815">
            <v>3175.454545454545</v>
          </cell>
          <cell r="AD815">
            <v>317.5454545454545</v>
          </cell>
          <cell r="AE815">
            <v>3493</v>
          </cell>
          <cell r="AG815">
            <v>7272.7272727272721</v>
          </cell>
          <cell r="AH815">
            <v>727.27272727272793</v>
          </cell>
          <cell r="AI815">
            <v>8000</v>
          </cell>
          <cell r="AK815">
            <v>4097.272727272727</v>
          </cell>
        </row>
        <row r="816">
          <cell r="H816">
            <v>94177713292</v>
          </cell>
          <cell r="I816">
            <v>67410271</v>
          </cell>
          <cell r="J816">
            <v>1289</v>
          </cell>
          <cell r="K816" t="str">
            <v>-</v>
          </cell>
          <cell r="L816">
            <v>9900</v>
          </cell>
          <cell r="M816">
            <v>9900</v>
          </cell>
          <cell r="R816">
            <v>94177713292</v>
          </cell>
          <cell r="X816" t="str">
            <v>에이파워 도킹</v>
          </cell>
          <cell r="Y816" t="str">
            <v>에이파워 듀얼젠더 도킹형 보조배터리 화이트</v>
          </cell>
          <cell r="AB816" t="str">
            <v>coupang.com/vp/products/9211145202?itemId=27210438432&amp;vendorItemId=94177713292</v>
          </cell>
          <cell r="AC816">
            <v>3175.454545454545</v>
          </cell>
          <cell r="AD816">
            <v>317.5454545454545</v>
          </cell>
          <cell r="AE816">
            <v>3493</v>
          </cell>
          <cell r="AG816">
            <v>7272.7272727272721</v>
          </cell>
          <cell r="AH816">
            <v>727.27272727272793</v>
          </cell>
          <cell r="AI816">
            <v>8000</v>
          </cell>
          <cell r="AK816">
            <v>4097.272727272727</v>
          </cell>
        </row>
        <row r="817">
          <cell r="H817">
            <v>93527870477</v>
          </cell>
          <cell r="I817">
            <v>64407582</v>
          </cell>
          <cell r="J817">
            <v>549</v>
          </cell>
          <cell r="K817" t="str">
            <v>-</v>
          </cell>
          <cell r="L817">
            <v>18500</v>
          </cell>
          <cell r="M817">
            <v>18500</v>
          </cell>
          <cell r="O817">
            <v>25900</v>
          </cell>
          <cell r="Q817">
            <v>18500</v>
          </cell>
          <cell r="R817">
            <v>93527870477</v>
          </cell>
          <cell r="V817">
            <v>18500</v>
          </cell>
          <cell r="X817" t="str">
            <v>포켓마스터 꾸미기스티커 맥세이프 보조배터리</v>
          </cell>
          <cell r="Y817" t="str">
            <v>포켓마스터 꾸미기 맥세이프 보조배터리 화이트</v>
          </cell>
          <cell r="AB817" t="str">
            <v>coupang.com/vp/products/9047919015?itemId=26554056131&amp;vendorItemId=93527870477</v>
          </cell>
          <cell r="AC817">
            <v>7319.9999999999991</v>
          </cell>
          <cell r="AD817">
            <v>732</v>
          </cell>
          <cell r="AE817">
            <v>8052</v>
          </cell>
          <cell r="AG817">
            <v>13181.81818181818</v>
          </cell>
          <cell r="AH817">
            <v>1318.1818181818198</v>
          </cell>
          <cell r="AI817">
            <v>14500</v>
          </cell>
          <cell r="AK817">
            <v>5861.8181818181811</v>
          </cell>
        </row>
        <row r="818">
          <cell r="H818">
            <v>93417699793</v>
          </cell>
          <cell r="I818">
            <v>63751622</v>
          </cell>
          <cell r="J818">
            <v>667</v>
          </cell>
          <cell r="K818">
            <v>457</v>
          </cell>
          <cell r="L818">
            <v>17900</v>
          </cell>
          <cell r="M818">
            <v>17900</v>
          </cell>
          <cell r="O818">
            <v>25900</v>
          </cell>
          <cell r="Q818">
            <v>17900</v>
          </cell>
          <cell r="R818">
            <v>93417699793</v>
          </cell>
          <cell r="W818" t="str">
            <v>https://smartstore.naver.com/readone/products/12315001800</v>
          </cell>
          <cell r="X818" t="str">
            <v>파워마인드 LCD 10000 보조배터리</v>
          </cell>
          <cell r="Y818" t="str">
            <v>파워마인드 LCD 보조배터리 10000mAh 블랙</v>
          </cell>
          <cell r="AB818" t="str">
            <v>coupang.com/vp/products/9018924935?itemId=26442105436&amp;vendorItemId=93417699793</v>
          </cell>
          <cell r="AC818">
            <v>3861.8181818181815</v>
          </cell>
          <cell r="AD818">
            <v>386.18181818181819</v>
          </cell>
          <cell r="AE818">
            <v>4248</v>
          </cell>
          <cell r="AG818">
            <v>12727.272727272726</v>
          </cell>
          <cell r="AH818">
            <v>1272.7272727272739</v>
          </cell>
          <cell r="AI818">
            <v>14000</v>
          </cell>
          <cell r="AK818">
            <v>8865.4545454545441</v>
          </cell>
        </row>
        <row r="819">
          <cell r="H819">
            <v>93417699794</v>
          </cell>
          <cell r="I819">
            <v>63751623</v>
          </cell>
          <cell r="J819">
            <v>498</v>
          </cell>
          <cell r="K819">
            <v>457</v>
          </cell>
          <cell r="L819">
            <v>17900</v>
          </cell>
          <cell r="M819">
            <v>17900</v>
          </cell>
          <cell r="O819">
            <v>25900</v>
          </cell>
          <cell r="Q819">
            <v>17900</v>
          </cell>
          <cell r="R819">
            <v>93417699794</v>
          </cell>
          <cell r="W819" t="str">
            <v>https://smartstore.naver.com/readone/products/12315001800</v>
          </cell>
          <cell r="X819" t="str">
            <v>파워마인드 LCD 10000 보조배터리</v>
          </cell>
          <cell r="Y819" t="str">
            <v>파워마인드 LCD 보조배터리 10000mAh 화이트</v>
          </cell>
          <cell r="AB819" t="str">
            <v>coupang.com/vp/products/9018924935?itemId=26442105440&amp;vendorItemId=93417699794</v>
          </cell>
          <cell r="AC819">
            <v>3861.8181818181815</v>
          </cell>
          <cell r="AD819">
            <v>386.18181818181819</v>
          </cell>
          <cell r="AE819">
            <v>4248</v>
          </cell>
          <cell r="AG819">
            <v>12727.272727272726</v>
          </cell>
          <cell r="AH819">
            <v>1272.7272727272739</v>
          </cell>
          <cell r="AI819">
            <v>14000</v>
          </cell>
          <cell r="AK819">
            <v>8865.4545454545441</v>
          </cell>
        </row>
        <row r="820">
          <cell r="H820">
            <v>93246387394</v>
          </cell>
          <cell r="I820">
            <v>63158679</v>
          </cell>
          <cell r="J820" t="str">
            <v/>
          </cell>
          <cell r="K820">
            <v>294</v>
          </cell>
          <cell r="L820">
            <v>24900</v>
          </cell>
          <cell r="M820">
            <v>24900</v>
          </cell>
          <cell r="O820">
            <v>25900</v>
          </cell>
          <cell r="Q820">
            <v>24900</v>
          </cell>
          <cell r="R820">
            <v>93246387394</v>
          </cell>
          <cell r="V820">
            <v>19800</v>
          </cell>
          <cell r="W820" t="str">
            <v>https://smartstore.naver.com/sskoreatrade/products/12285964833</v>
          </cell>
          <cell r="X820" t="str">
            <v>파워마인드 맥세이프 보조배터리</v>
          </cell>
          <cell r="Y820" t="str">
            <v>파워마인드 맥세이프 보조배터리 퍼플</v>
          </cell>
          <cell r="AB820" t="str">
            <v>coupang.com/vp/products/8974337072?itemId=26268188482&amp;vendorItemId=93246387394</v>
          </cell>
          <cell r="AC820">
            <v>4817.272727272727</v>
          </cell>
          <cell r="AD820">
            <v>481.72727272727275</v>
          </cell>
          <cell r="AE820">
            <v>5299</v>
          </cell>
          <cell r="AG820">
            <v>14127.272727272726</v>
          </cell>
          <cell r="AH820">
            <v>1412.7272727272739</v>
          </cell>
          <cell r="AI820">
            <v>15540</v>
          </cell>
          <cell r="AK820">
            <v>9310</v>
          </cell>
        </row>
        <row r="821">
          <cell r="H821">
            <v>93246387393</v>
          </cell>
          <cell r="I821">
            <v>63158678</v>
          </cell>
          <cell r="J821" t="str">
            <v/>
          </cell>
          <cell r="K821">
            <v>294</v>
          </cell>
          <cell r="L821">
            <v>24900</v>
          </cell>
          <cell r="M821">
            <v>24900</v>
          </cell>
          <cell r="O821">
            <v>25900</v>
          </cell>
          <cell r="Q821">
            <v>24900</v>
          </cell>
          <cell r="R821">
            <v>93246387393</v>
          </cell>
          <cell r="V821">
            <v>19800</v>
          </cell>
          <cell r="W821" t="str">
            <v>https://smartstore.naver.com/sskoreatrade/products/12285964833</v>
          </cell>
          <cell r="X821" t="str">
            <v>파워마인드 맥세이프 보조배터리</v>
          </cell>
          <cell r="Y821" t="str">
            <v>파워마인드 맥세이프 보조배터리 핑크</v>
          </cell>
          <cell r="AB821" t="str">
            <v>coupang.com/vp/products/8974337072?itemId=26268188477&amp;vendorItemId=93246387393</v>
          </cell>
          <cell r="AC821">
            <v>4817.272727272727</v>
          </cell>
          <cell r="AD821">
            <v>481.72727272727275</v>
          </cell>
          <cell r="AE821">
            <v>5299</v>
          </cell>
          <cell r="AG821">
            <v>14127.272727272726</v>
          </cell>
          <cell r="AH821">
            <v>1412.7272727272739</v>
          </cell>
          <cell r="AI821">
            <v>15540</v>
          </cell>
          <cell r="AK821">
            <v>9310</v>
          </cell>
        </row>
        <row r="822">
          <cell r="H822">
            <v>93246387395</v>
          </cell>
          <cell r="I822">
            <v>63158677</v>
          </cell>
          <cell r="J822" t="str">
            <v/>
          </cell>
          <cell r="K822">
            <v>294</v>
          </cell>
          <cell r="L822">
            <v>24900</v>
          </cell>
          <cell r="M822">
            <v>24900</v>
          </cell>
          <cell r="O822">
            <v>25900</v>
          </cell>
          <cell r="Q822">
            <v>24900</v>
          </cell>
          <cell r="R822">
            <v>93246387395</v>
          </cell>
          <cell r="V822">
            <v>19800</v>
          </cell>
          <cell r="W822" t="str">
            <v>https://smartstore.naver.com/sskoreatrade/products/12285964833</v>
          </cell>
          <cell r="X822" t="str">
            <v>파워마인드 맥세이프 보조배터리</v>
          </cell>
          <cell r="Y822" t="str">
            <v>파워마인드 맥세이프 보조배터리 화이트</v>
          </cell>
          <cell r="AB822" t="str">
            <v>coupang.com/vp/products/8974337072?itemId=26268188473&amp;vendorItemId=93246387395</v>
          </cell>
          <cell r="AC822">
            <v>4817.272727272727</v>
          </cell>
          <cell r="AD822">
            <v>481.72727272727275</v>
          </cell>
          <cell r="AE822">
            <v>5299</v>
          </cell>
          <cell r="AG822">
            <v>14127.272727272726</v>
          </cell>
          <cell r="AH822">
            <v>1412.7272727272739</v>
          </cell>
          <cell r="AI822">
            <v>15540</v>
          </cell>
          <cell r="AK822">
            <v>9310</v>
          </cell>
        </row>
        <row r="823">
          <cell r="H823">
            <v>93246457375</v>
          </cell>
          <cell r="I823">
            <v>63158687</v>
          </cell>
          <cell r="J823">
            <v>14</v>
          </cell>
          <cell r="K823">
            <v>65</v>
          </cell>
          <cell r="L823">
            <v>65740</v>
          </cell>
          <cell r="M823">
            <v>65740</v>
          </cell>
          <cell r="O823">
            <v>119000</v>
          </cell>
          <cell r="Q823">
            <v>61670</v>
          </cell>
          <cell r="R823">
            <v>93246457375</v>
          </cell>
          <cell r="V823">
            <v>89000</v>
          </cell>
          <cell r="W823" t="str">
            <v>https://smartstore.naver.com/psglobal1/products/12206610440</v>
          </cell>
          <cell r="X823" t="str">
            <v>리드원 두유제조기 그라인드밀리</v>
          </cell>
          <cell r="Y823" t="str">
            <v>그라인드밀리 두유제조기</v>
          </cell>
          <cell r="AB823" t="str">
            <v>coupang.com/vp/products/8974355442?itemId=26268260282&amp;vendorItemId=93246457375</v>
          </cell>
          <cell r="AC823">
            <v>22542.727272727272</v>
          </cell>
          <cell r="AD823">
            <v>2254.2727272727275</v>
          </cell>
          <cell r="AE823">
            <v>24797</v>
          </cell>
          <cell r="AG823">
            <v>50454.545454545449</v>
          </cell>
          <cell r="AH823">
            <v>5045.4545454545514</v>
          </cell>
          <cell r="AI823">
            <v>55500</v>
          </cell>
          <cell r="AK823">
            <v>27911.818181818177</v>
          </cell>
        </row>
        <row r="824">
          <cell r="H824">
            <v>93128495141</v>
          </cell>
          <cell r="I824">
            <v>27970265</v>
          </cell>
          <cell r="J824" t="str">
            <v/>
          </cell>
          <cell r="K824" t="str">
            <v>-</v>
          </cell>
          <cell r="L824">
            <v>59000</v>
          </cell>
          <cell r="M824">
            <v>59000</v>
          </cell>
          <cell r="O824">
            <v>55000</v>
          </cell>
          <cell r="Q824">
            <v>59000</v>
          </cell>
          <cell r="R824">
            <v>93128495141</v>
          </cell>
          <cell r="X824" t="str">
            <v>리드원 웅진 이지초퍼</v>
          </cell>
          <cell r="Y824" t="str">
            <v>웅진 초퍼 다지기 1L AKCP-6000W</v>
          </cell>
          <cell r="AB824" t="str">
            <v>coupang.com/vp/products/6733954739?itemId=15698995234&amp;vendorItemId=93128495141</v>
          </cell>
          <cell r="AC824">
            <v>18000</v>
          </cell>
          <cell r="AD824">
            <v>1800</v>
          </cell>
          <cell r="AE824">
            <v>19800</v>
          </cell>
          <cell r="AG824">
            <v>34545.454545454544</v>
          </cell>
          <cell r="AH824">
            <v>3454.5454545454559</v>
          </cell>
          <cell r="AI824">
            <v>38000</v>
          </cell>
          <cell r="AK824">
            <v>16545.454545454544</v>
          </cell>
        </row>
        <row r="825">
          <cell r="H825">
            <v>93098531355</v>
          </cell>
          <cell r="I825">
            <v>62560616</v>
          </cell>
          <cell r="J825">
            <v>28</v>
          </cell>
          <cell r="K825" t="str">
            <v>-</v>
          </cell>
          <cell r="L825">
            <v>12830</v>
          </cell>
          <cell r="M825">
            <v>12830</v>
          </cell>
          <cell r="O825">
            <v>16900</v>
          </cell>
          <cell r="Q825">
            <v>12880</v>
          </cell>
          <cell r="R825">
            <v>93098531355</v>
          </cell>
          <cell r="X825" t="str">
            <v>바오니 우븐케이블2m</v>
          </cell>
          <cell r="Y825" t="str">
            <v>바오니 PD 65W C to C 고속충전 우븐케이블 2m 화이트 1개입</v>
          </cell>
          <cell r="AB825" t="str">
            <v>coupang.com/vp/products/8933758643?itemId=26118053559&amp;vendorItemId=93098531355</v>
          </cell>
          <cell r="AC825">
            <v>1250</v>
          </cell>
          <cell r="AD825">
            <v>125</v>
          </cell>
          <cell r="AE825">
            <v>1375</v>
          </cell>
          <cell r="AG825">
            <v>7727.272727272727</v>
          </cell>
          <cell r="AH825">
            <v>772.72727272727298</v>
          </cell>
          <cell r="AI825">
            <v>8500</v>
          </cell>
          <cell r="AK825">
            <v>6477.272727272727</v>
          </cell>
        </row>
        <row r="826">
          <cell r="H826">
            <v>93098531368</v>
          </cell>
          <cell r="I826">
            <v>62560617</v>
          </cell>
          <cell r="J826" t="str">
            <v/>
          </cell>
          <cell r="K826" t="str">
            <v>-</v>
          </cell>
          <cell r="L826">
            <v>21140</v>
          </cell>
          <cell r="M826">
            <v>21140</v>
          </cell>
          <cell r="O826">
            <v>29900</v>
          </cell>
          <cell r="Q826">
            <v>21220</v>
          </cell>
          <cell r="R826">
            <v>93098531368</v>
          </cell>
          <cell r="X826" t="str">
            <v>바오니 우븐케이블2m_2p</v>
          </cell>
          <cell r="Y826" t="str">
            <v>바오니 PD 65W C to C 고속충전 우븐케이블 2m 화이트 2개입</v>
          </cell>
          <cell r="AB826" t="str">
            <v>coupang.com/vp/products/8933758643?itemId=26118053560&amp;vendorItemId=93098531368</v>
          </cell>
          <cell r="AC826">
            <v>2500</v>
          </cell>
          <cell r="AD826">
            <v>250</v>
          </cell>
          <cell r="AE826">
            <v>2750</v>
          </cell>
          <cell r="AG826">
            <v>12727.272727272726</v>
          </cell>
          <cell r="AH826">
            <v>1272.7272727272739</v>
          </cell>
          <cell r="AI826">
            <v>14000</v>
          </cell>
          <cell r="AK826">
            <v>10227.272727272726</v>
          </cell>
        </row>
        <row r="827">
          <cell r="H827">
            <v>93108436937</v>
          </cell>
          <cell r="I827">
            <v>62601777</v>
          </cell>
          <cell r="J827" t="str">
            <v/>
          </cell>
          <cell r="K827" t="str">
            <v>-</v>
          </cell>
          <cell r="L827">
            <v>18330</v>
          </cell>
          <cell r="M827">
            <v>18330</v>
          </cell>
          <cell r="O827">
            <v>19800</v>
          </cell>
          <cell r="Q827">
            <v>18560</v>
          </cell>
          <cell r="R827">
            <v>93108436937</v>
          </cell>
          <cell r="X827" t="str">
            <v>바오니 부착키트 아이폰 필름</v>
          </cell>
          <cell r="Y827" t="str">
            <v>바오니 간편 부착키트 강화 9H 고경도 필름 2매 아이폰16</v>
          </cell>
          <cell r="AB827" t="str">
            <v>coupang.com/vp/products/8936392249?itemId=26128122022&amp;vendorItemId=93108436937</v>
          </cell>
          <cell r="AC827">
            <v>989.99999999999989</v>
          </cell>
          <cell r="AD827">
            <v>99</v>
          </cell>
          <cell r="AE827">
            <v>1089</v>
          </cell>
          <cell r="AG827">
            <v>9545.4545454545441</v>
          </cell>
          <cell r="AH827">
            <v>954.54545454545587</v>
          </cell>
          <cell r="AI827">
            <v>10500</v>
          </cell>
          <cell r="AK827">
            <v>8555.4545454545441</v>
          </cell>
        </row>
        <row r="828">
          <cell r="H828">
            <v>93108436962</v>
          </cell>
          <cell r="I828">
            <v>62601778</v>
          </cell>
          <cell r="J828" t="str">
            <v/>
          </cell>
          <cell r="K828" t="str">
            <v>-</v>
          </cell>
          <cell r="L828">
            <v>18330</v>
          </cell>
          <cell r="M828">
            <v>18330</v>
          </cell>
          <cell r="O828">
            <v>19800</v>
          </cell>
          <cell r="Q828">
            <v>18560</v>
          </cell>
          <cell r="R828">
            <v>93108436962</v>
          </cell>
          <cell r="X828" t="str">
            <v>바오니 부착키트 아이폰 필름</v>
          </cell>
          <cell r="Y828" t="str">
            <v>바오니 간편 부착키트 강화 9H 고경도 필름 2매 세트 아이폰16프로</v>
          </cell>
          <cell r="AB828" t="str">
            <v>coupang.com/vp/products/8936392249?itemId=26128122024&amp;vendorItemId=93108436962</v>
          </cell>
          <cell r="AC828">
            <v>989.99999999999989</v>
          </cell>
          <cell r="AD828">
            <v>99</v>
          </cell>
          <cell r="AE828">
            <v>1089</v>
          </cell>
          <cell r="AG828">
            <v>9545.4545454545441</v>
          </cell>
          <cell r="AH828">
            <v>954.54545454545587</v>
          </cell>
          <cell r="AI828">
            <v>10500</v>
          </cell>
          <cell r="AK828">
            <v>8555.4545454545441</v>
          </cell>
        </row>
        <row r="829">
          <cell r="H829">
            <v>93108436954</v>
          </cell>
          <cell r="I829">
            <v>62601779</v>
          </cell>
          <cell r="J829" t="str">
            <v/>
          </cell>
          <cell r="K829" t="str">
            <v>-</v>
          </cell>
          <cell r="L829">
            <v>18330</v>
          </cell>
          <cell r="M829">
            <v>18330</v>
          </cell>
          <cell r="O829">
            <v>19800</v>
          </cell>
          <cell r="Q829">
            <v>18560</v>
          </cell>
          <cell r="R829">
            <v>93108436954</v>
          </cell>
          <cell r="X829" t="str">
            <v>바오니 부착키트 아이폰 필름</v>
          </cell>
          <cell r="Y829" t="str">
            <v>바오니 간편 부착키트 사생활 보호필름 2매 아이폰16</v>
          </cell>
          <cell r="AB829" t="str">
            <v>coupang.com/vp/products/8936392255?itemId=26128122035&amp;vendorItemId=93108436954</v>
          </cell>
          <cell r="AC829">
            <v>1194.5454545454545</v>
          </cell>
          <cell r="AD829">
            <v>119.45454545454545</v>
          </cell>
          <cell r="AE829">
            <v>1314</v>
          </cell>
          <cell r="AG829">
            <v>9545.4545454545441</v>
          </cell>
          <cell r="AH829">
            <v>954.54545454545587</v>
          </cell>
          <cell r="AI829">
            <v>10500</v>
          </cell>
          <cell r="AK829">
            <v>8350.9090909090901</v>
          </cell>
        </row>
        <row r="830">
          <cell r="H830">
            <v>93108436976</v>
          </cell>
          <cell r="I830">
            <v>62601780</v>
          </cell>
          <cell r="J830" t="str">
            <v/>
          </cell>
          <cell r="K830" t="str">
            <v>-</v>
          </cell>
          <cell r="L830">
            <v>18330</v>
          </cell>
          <cell r="M830">
            <v>18330</v>
          </cell>
          <cell r="O830">
            <v>19800</v>
          </cell>
          <cell r="Q830">
            <v>18560</v>
          </cell>
          <cell r="R830">
            <v>93108436976</v>
          </cell>
          <cell r="X830" t="str">
            <v>바오니 부착키트 아이폰 필름</v>
          </cell>
          <cell r="Y830" t="str">
            <v>바오니 간편 부착키트 사생활 보호필름 2매 아이폰16프로</v>
          </cell>
          <cell r="AB830" t="str">
            <v>coupang.com/vp/products/8936392255?itemId=26128122036&amp;vendorItemId=93108436976</v>
          </cell>
          <cell r="AC830">
            <v>1194.5454545454545</v>
          </cell>
          <cell r="AD830">
            <v>119.45454545454545</v>
          </cell>
          <cell r="AE830">
            <v>1314</v>
          </cell>
          <cell r="AG830">
            <v>9545.4545454545441</v>
          </cell>
          <cell r="AH830">
            <v>954.54545454545587</v>
          </cell>
          <cell r="AI830">
            <v>10500</v>
          </cell>
          <cell r="AK830">
            <v>8350.9090909090901</v>
          </cell>
        </row>
        <row r="831">
          <cell r="H831">
            <v>92973788273</v>
          </cell>
          <cell r="I831">
            <v>62106850</v>
          </cell>
          <cell r="J831">
            <v>5</v>
          </cell>
          <cell r="K831" t="str">
            <v>-</v>
          </cell>
          <cell r="L831">
            <v>11900</v>
          </cell>
          <cell r="M831">
            <v>11900</v>
          </cell>
          <cell r="O831">
            <v>15900</v>
          </cell>
          <cell r="Q831">
            <v>11900</v>
          </cell>
          <cell r="R831">
            <v>92973788273</v>
          </cell>
          <cell r="X831" t="str">
            <v>바오니 S25엣지필름</v>
          </cell>
          <cell r="Y831" t="str">
            <v>바오니 고경도 글라스틱 보호필름 초음파 지문인식 강화 9H 2매 갤럭시S25 엣지</v>
          </cell>
          <cell r="AB831" t="str">
            <v>coupang.com/vp/products/8900874098?itemId=25991407840&amp;vendorItemId=92973788273</v>
          </cell>
          <cell r="AC831">
            <v>4272.7272727272721</v>
          </cell>
          <cell r="AD831">
            <v>427.27272727272725</v>
          </cell>
          <cell r="AE831">
            <v>4700</v>
          </cell>
          <cell r="AG831">
            <v>8181.8181818181811</v>
          </cell>
          <cell r="AH831">
            <v>818.18181818181893</v>
          </cell>
          <cell r="AI831">
            <v>9000</v>
          </cell>
          <cell r="AK831">
            <v>3909.090909090909</v>
          </cell>
        </row>
        <row r="832">
          <cell r="H832">
            <v>92973788375</v>
          </cell>
          <cell r="I832">
            <v>62106851</v>
          </cell>
          <cell r="J832">
            <v>14</v>
          </cell>
          <cell r="K832" t="str">
            <v>-</v>
          </cell>
          <cell r="L832">
            <v>11900</v>
          </cell>
          <cell r="M832">
            <v>11900</v>
          </cell>
          <cell r="O832">
            <v>15900</v>
          </cell>
          <cell r="Q832">
            <v>11900</v>
          </cell>
          <cell r="R832">
            <v>92973788375</v>
          </cell>
          <cell r="X832" t="str">
            <v>바오니 S25엣지필름</v>
          </cell>
          <cell r="Y832" t="str">
            <v>바오니 사생활 보호필름 유광 2매 갤럭시S25 엣지</v>
          </cell>
          <cell r="AB832" t="str">
            <v>coupang.com/vp/products/8900874120?itemId=25991407911&amp;vendorItemId=92973788375</v>
          </cell>
          <cell r="AC832">
            <v>4272.7272727272721</v>
          </cell>
          <cell r="AD832">
            <v>427.27272727272725</v>
          </cell>
          <cell r="AE832">
            <v>4700</v>
          </cell>
          <cell r="AG832">
            <v>8181.8181818181811</v>
          </cell>
          <cell r="AH832">
            <v>818.18181818181893</v>
          </cell>
          <cell r="AI832">
            <v>9000</v>
          </cell>
          <cell r="AK832">
            <v>3909.090909090909</v>
          </cell>
        </row>
        <row r="833">
          <cell r="H833">
            <v>92973788357</v>
          </cell>
          <cell r="I833">
            <v>62106858</v>
          </cell>
          <cell r="J833">
            <v>6</v>
          </cell>
          <cell r="K833" t="str">
            <v>-</v>
          </cell>
          <cell r="L833">
            <v>7900</v>
          </cell>
          <cell r="M833">
            <v>7900</v>
          </cell>
          <cell r="O833">
            <v>10900</v>
          </cell>
          <cell r="Q833">
            <v>7900</v>
          </cell>
          <cell r="R833">
            <v>92973788357</v>
          </cell>
          <cell r="X833" t="str">
            <v>바오니 S25엣지필름</v>
          </cell>
          <cell r="Y833" t="str">
            <v>바오니 우레탄 보호필름 3매 갤럭시S25 엣지</v>
          </cell>
          <cell r="AB833" t="str">
            <v>coupang.com/vp/products/8900874115?itemId=25991407877&amp;vendorItemId=92973788357</v>
          </cell>
          <cell r="AC833">
            <v>2090.9090909090905</v>
          </cell>
          <cell r="AD833">
            <v>209.09090909090907</v>
          </cell>
          <cell r="AE833">
            <v>2300</v>
          </cell>
          <cell r="AG833">
            <v>5454.545454545454</v>
          </cell>
          <cell r="AH833">
            <v>545.45454545454595</v>
          </cell>
          <cell r="AI833">
            <v>6000</v>
          </cell>
          <cell r="AK833">
            <v>3363.6363636363635</v>
          </cell>
        </row>
        <row r="834">
          <cell r="H834">
            <v>92973788352</v>
          </cell>
          <cell r="I834">
            <v>62106859</v>
          </cell>
          <cell r="J834">
            <v>3</v>
          </cell>
          <cell r="K834" t="str">
            <v>-</v>
          </cell>
          <cell r="L834">
            <v>7900</v>
          </cell>
          <cell r="M834">
            <v>7900</v>
          </cell>
          <cell r="O834">
            <v>10900</v>
          </cell>
          <cell r="Q834">
            <v>7900</v>
          </cell>
          <cell r="R834">
            <v>92973788352</v>
          </cell>
          <cell r="X834" t="str">
            <v>바오니 S25엣지필름</v>
          </cell>
          <cell r="Y834" t="str">
            <v>바오니 종이질감 AG코팅 지문방지필름 3매 갤럭시S25 엣지</v>
          </cell>
          <cell r="AB834" t="str">
            <v>coupang.com/vp/products/8900874113?itemId=25991407876&amp;vendorItemId=92973788352</v>
          </cell>
          <cell r="AC834">
            <v>2227.272727272727</v>
          </cell>
          <cell r="AD834">
            <v>222.72727272727272</v>
          </cell>
          <cell r="AE834">
            <v>2450</v>
          </cell>
          <cell r="AG834">
            <v>5454.545454545454</v>
          </cell>
          <cell r="AH834">
            <v>545.45454545454595</v>
          </cell>
          <cell r="AI834">
            <v>6000</v>
          </cell>
          <cell r="AK834">
            <v>3227.272727272727</v>
          </cell>
        </row>
        <row r="836">
          <cell r="H836">
            <v>91296415472</v>
          </cell>
          <cell r="I836">
            <v>51926364</v>
          </cell>
          <cell r="J836">
            <v>6433</v>
          </cell>
          <cell r="K836">
            <v>239</v>
          </cell>
          <cell r="L836">
            <v>19780</v>
          </cell>
          <cell r="M836">
            <v>19780</v>
          </cell>
          <cell r="N836">
            <v>16900</v>
          </cell>
          <cell r="O836">
            <v>24900</v>
          </cell>
          <cell r="P836">
            <v>56340</v>
          </cell>
          <cell r="Q836">
            <v>16900</v>
          </cell>
          <cell r="R836">
            <v>91296415472</v>
          </cell>
          <cell r="S836" t="str">
            <v>윤혜주BM</v>
          </cell>
          <cell r="V836">
            <v>16900</v>
          </cell>
          <cell r="W836" t="str">
            <v>https://smartstore.naver.com/psglobal1/products/11006764924</v>
          </cell>
          <cell r="X836" t="str">
            <v>뉴클 보조배터리_슬림파워</v>
          </cell>
          <cell r="Y836" t="str">
            <v>뉴클 10000mAh PD 슬림파워 22.5W 보조배터리</v>
          </cell>
          <cell r="AB836" t="str">
            <v>coupang.com/vp/products/8399605043?itemId=24280063526&amp;vendorItemId=91296415472</v>
          </cell>
          <cell r="AC836">
            <v>4498.181818181818</v>
          </cell>
          <cell r="AD836">
            <v>449.81818181818181</v>
          </cell>
          <cell r="AE836">
            <v>4948</v>
          </cell>
          <cell r="AG836">
            <v>13581.81818181818</v>
          </cell>
          <cell r="AH836">
            <v>1358.1818181818198</v>
          </cell>
          <cell r="AI836">
            <v>14940</v>
          </cell>
          <cell r="AK836">
            <v>9083.6363636363621</v>
          </cell>
        </row>
        <row r="837">
          <cell r="H837">
            <v>92496009933</v>
          </cell>
          <cell r="I837">
            <v>59801507</v>
          </cell>
          <cell r="J837">
            <v>9</v>
          </cell>
          <cell r="K837">
            <v>222</v>
          </cell>
          <cell r="L837">
            <v>10900</v>
          </cell>
          <cell r="M837">
            <v>10900</v>
          </cell>
          <cell r="O837">
            <v>10900</v>
          </cell>
          <cell r="Q837">
            <v>10900</v>
          </cell>
          <cell r="R837">
            <v>92496009933</v>
          </cell>
          <cell r="V837">
            <v>8200</v>
          </cell>
          <cell r="W837" t="str">
            <v>https://smartstore.naver.com/sskoreatrade/products/11774826486</v>
          </cell>
          <cell r="X837" t="str">
            <v>뉴클 기타_광택용천</v>
          </cell>
          <cell r="Y837" t="str">
            <v>뉴클 광택용 천</v>
          </cell>
          <cell r="AB837" t="str">
            <v>coupang.com/vp/products/8768819872?itemId=25503923367&amp;vendorItemId=92496009933</v>
          </cell>
          <cell r="AC837">
            <v>966.36363636363626</v>
          </cell>
          <cell r="AD837">
            <v>96.636363636363626</v>
          </cell>
          <cell r="AE837">
            <v>1063</v>
          </cell>
          <cell r="AG837">
            <v>5945.454545454545</v>
          </cell>
          <cell r="AH837">
            <v>594.54545454545496</v>
          </cell>
          <cell r="AI837">
            <v>6540</v>
          </cell>
          <cell r="AK837">
            <v>4979.090909090909</v>
          </cell>
        </row>
        <row r="838">
          <cell r="H838">
            <v>92496009953</v>
          </cell>
          <cell r="I838">
            <v>59801508</v>
          </cell>
          <cell r="J838">
            <v>475</v>
          </cell>
          <cell r="K838">
            <v>222</v>
          </cell>
          <cell r="L838">
            <v>21800</v>
          </cell>
          <cell r="M838">
            <v>21800</v>
          </cell>
          <cell r="O838">
            <v>19900</v>
          </cell>
          <cell r="Q838">
            <v>21800</v>
          </cell>
          <cell r="R838">
            <v>92496009953</v>
          </cell>
          <cell r="V838">
            <v>14900</v>
          </cell>
          <cell r="W838" t="str">
            <v>https://smartstore.naver.com/sskoreatrade/products/11774826486</v>
          </cell>
          <cell r="X838" t="str">
            <v>뉴클 기타_광택용천</v>
          </cell>
          <cell r="Y838" t="str">
            <v>뉴클 광택용 천, 2개</v>
          </cell>
          <cell r="AB838" t="str">
            <v>coupang.com/vp/products/8768819872?itemId=25503923370&amp;vendorItemId=92496009953</v>
          </cell>
          <cell r="AC838">
            <v>1813.6363636363635</v>
          </cell>
          <cell r="AD838">
            <v>181.36363636363637</v>
          </cell>
          <cell r="AE838">
            <v>1995</v>
          </cell>
          <cell r="AG838">
            <v>10854.545454545454</v>
          </cell>
          <cell r="AH838">
            <v>1085.454545454546</v>
          </cell>
          <cell r="AI838">
            <v>11940</v>
          </cell>
          <cell r="AK838">
            <v>9040.9090909090901</v>
          </cell>
        </row>
        <row r="839">
          <cell r="H839">
            <v>92583769940</v>
          </cell>
          <cell r="I839">
            <v>60455208</v>
          </cell>
          <cell r="J839">
            <v>67</v>
          </cell>
          <cell r="K839">
            <v>120</v>
          </cell>
          <cell r="L839">
            <v>29900</v>
          </cell>
          <cell r="M839">
            <v>29900</v>
          </cell>
          <cell r="O839">
            <v>34900</v>
          </cell>
          <cell r="Q839">
            <v>29900</v>
          </cell>
          <cell r="R839">
            <v>92583769940</v>
          </cell>
          <cell r="V839">
            <v>29900</v>
          </cell>
          <cell r="W839" t="str">
            <v>https://smartstore.naver.com/psglobal1/products/11755053072</v>
          </cell>
          <cell r="X839" t="str">
            <v>맥로이드_멀티허브</v>
          </cell>
          <cell r="Y839" t="str">
            <v>맥로이드 멀티 허브 어댑터</v>
          </cell>
          <cell r="AB839" t="str">
            <v>coupang.com/vp/products/8792504096?itemId=25593022460&amp;vendorItemId=92583769940</v>
          </cell>
          <cell r="AC839">
            <v>11499.999999999998</v>
          </cell>
          <cell r="AD839">
            <v>1149.9999999999998</v>
          </cell>
          <cell r="AE839">
            <v>12650</v>
          </cell>
          <cell r="AG839">
            <v>18090.909090909088</v>
          </cell>
          <cell r="AH839">
            <v>1809.0909090909117</v>
          </cell>
          <cell r="AI839">
            <v>19900</v>
          </cell>
          <cell r="AK839">
            <v>6590.9090909090901</v>
          </cell>
        </row>
        <row r="840">
          <cell r="H840">
            <v>92608119258</v>
          </cell>
          <cell r="I840">
            <v>60533694</v>
          </cell>
          <cell r="J840">
            <v>1123</v>
          </cell>
          <cell r="K840">
            <v>122</v>
          </cell>
          <cell r="L840">
            <v>18900</v>
          </cell>
          <cell r="M840">
            <v>18900</v>
          </cell>
          <cell r="O840">
            <v>24900</v>
          </cell>
          <cell r="Q840">
            <v>18900</v>
          </cell>
          <cell r="R840">
            <v>92608119258</v>
          </cell>
          <cell r="V840">
            <v>18900</v>
          </cell>
          <cell r="W840" t="str">
            <v>https://smartstore.naver.com/psglobal1/products/11869126189</v>
          </cell>
          <cell r="X840" t="str">
            <v>뉴클 이어폰_프로</v>
          </cell>
          <cell r="Y840" t="str">
            <v>뉴클 노이즈캔슬링 이어폰PRO</v>
          </cell>
          <cell r="AB840" t="str">
            <v>coupang.com/vp/products/8798726725?itemId=25617739925&amp;vendorItemId=92608119258</v>
          </cell>
          <cell r="AC840">
            <v>3799.9999999999995</v>
          </cell>
          <cell r="AD840">
            <v>380</v>
          </cell>
          <cell r="AE840">
            <v>4180</v>
          </cell>
          <cell r="AG840">
            <v>13581.81818181818</v>
          </cell>
          <cell r="AH840">
            <v>1358.1818181818198</v>
          </cell>
          <cell r="AI840">
            <v>14940</v>
          </cell>
          <cell r="AK840">
            <v>9781.8181818181802</v>
          </cell>
        </row>
        <row r="841">
          <cell r="H841">
            <v>92430805454</v>
          </cell>
          <cell r="I841">
            <v>59623012</v>
          </cell>
          <cell r="J841">
            <v>971</v>
          </cell>
          <cell r="K841">
            <v>294</v>
          </cell>
          <cell r="L841">
            <v>11200</v>
          </cell>
          <cell r="M841">
            <v>11200</v>
          </cell>
          <cell r="O841">
            <v>14900</v>
          </cell>
          <cell r="Q841">
            <v>11200</v>
          </cell>
          <cell r="R841">
            <v>92430805454</v>
          </cell>
          <cell r="V841">
            <v>11200</v>
          </cell>
          <cell r="W841" t="str">
            <v>https://smartstore.naver.com/psglobal1/products/11700931057</v>
          </cell>
          <cell r="X841" t="str">
            <v>뉴클 릴케이블</v>
          </cell>
          <cell r="Y841" t="str">
            <v>뉴클 100W CtoC 릴 케이블 블랙</v>
          </cell>
          <cell r="AA841" t="str">
            <v>https://smartstore.naver.com/psglobal1/products/11700931057?NaPm=ct%3Dmd85bt6g%7Cci%3D07eb59b7e2857b90261de1de0d061054bdaaf10b%7Ctr%3Dslsl%7Csn%3D8729604%7Chk%3D24a2d7fb830e512721e1d4d8367d8e810c8763f2&amp;nl-au=1926c72b9fbe4d8da479f060986236f1&amp;nl-query=%EB%89%B4%ED%81%B4+100w+C+to+C+%EB%A6%B4+%EC%BC%80%EC%9D%B4%EB%B8%94</v>
          </cell>
          <cell r="AB841" t="str">
            <v>coupang.com/vp/products/8750411266?itemId=25437878467&amp;vendorItemId=92430805454</v>
          </cell>
          <cell r="AC841">
            <v>1955.4545454545453</v>
          </cell>
          <cell r="AD841">
            <v>195.54545454545453</v>
          </cell>
          <cell r="AE841">
            <v>2151</v>
          </cell>
          <cell r="AG841">
            <v>8127.272727272727</v>
          </cell>
          <cell r="AH841">
            <v>812.72727272727298</v>
          </cell>
          <cell r="AI841">
            <v>8940</v>
          </cell>
          <cell r="AK841">
            <v>6171.818181818182</v>
          </cell>
        </row>
        <row r="842">
          <cell r="H842">
            <v>92475450426</v>
          </cell>
          <cell r="I842">
            <v>59833095</v>
          </cell>
          <cell r="J842">
            <v>943</v>
          </cell>
          <cell r="K842">
            <v>294</v>
          </cell>
          <cell r="L842">
            <v>11200</v>
          </cell>
          <cell r="M842">
            <v>11200</v>
          </cell>
          <cell r="O842">
            <v>14900</v>
          </cell>
          <cell r="Q842">
            <v>11200</v>
          </cell>
          <cell r="R842">
            <v>92475450426</v>
          </cell>
          <cell r="V842">
            <v>11200</v>
          </cell>
          <cell r="W842" t="str">
            <v>https://smartstore.naver.com/psglobal1/products/11700931057</v>
          </cell>
          <cell r="X842" t="str">
            <v>뉴클 릴케이블</v>
          </cell>
          <cell r="Y842" t="str">
            <v>뉴클 100W CtoC 릴 케이블 화이트</v>
          </cell>
          <cell r="AB842" t="str">
            <v>coupang.com/vp/products/8763350422?itemId=25483171319&amp;vendorItemId=92475450426</v>
          </cell>
          <cell r="AC842">
            <v>1955.4545454545453</v>
          </cell>
          <cell r="AD842">
            <v>195.54545454545453</v>
          </cell>
          <cell r="AE842">
            <v>2151</v>
          </cell>
          <cell r="AG842">
            <v>7999.9999999999991</v>
          </cell>
          <cell r="AH842">
            <v>800.00000000000091</v>
          </cell>
          <cell r="AI842">
            <v>8800</v>
          </cell>
          <cell r="AK842">
            <v>6044.545454545454</v>
          </cell>
        </row>
        <row r="843">
          <cell r="H843">
            <v>92475450411</v>
          </cell>
          <cell r="I843">
            <v>59833094</v>
          </cell>
          <cell r="J843">
            <v>906</v>
          </cell>
          <cell r="K843">
            <v>294</v>
          </cell>
          <cell r="L843">
            <v>11200</v>
          </cell>
          <cell r="M843">
            <v>11200</v>
          </cell>
          <cell r="O843">
            <v>14900</v>
          </cell>
          <cell r="Q843">
            <v>11200</v>
          </cell>
          <cell r="R843">
            <v>92475450411</v>
          </cell>
          <cell r="V843">
            <v>11200</v>
          </cell>
          <cell r="W843" t="str">
            <v>https://smartstore.naver.com/psglobal1/products/11700931057</v>
          </cell>
          <cell r="X843" t="str">
            <v>뉴클 릴케이블</v>
          </cell>
          <cell r="Y843" t="str">
            <v>뉴클 100W CtoC 릴 케이블 퍼플</v>
          </cell>
          <cell r="AB843" t="str">
            <v>coupang.com/vp/products/8763350422?itemId=25483171316&amp;vendorItemId=92475450411</v>
          </cell>
          <cell r="AC843">
            <v>1955.4545454545453</v>
          </cell>
          <cell r="AD843">
            <v>195.54545454545453</v>
          </cell>
          <cell r="AE843">
            <v>2151</v>
          </cell>
          <cell r="AG843">
            <v>7999.9999999999991</v>
          </cell>
          <cell r="AH843">
            <v>800.00000000000091</v>
          </cell>
          <cell r="AI843">
            <v>8800</v>
          </cell>
          <cell r="AK843">
            <v>6044.545454545454</v>
          </cell>
        </row>
        <row r="844">
          <cell r="H844">
            <v>92496010957</v>
          </cell>
          <cell r="I844">
            <v>59850965</v>
          </cell>
          <cell r="J844">
            <v>22</v>
          </cell>
          <cell r="K844">
            <v>178</v>
          </cell>
          <cell r="L844">
            <v>13500</v>
          </cell>
          <cell r="M844">
            <v>13500</v>
          </cell>
          <cell r="O844">
            <v>15900</v>
          </cell>
          <cell r="Q844">
            <v>13500</v>
          </cell>
          <cell r="R844">
            <v>92496010957</v>
          </cell>
          <cell r="V844">
            <v>15900</v>
          </cell>
          <cell r="W844" t="str">
            <v>https://smartstore.naver.com/psglobal1/products/11614825272</v>
          </cell>
          <cell r="X844" t="str">
            <v>뉴클 케이블_풀마그네틱</v>
          </cell>
          <cell r="Y844" t="str">
            <v>뉴클 FULL 마그네틱 65W CtoC 블랙, 1개</v>
          </cell>
          <cell r="AB844" t="str">
            <v>coupang.com/vp/products/8768820087?itemId=25503924188&amp;vendorItemId=92496010957</v>
          </cell>
          <cell r="AC844">
            <v>1674.5454545454545</v>
          </cell>
          <cell r="AD844">
            <v>167.45454545454547</v>
          </cell>
          <cell r="AE844">
            <v>1842</v>
          </cell>
          <cell r="AG844">
            <v>8545.4545454545441</v>
          </cell>
          <cell r="AH844">
            <v>854.54545454545587</v>
          </cell>
          <cell r="AI844">
            <v>9400</v>
          </cell>
          <cell r="AK844">
            <v>6870.9090909090901</v>
          </cell>
        </row>
        <row r="845">
          <cell r="H845">
            <v>92496010975</v>
          </cell>
          <cell r="I845">
            <v>59850966</v>
          </cell>
          <cell r="J845">
            <v>229</v>
          </cell>
          <cell r="K845">
            <v>178</v>
          </cell>
          <cell r="L845">
            <v>27000</v>
          </cell>
          <cell r="M845">
            <v>27000</v>
          </cell>
          <cell r="O845">
            <v>29900</v>
          </cell>
          <cell r="Q845">
            <v>27000</v>
          </cell>
          <cell r="R845">
            <v>92496010975</v>
          </cell>
          <cell r="V845">
            <v>22800</v>
          </cell>
          <cell r="W845" t="str">
            <v>https://smartstore.naver.com/psglobal1/products/11614825272</v>
          </cell>
          <cell r="X845" t="str">
            <v>뉴클 케이블_풀마그네틱</v>
          </cell>
          <cell r="Y845" t="str">
            <v>뉴클 FULL 마그네틱 65W CtoC 블랙, 2개</v>
          </cell>
          <cell r="AB845" t="str">
            <v>coupang.com/vp/products/8768820087?itemId=25503924190&amp;vendorItemId=92496010975</v>
          </cell>
          <cell r="AC845">
            <v>3331.8181818181815</v>
          </cell>
          <cell r="AD845">
            <v>333.18181818181819</v>
          </cell>
          <cell r="AE845">
            <v>3665</v>
          </cell>
          <cell r="AG845">
            <v>16181.81818181818</v>
          </cell>
          <cell r="AH845">
            <v>1618.1818181818198</v>
          </cell>
          <cell r="AI845">
            <v>17800</v>
          </cell>
          <cell r="AK845">
            <v>12849.999999999998</v>
          </cell>
        </row>
        <row r="846">
          <cell r="H846">
            <v>94165948973</v>
          </cell>
          <cell r="I846">
            <v>67323638</v>
          </cell>
          <cell r="J846">
            <v>1123</v>
          </cell>
          <cell r="K846" t="str">
            <v>-</v>
          </cell>
          <cell r="L846">
            <v>10600</v>
          </cell>
          <cell r="M846">
            <v>10600</v>
          </cell>
          <cell r="O846">
            <v>17900</v>
          </cell>
          <cell r="R846">
            <v>94165948973</v>
          </cell>
          <cell r="V846">
            <v>10600</v>
          </cell>
          <cell r="W846" t="str">
            <v>https://smartstore.naver.com/sskoreatrade/products/12390785379</v>
          </cell>
          <cell r="X846" t="str">
            <v>케이스킨_맥세이프케이스</v>
          </cell>
          <cell r="Y846" t="str">
            <v>케이스킨 맥세이프 범퍼 케이스 S25엣지 투명</v>
          </cell>
          <cell r="AB846" t="str">
            <v>coupang.com/vp/products/9208536767?itemId=27198507928&amp;vendorItemId=94165948973</v>
          </cell>
          <cell r="AC846">
            <v>842.72727272727263</v>
          </cell>
          <cell r="AD846">
            <v>84.272727272727266</v>
          </cell>
          <cell r="AE846">
            <v>927</v>
          </cell>
          <cell r="AG846">
            <v>7727.272727272727</v>
          </cell>
          <cell r="AH846">
            <v>772.72727272727298</v>
          </cell>
          <cell r="AI846">
            <v>8500</v>
          </cell>
          <cell r="AK846">
            <v>6884.545454545454</v>
          </cell>
        </row>
        <row r="847">
          <cell r="H847">
            <v>94159413426</v>
          </cell>
          <cell r="I847">
            <v>67314865</v>
          </cell>
          <cell r="J847">
            <v>1207</v>
          </cell>
          <cell r="K847" t="str">
            <v>-</v>
          </cell>
          <cell r="L847">
            <v>10600</v>
          </cell>
          <cell r="M847">
            <v>10600</v>
          </cell>
          <cell r="O847">
            <v>17900</v>
          </cell>
          <cell r="R847">
            <v>94159413426</v>
          </cell>
          <cell r="V847">
            <v>10600</v>
          </cell>
          <cell r="W847" t="str">
            <v>https://smartstore.naver.com/sskoreatrade/products/12390786339</v>
          </cell>
          <cell r="X847" t="str">
            <v>케이스킨_맥세이프케이스</v>
          </cell>
          <cell r="Y847" t="str">
            <v>케이스킨 맥세이프 케이스 S25엣지 그레이</v>
          </cell>
          <cell r="AB847" t="str">
            <v>coupang.com/vp/products/9207001112?itemId=27191917020&amp;vendorItemId=94159413426</v>
          </cell>
          <cell r="AC847">
            <v>3284.5454545454545</v>
          </cell>
          <cell r="AD847">
            <v>328.4545454545455</v>
          </cell>
          <cell r="AE847">
            <v>3613</v>
          </cell>
          <cell r="AG847">
            <v>7727.272727272727</v>
          </cell>
          <cell r="AH847">
            <v>772.72727272727298</v>
          </cell>
          <cell r="AI847">
            <v>8500</v>
          </cell>
          <cell r="AK847">
            <v>4442.7272727272721</v>
          </cell>
        </row>
        <row r="848">
          <cell r="H848">
            <v>94159413427</v>
          </cell>
          <cell r="I848">
            <v>67314863</v>
          </cell>
          <cell r="J848">
            <v>1263</v>
          </cell>
          <cell r="K848" t="str">
            <v>-</v>
          </cell>
          <cell r="L848">
            <v>10600</v>
          </cell>
          <cell r="M848">
            <v>10600</v>
          </cell>
          <cell r="O848">
            <v>17900</v>
          </cell>
          <cell r="R848">
            <v>94159413427</v>
          </cell>
          <cell r="V848">
            <v>10600</v>
          </cell>
          <cell r="W848" t="str">
            <v>https://smartstore.naver.com/sskoreatrade/products/12390786339</v>
          </cell>
          <cell r="X848" t="str">
            <v>케이스킨_맥세이프케이스</v>
          </cell>
          <cell r="Y848" t="str">
            <v>케이스킨 맥세이프 케이스 S25엣지 그린</v>
          </cell>
          <cell r="AB848" t="str">
            <v>coupang.com/vp/products/9207001112?itemId=27191917019&amp;vendorItemId=94159413427</v>
          </cell>
          <cell r="AC848">
            <v>3284.5454545454545</v>
          </cell>
          <cell r="AD848">
            <v>328.4545454545455</v>
          </cell>
          <cell r="AE848">
            <v>3613</v>
          </cell>
          <cell r="AG848">
            <v>7727.272727272727</v>
          </cell>
          <cell r="AH848">
            <v>772.72727272727298</v>
          </cell>
          <cell r="AI848">
            <v>8500</v>
          </cell>
          <cell r="AK848">
            <v>4442.7272727272721</v>
          </cell>
        </row>
        <row r="849">
          <cell r="H849">
            <v>94159413429</v>
          </cell>
          <cell r="I849">
            <v>67314870</v>
          </cell>
          <cell r="J849">
            <v>1340</v>
          </cell>
          <cell r="K849" t="str">
            <v>-</v>
          </cell>
          <cell r="L849">
            <v>10600</v>
          </cell>
          <cell r="M849">
            <v>10600</v>
          </cell>
          <cell r="O849">
            <v>17900</v>
          </cell>
          <cell r="R849">
            <v>94159413429</v>
          </cell>
          <cell r="V849">
            <v>10600</v>
          </cell>
          <cell r="W849" t="str">
            <v>https://smartstore.naver.com/sskoreatrade/products/12390786339</v>
          </cell>
          <cell r="X849" t="str">
            <v>케이스킨_맥세이프케이스</v>
          </cell>
          <cell r="Y849" t="str">
            <v>케이스킨 맥세이프 케이스 S25엣지 네이비</v>
          </cell>
          <cell r="AB849" t="str">
            <v>coupang.com/vp/products/9207001112?itemId=27191917022&amp;vendorItemId=94159413429</v>
          </cell>
          <cell r="AC849">
            <v>3284.5454545454545</v>
          </cell>
          <cell r="AD849">
            <v>328.4545454545455</v>
          </cell>
          <cell r="AE849">
            <v>3613</v>
          </cell>
          <cell r="AG849">
            <v>7727.272727272727</v>
          </cell>
          <cell r="AH849">
            <v>772.72727272727298</v>
          </cell>
          <cell r="AI849">
            <v>8500</v>
          </cell>
          <cell r="AK849">
            <v>4442.7272727272721</v>
          </cell>
        </row>
        <row r="850">
          <cell r="H850">
            <v>94159413428</v>
          </cell>
          <cell r="I850">
            <v>67314862</v>
          </cell>
          <cell r="J850">
            <v>1439</v>
          </cell>
          <cell r="K850" t="str">
            <v>-</v>
          </cell>
          <cell r="L850">
            <v>10600</v>
          </cell>
          <cell r="M850">
            <v>10600</v>
          </cell>
          <cell r="O850">
            <v>17900</v>
          </cell>
          <cell r="R850">
            <v>94159413428</v>
          </cell>
          <cell r="V850">
            <v>10600</v>
          </cell>
          <cell r="W850" t="str">
            <v>https://smartstore.naver.com/sskoreatrade/products/12390786339</v>
          </cell>
          <cell r="X850" t="str">
            <v>케이스킨_맥세이프케이스</v>
          </cell>
          <cell r="Y850" t="str">
            <v>케이스킨 맥세이프 케이스 S25엣지 블랙</v>
          </cell>
          <cell r="AB850" t="str">
            <v>coupang.com/vp/products/9207001112?itemId=27191917017&amp;vendorItemId=94159413428</v>
          </cell>
          <cell r="AC850">
            <v>3284.5454545454545</v>
          </cell>
          <cell r="AD850">
            <v>328.4545454545455</v>
          </cell>
          <cell r="AE850">
            <v>3613</v>
          </cell>
          <cell r="AG850">
            <v>7727.272727272727</v>
          </cell>
          <cell r="AH850">
            <v>772.72727272727298</v>
          </cell>
          <cell r="AI850">
            <v>8500</v>
          </cell>
          <cell r="AK850">
            <v>4442.7272727272721</v>
          </cell>
        </row>
        <row r="851">
          <cell r="H851">
            <v>94165998567</v>
          </cell>
          <cell r="I851">
            <v>67327200</v>
          </cell>
          <cell r="J851">
            <v>1257</v>
          </cell>
          <cell r="K851" t="str">
            <v>-</v>
          </cell>
          <cell r="L851">
            <v>11900</v>
          </cell>
          <cell r="M851">
            <v>11900</v>
          </cell>
          <cell r="O851">
            <v>18900</v>
          </cell>
          <cell r="R851">
            <v>94165998567</v>
          </cell>
          <cell r="V851">
            <v>11900</v>
          </cell>
          <cell r="W851" t="str">
            <v>https://smartstore.naver.com/sskoreatrade/products/12390787061</v>
          </cell>
          <cell r="X851" t="str">
            <v>케이스킨_맥세이프케이스</v>
          </cell>
          <cell r="Y851" t="str">
            <v>케이스킨 맥세이프 케이스 S25엣지 오로라</v>
          </cell>
          <cell r="AB851" t="str">
            <v>coupang.com/vp/products/9208549853?itemId=27198558291&amp;vendorItemId=94165998567</v>
          </cell>
          <cell r="AC851">
            <v>3284.5454545454545</v>
          </cell>
          <cell r="AD851">
            <v>328.4545454545455</v>
          </cell>
          <cell r="AE851">
            <v>3613</v>
          </cell>
          <cell r="AG851">
            <v>8636.363636363636</v>
          </cell>
          <cell r="AH851">
            <v>863.63636363636397</v>
          </cell>
          <cell r="AI851">
            <v>9500</v>
          </cell>
          <cell r="AK851">
            <v>5351.818181818182</v>
          </cell>
        </row>
        <row r="852">
          <cell r="H852">
            <v>94159413430</v>
          </cell>
          <cell r="I852">
            <v>67314868</v>
          </cell>
          <cell r="J852">
            <v>1462</v>
          </cell>
          <cell r="K852" t="str">
            <v>-</v>
          </cell>
          <cell r="L852">
            <v>10600</v>
          </cell>
          <cell r="M852">
            <v>10600</v>
          </cell>
          <cell r="O852">
            <v>17900</v>
          </cell>
          <cell r="R852">
            <v>94159413430</v>
          </cell>
          <cell r="V852">
            <v>10600</v>
          </cell>
          <cell r="W852" t="str">
            <v>https://smartstore.naver.com/sskoreatrade/products/12390786339</v>
          </cell>
          <cell r="X852" t="str">
            <v>케이스킨_맥세이프케이스</v>
          </cell>
          <cell r="Y852" t="str">
            <v>케이스킨 맥세이프 케이스 S25엣지 핑크</v>
          </cell>
          <cell r="AB852" t="str">
            <v>coupang.com/vp/products/9207001112?itemId=27191917021&amp;vendorItemId=94159413430</v>
          </cell>
          <cell r="AC852">
            <v>3284.5454545454545</v>
          </cell>
          <cell r="AD852">
            <v>328.4545454545455</v>
          </cell>
          <cell r="AE852">
            <v>3613</v>
          </cell>
          <cell r="AG852">
            <v>7727.272727272727</v>
          </cell>
          <cell r="AH852">
            <v>772.72727272727298</v>
          </cell>
          <cell r="AI852">
            <v>8500</v>
          </cell>
          <cell r="AK852">
            <v>4442.7272727272721</v>
          </cell>
        </row>
        <row r="853">
          <cell r="H853">
            <v>94165910266</v>
          </cell>
          <cell r="I853">
            <v>67320373</v>
          </cell>
          <cell r="J853">
            <v>1267</v>
          </cell>
          <cell r="K853" t="str">
            <v>-</v>
          </cell>
          <cell r="L853">
            <v>6300</v>
          </cell>
          <cell r="M853">
            <v>6300</v>
          </cell>
          <cell r="O853">
            <v>9800</v>
          </cell>
          <cell r="R853">
            <v>94165910266</v>
          </cell>
          <cell r="V853">
            <v>6300</v>
          </cell>
          <cell r="W853" t="str">
            <v>https://smartstore.naver.com/sskoreatrade/products/12390788467</v>
          </cell>
          <cell r="X853" t="str">
            <v>케이스킨_소프크케이스</v>
          </cell>
          <cell r="Y853" t="str">
            <v>케이스킨 소프트 휴대폰 케이스 S25엣지 그린</v>
          </cell>
          <cell r="AB853" t="str">
            <v>coupang.com/vp/products/9208523475?itemId=27198468391&amp;vendorItemId=94165910266</v>
          </cell>
          <cell r="AC853">
            <v>470.90909090909088</v>
          </cell>
          <cell r="AD853">
            <v>47.090909090909093</v>
          </cell>
          <cell r="AE853">
            <v>518</v>
          </cell>
          <cell r="AG853">
            <v>4545.454545454545</v>
          </cell>
          <cell r="AH853">
            <v>454.54545454545496</v>
          </cell>
          <cell r="AI853">
            <v>5000</v>
          </cell>
          <cell r="AK853">
            <v>4074.545454545454</v>
          </cell>
        </row>
        <row r="854">
          <cell r="H854">
            <v>94165910267</v>
          </cell>
          <cell r="I854">
            <v>67320374</v>
          </cell>
          <cell r="J854">
            <v>1472</v>
          </cell>
          <cell r="K854" t="str">
            <v>-</v>
          </cell>
          <cell r="L854">
            <v>6300</v>
          </cell>
          <cell r="M854">
            <v>6300</v>
          </cell>
          <cell r="O854">
            <v>9800</v>
          </cell>
          <cell r="R854">
            <v>94165910267</v>
          </cell>
          <cell r="V854">
            <v>6300</v>
          </cell>
          <cell r="W854" t="str">
            <v>https://smartstore.naver.com/sskoreatrade/products/12390788467</v>
          </cell>
          <cell r="X854" t="str">
            <v>케이스킨_소프크케이스</v>
          </cell>
          <cell r="Y854" t="str">
            <v>케이스킨 소프트 휴대폰 케이스 S25엣지 네이비</v>
          </cell>
          <cell r="AB854" t="str">
            <v>coupang.com/vp/products/9208523475?itemId=27198468392&amp;vendorItemId=94165910267</v>
          </cell>
          <cell r="AC854">
            <v>470.90909090909088</v>
          </cell>
          <cell r="AD854">
            <v>47.090909090909093</v>
          </cell>
          <cell r="AE854">
            <v>518</v>
          </cell>
          <cell r="AG854">
            <v>4545.454545454545</v>
          </cell>
          <cell r="AH854">
            <v>454.54545454545496</v>
          </cell>
          <cell r="AI854">
            <v>5000</v>
          </cell>
          <cell r="AK854">
            <v>4074.545454545454</v>
          </cell>
        </row>
        <row r="855">
          <cell r="H855">
            <v>94165910265</v>
          </cell>
          <cell r="I855">
            <v>67320369</v>
          </cell>
          <cell r="J855">
            <v>948</v>
          </cell>
          <cell r="K855" t="str">
            <v>-</v>
          </cell>
          <cell r="L855">
            <v>6300</v>
          </cell>
          <cell r="M855">
            <v>6300</v>
          </cell>
          <cell r="O855">
            <v>9800</v>
          </cell>
          <cell r="R855">
            <v>94165910265</v>
          </cell>
          <cell r="V855">
            <v>6300</v>
          </cell>
          <cell r="W855" t="str">
            <v>https://smartstore.naver.com/sskoreatrade/products/12390788467</v>
          </cell>
          <cell r="X855" t="str">
            <v>케이스킨_소프크케이스</v>
          </cell>
          <cell r="Y855" t="str">
            <v>케이스킨 소프트 휴대폰 케이스 S25엣지 블랙</v>
          </cell>
          <cell r="AB855" t="str">
            <v>coupang.com/vp/products/9208523475?itemId=27198468389&amp;vendorItemId=94165910265</v>
          </cell>
          <cell r="AC855">
            <v>470.90909090909088</v>
          </cell>
          <cell r="AD855">
            <v>47.090909090909093</v>
          </cell>
          <cell r="AE855">
            <v>518</v>
          </cell>
          <cell r="AG855">
            <v>4545.454545454545</v>
          </cell>
          <cell r="AH855">
            <v>454.54545454545496</v>
          </cell>
          <cell r="AI855">
            <v>5000</v>
          </cell>
          <cell r="AK855">
            <v>4074.545454545454</v>
          </cell>
        </row>
        <row r="856">
          <cell r="H856">
            <v>94165910264</v>
          </cell>
          <cell r="I856">
            <v>67320375</v>
          </cell>
          <cell r="J856">
            <v>1486</v>
          </cell>
          <cell r="K856" t="str">
            <v>-</v>
          </cell>
          <cell r="L856">
            <v>6300</v>
          </cell>
          <cell r="M856">
            <v>6300</v>
          </cell>
          <cell r="O856">
            <v>9800</v>
          </cell>
          <cell r="R856">
            <v>94165910264</v>
          </cell>
          <cell r="V856">
            <v>6300</v>
          </cell>
          <cell r="W856" t="str">
            <v>https://smartstore.naver.com/sskoreatrade/products/12390788467</v>
          </cell>
          <cell r="X856" t="str">
            <v>케이스킨_소프크케이스</v>
          </cell>
          <cell r="Y856" t="str">
            <v>케이스킨 소프트 휴대폰 케이스 S25엣지 피치</v>
          </cell>
          <cell r="AB856" t="str">
            <v>coupang.com/vp/products/9208523475?itemId=27198468395&amp;vendorItemId=94165910264</v>
          </cell>
          <cell r="AC856">
            <v>470.90909090909088</v>
          </cell>
          <cell r="AD856">
            <v>47.090909090909093</v>
          </cell>
          <cell r="AE856">
            <v>518</v>
          </cell>
          <cell r="AG856">
            <v>4545.454545454545</v>
          </cell>
          <cell r="AH856">
            <v>454.54545454545496</v>
          </cell>
          <cell r="AI856">
            <v>5000</v>
          </cell>
          <cell r="AK856">
            <v>4074.545454545454</v>
          </cell>
        </row>
        <row r="857">
          <cell r="H857">
            <v>94165910268</v>
          </cell>
          <cell r="I857">
            <v>67320376</v>
          </cell>
          <cell r="J857">
            <v>1181</v>
          </cell>
          <cell r="K857" t="str">
            <v>-</v>
          </cell>
          <cell r="L857">
            <v>6300</v>
          </cell>
          <cell r="M857">
            <v>6300</v>
          </cell>
          <cell r="O857">
            <v>9800</v>
          </cell>
          <cell r="R857">
            <v>94165910268</v>
          </cell>
          <cell r="V857">
            <v>6300</v>
          </cell>
          <cell r="W857" t="str">
            <v>https://smartstore.naver.com/sskoreatrade/products/12390788467</v>
          </cell>
          <cell r="X857" t="str">
            <v>케이스킨_소프크케이스</v>
          </cell>
          <cell r="Y857" t="str">
            <v>케이스킨 소프트 휴대폰 케이스 S25엣지 화이트</v>
          </cell>
          <cell r="AB857" t="str">
            <v>coupang.com/vp/products/9208523475?itemId=27198468397&amp;vendorItemId=94165910268</v>
          </cell>
          <cell r="AC857">
            <v>470.90909090909088</v>
          </cell>
          <cell r="AD857">
            <v>47.090909090909093</v>
          </cell>
          <cell r="AE857">
            <v>518</v>
          </cell>
          <cell r="AG857">
            <v>4545.454545454545</v>
          </cell>
          <cell r="AH857">
            <v>454.54545454545496</v>
          </cell>
          <cell r="AI857">
            <v>5000</v>
          </cell>
          <cell r="AK857">
            <v>4074.545454545454</v>
          </cell>
        </row>
        <row r="858">
          <cell r="H858">
            <v>94165978257</v>
          </cell>
          <cell r="I858">
            <v>67324134</v>
          </cell>
          <cell r="J858">
            <v>1224</v>
          </cell>
          <cell r="K858" t="str">
            <v>-</v>
          </cell>
          <cell r="L858">
            <v>6300</v>
          </cell>
          <cell r="M858">
            <v>6300</v>
          </cell>
          <cell r="O858">
            <v>9800</v>
          </cell>
          <cell r="R858">
            <v>94165978257</v>
          </cell>
          <cell r="V858">
            <v>6300</v>
          </cell>
          <cell r="W858" t="str">
            <v>https://smartstore.naver.com/sskoreatrade/products/12390789487</v>
          </cell>
          <cell r="X858" t="str">
            <v>케이스킨_소프크케이스</v>
          </cell>
          <cell r="Y858" t="str">
            <v>케이스킨 소프트 휴대폰 케이스 투명  S25 엣지</v>
          </cell>
          <cell r="AB858" t="str">
            <v>coupang.com/vp/products/9208544155?itemId=27198537883&amp;vendorItemId=94165978257</v>
          </cell>
          <cell r="AC858">
            <v>421.81818181818176</v>
          </cell>
          <cell r="AD858">
            <v>42.18181818181818</v>
          </cell>
          <cell r="AE858">
            <v>464</v>
          </cell>
          <cell r="AG858">
            <v>4545.454545454545</v>
          </cell>
          <cell r="AH858">
            <v>454.54545454545496</v>
          </cell>
          <cell r="AI858">
            <v>5000</v>
          </cell>
          <cell r="AK858">
            <v>4123.6363636363631</v>
          </cell>
        </row>
        <row r="859">
          <cell r="H859">
            <v>87305637427</v>
          </cell>
          <cell r="I859">
            <v>39417939</v>
          </cell>
          <cell r="J859" t="str">
            <v/>
          </cell>
          <cell r="K859">
            <v>231</v>
          </cell>
          <cell r="L859">
            <v>13800</v>
          </cell>
          <cell r="M859">
            <v>13800</v>
          </cell>
          <cell r="N859">
            <v>23600</v>
          </cell>
          <cell r="O859">
            <v>21800</v>
          </cell>
          <cell r="P859">
            <v>46000</v>
          </cell>
          <cell r="Q859">
            <v>13800</v>
          </cell>
          <cell r="R859">
            <v>87305637427</v>
          </cell>
          <cell r="S859" t="str">
            <v>윤혜주BM</v>
          </cell>
          <cell r="V859">
            <v>12300</v>
          </cell>
          <cell r="W859" t="str">
            <v>https://smartstore.naver.com/psglobal1/products/10285921000</v>
          </cell>
          <cell r="X859" t="str">
            <v>뉴클 도킹_2개세트</v>
          </cell>
          <cell r="Y859" t="str">
            <v>뉴클 도킹보조배터리 2p C핑크+C핑크</v>
          </cell>
          <cell r="AB859" t="str">
            <v>coupang.com/vp/products/7623432697?itemId=20215821240&amp;vendorItemId=87305637427</v>
          </cell>
          <cell r="AC859">
            <v>4563.6363636363631</v>
          </cell>
          <cell r="AD859">
            <v>456.36363636363632</v>
          </cell>
          <cell r="AE859">
            <v>5020</v>
          </cell>
          <cell r="AG859">
            <v>8900</v>
          </cell>
          <cell r="AH859">
            <v>890</v>
          </cell>
          <cell r="AI859">
            <v>9790</v>
          </cell>
          <cell r="AK859">
            <v>4336.3636363636369</v>
          </cell>
        </row>
        <row r="860">
          <cell r="H860">
            <v>87305637432</v>
          </cell>
          <cell r="I860">
            <v>39417940</v>
          </cell>
          <cell r="J860" t="str">
            <v/>
          </cell>
          <cell r="K860">
            <v>231</v>
          </cell>
          <cell r="L860">
            <v>13800</v>
          </cell>
          <cell r="M860">
            <v>13800</v>
          </cell>
          <cell r="N860">
            <v>17800</v>
          </cell>
          <cell r="O860">
            <v>21800</v>
          </cell>
          <cell r="Q860">
            <v>13800</v>
          </cell>
          <cell r="R860">
            <v>87305637432</v>
          </cell>
          <cell r="S860" t="str">
            <v>윤혜주BM</v>
          </cell>
          <cell r="V860">
            <v>12300</v>
          </cell>
          <cell r="W860" t="str">
            <v>https://smartstore.naver.com/psglobal1/products/10285921000</v>
          </cell>
          <cell r="X860" t="str">
            <v>뉴클 도킹_2개세트</v>
          </cell>
          <cell r="Y860" t="str">
            <v>뉴클 도킹보조배터리 2p C화이트+C화이트</v>
          </cell>
          <cell r="AA860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0" t="str">
            <v>coupang.com/vp/products/7623432697?itemId=20215821243&amp;vendorItemId=87305637432</v>
          </cell>
          <cell r="AC860">
            <v>4563.6363636363631</v>
          </cell>
          <cell r="AD860">
            <v>456.36363636363632</v>
          </cell>
          <cell r="AE860">
            <v>5020</v>
          </cell>
          <cell r="AG860">
            <v>8900</v>
          </cell>
          <cell r="AH860">
            <v>890</v>
          </cell>
          <cell r="AI860">
            <v>9790</v>
          </cell>
          <cell r="AK860">
            <v>4336.3636363636369</v>
          </cell>
        </row>
        <row r="861">
          <cell r="H861">
            <v>87306453185</v>
          </cell>
          <cell r="I861">
            <v>39419366</v>
          </cell>
          <cell r="J861" t="str">
            <v/>
          </cell>
          <cell r="K861">
            <v>231</v>
          </cell>
          <cell r="L861">
            <v>11800</v>
          </cell>
          <cell r="M861">
            <v>11800</v>
          </cell>
          <cell r="N861">
            <v>17800</v>
          </cell>
          <cell r="O861">
            <v>21800</v>
          </cell>
          <cell r="Q861">
            <v>9900</v>
          </cell>
          <cell r="R861">
            <v>87306453185</v>
          </cell>
          <cell r="S861" t="str">
            <v>윤혜주BM</v>
          </cell>
          <cell r="V861">
            <v>12300</v>
          </cell>
          <cell r="W861" t="str">
            <v>https://smartstore.naver.com/psglobal1/products/10285921000</v>
          </cell>
          <cell r="X861" t="str">
            <v>뉴클 도킹_2개세트</v>
          </cell>
          <cell r="Y861" t="str">
            <v>뉴클 도킹보조배터리 2p C블랙+C민트</v>
          </cell>
          <cell r="AB861" t="str">
            <v>coupang.com/vp/products/7623432697?itemId=20216687683&amp;vendorItemId=87306453185</v>
          </cell>
          <cell r="AC861">
            <v>4563.6363636363631</v>
          </cell>
          <cell r="AD861">
            <v>456.36363636363632</v>
          </cell>
          <cell r="AE861">
            <v>5020</v>
          </cell>
          <cell r="AG861">
            <v>8900</v>
          </cell>
          <cell r="AH861">
            <v>890</v>
          </cell>
          <cell r="AI861">
            <v>9790</v>
          </cell>
          <cell r="AK861">
            <v>4336.3636363636369</v>
          </cell>
        </row>
        <row r="862">
          <cell r="H862">
            <v>87306453168</v>
          </cell>
          <cell r="I862">
            <v>39419364</v>
          </cell>
          <cell r="J862" t="str">
            <v/>
          </cell>
          <cell r="K862">
            <v>231</v>
          </cell>
          <cell r="L862">
            <v>11800</v>
          </cell>
          <cell r="M862">
            <v>11800</v>
          </cell>
          <cell r="N862">
            <v>17800</v>
          </cell>
          <cell r="O862">
            <v>21800</v>
          </cell>
          <cell r="Q862">
            <v>9900</v>
          </cell>
          <cell r="R862">
            <v>87306453168</v>
          </cell>
          <cell r="S862" t="str">
            <v>윤혜주BM</v>
          </cell>
          <cell r="V862">
            <v>12300</v>
          </cell>
          <cell r="W862" t="str">
            <v>https://smartstore.naver.com/psglobal1/products/10285921000</v>
          </cell>
          <cell r="X862" t="str">
            <v>뉴클 도킹_2개세트</v>
          </cell>
          <cell r="Y862" t="str">
            <v>뉴클 도킹보조배터리 2p C블랙+C화이트</v>
          </cell>
          <cell r="AB862" t="str">
            <v>coupang.com/vp/products/7623432697?itemId=20216687682&amp;vendorItemId=87306453168</v>
          </cell>
          <cell r="AC862">
            <v>4563.6363636363631</v>
          </cell>
          <cell r="AD862">
            <v>456.36363636363632</v>
          </cell>
          <cell r="AE862">
            <v>5020</v>
          </cell>
          <cell r="AG862">
            <v>8900</v>
          </cell>
          <cell r="AH862">
            <v>890</v>
          </cell>
          <cell r="AI862">
            <v>9790</v>
          </cell>
          <cell r="AK862">
            <v>4336.3636363636369</v>
          </cell>
        </row>
        <row r="863">
          <cell r="H863">
            <v>87305637472</v>
          </cell>
          <cell r="I863">
            <v>39417944</v>
          </cell>
          <cell r="J863" t="str">
            <v/>
          </cell>
          <cell r="K863">
            <v>231</v>
          </cell>
          <cell r="L863">
            <v>13800</v>
          </cell>
          <cell r="M863">
            <v>13800</v>
          </cell>
          <cell r="N863">
            <v>23600</v>
          </cell>
          <cell r="O863">
            <v>21800</v>
          </cell>
          <cell r="Q863">
            <v>13800</v>
          </cell>
          <cell r="R863">
            <v>87305637472</v>
          </cell>
          <cell r="S863" t="str">
            <v>윤혜주BM</v>
          </cell>
          <cell r="V863">
            <v>12300</v>
          </cell>
          <cell r="W863" t="str">
            <v>https://smartstore.naver.com/psglobal1/products/10285921000</v>
          </cell>
          <cell r="X863" t="str">
            <v>뉴클 도킹_2개세트</v>
          </cell>
          <cell r="Y863" t="str">
            <v>뉴클 도킹보조배터리 2p C민트+C민트</v>
          </cell>
          <cell r="AB863" t="str">
            <v>coupang.com/vp/products/7623432697?itemId=20215821249&amp;vendorItemId=87305637472</v>
          </cell>
          <cell r="AC863">
            <v>4563.6363636363631</v>
          </cell>
          <cell r="AD863">
            <v>456.36363636363632</v>
          </cell>
          <cell r="AE863">
            <v>5020</v>
          </cell>
          <cell r="AG863">
            <v>8900</v>
          </cell>
          <cell r="AH863">
            <v>890</v>
          </cell>
          <cell r="AI863">
            <v>9790</v>
          </cell>
          <cell r="AK863">
            <v>4336.3636363636369</v>
          </cell>
        </row>
        <row r="864">
          <cell r="H864">
            <v>87306453144</v>
          </cell>
          <cell r="I864">
            <v>39419360</v>
          </cell>
          <cell r="J864" t="str">
            <v/>
          </cell>
          <cell r="K864">
            <v>231</v>
          </cell>
          <cell r="L864">
            <v>11800</v>
          </cell>
          <cell r="M864">
            <v>11800</v>
          </cell>
          <cell r="N864">
            <v>17800</v>
          </cell>
          <cell r="O864">
            <v>21800</v>
          </cell>
          <cell r="Q864">
            <v>9900</v>
          </cell>
          <cell r="R864">
            <v>87306453144</v>
          </cell>
          <cell r="S864" t="str">
            <v>윤혜주BM</v>
          </cell>
          <cell r="V864">
            <v>12300</v>
          </cell>
          <cell r="W864" t="str">
            <v>https://smartstore.naver.com/psglobal1/products/10285921000</v>
          </cell>
          <cell r="X864" t="str">
            <v>뉴클 도킹_2개세트</v>
          </cell>
          <cell r="Y864" t="str">
            <v>뉴클 도킹보조배터리 2p C민트+C핑크</v>
          </cell>
          <cell r="AB864" t="str">
            <v>coupang.com/vp/products/7623432697?itemId=20216687680&amp;vendorItemId=87306453144</v>
          </cell>
          <cell r="AC864">
            <v>4563.6363636363631</v>
          </cell>
          <cell r="AD864">
            <v>456.36363636363632</v>
          </cell>
          <cell r="AE864">
            <v>5020</v>
          </cell>
          <cell r="AG864">
            <v>8900</v>
          </cell>
          <cell r="AH864">
            <v>890</v>
          </cell>
          <cell r="AI864">
            <v>9790</v>
          </cell>
          <cell r="AK864">
            <v>4336.3636363636369</v>
          </cell>
        </row>
        <row r="865">
          <cell r="H865">
            <v>87306453155</v>
          </cell>
          <cell r="I865">
            <v>39419362</v>
          </cell>
          <cell r="J865" t="str">
            <v/>
          </cell>
          <cell r="K865">
            <v>231</v>
          </cell>
          <cell r="L865">
            <v>11800</v>
          </cell>
          <cell r="M865">
            <v>11800</v>
          </cell>
          <cell r="N865">
            <v>17800</v>
          </cell>
          <cell r="O865">
            <v>21800</v>
          </cell>
          <cell r="Q865">
            <v>9900</v>
          </cell>
          <cell r="R865">
            <v>87306453155</v>
          </cell>
          <cell r="S865" t="str">
            <v>윤혜주BM</v>
          </cell>
          <cell r="V865">
            <v>12300</v>
          </cell>
          <cell r="W865" t="str">
            <v>https://smartstore.naver.com/psglobal1/products/10285921000</v>
          </cell>
          <cell r="X865" t="str">
            <v>뉴클 도킹_2개세트</v>
          </cell>
          <cell r="Y865" t="str">
            <v>뉴클 도킹보조배터리 2p C핑크+C화이트</v>
          </cell>
          <cell r="AA865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5" t="str">
            <v>coupang.com/vp/products/7623432697?itemId=20216687681&amp;vendorItemId=87306453155</v>
          </cell>
          <cell r="AC865">
            <v>4563.6363636363631</v>
          </cell>
          <cell r="AD865">
            <v>456.36363636363632</v>
          </cell>
          <cell r="AE865">
            <v>5020</v>
          </cell>
          <cell r="AG865">
            <v>8900</v>
          </cell>
          <cell r="AH865">
            <v>890</v>
          </cell>
          <cell r="AI865">
            <v>9790</v>
          </cell>
          <cell r="AK865">
            <v>4336.3636363636369</v>
          </cell>
        </row>
        <row r="866">
          <cell r="H866">
            <v>87306453130</v>
          </cell>
          <cell r="I866">
            <v>39419358</v>
          </cell>
          <cell r="J866" t="str">
            <v/>
          </cell>
          <cell r="K866">
            <v>231</v>
          </cell>
          <cell r="L866">
            <v>11800</v>
          </cell>
          <cell r="M866">
            <v>11800</v>
          </cell>
          <cell r="N866">
            <v>17800</v>
          </cell>
          <cell r="O866">
            <v>21800</v>
          </cell>
          <cell r="Q866">
            <v>9900</v>
          </cell>
          <cell r="R866">
            <v>87306453130</v>
          </cell>
          <cell r="S866" t="str">
            <v>윤혜주BM</v>
          </cell>
          <cell r="V866">
            <v>12300</v>
          </cell>
          <cell r="W866" t="str">
            <v>https://smartstore.naver.com/psglobal1/products/10285921000</v>
          </cell>
          <cell r="X866" t="str">
            <v>뉴클 도킹_2개세트</v>
          </cell>
          <cell r="Y866" t="str">
            <v>뉴클 도킹보조배터리 2p C민트+C화이트</v>
          </cell>
          <cell r="AB866" t="str">
            <v>coupang.com/vp/products/7623432697?itemId=20216687679&amp;vendorItemId=87306453130</v>
          </cell>
          <cell r="AC866">
            <v>4563.6363636363631</v>
          </cell>
          <cell r="AD866">
            <v>456.36363636363632</v>
          </cell>
          <cell r="AE866">
            <v>5020</v>
          </cell>
          <cell r="AG866">
            <v>8900</v>
          </cell>
          <cell r="AH866">
            <v>890</v>
          </cell>
          <cell r="AI866">
            <v>9790</v>
          </cell>
          <cell r="AK866">
            <v>4336.3636363636369</v>
          </cell>
        </row>
        <row r="867">
          <cell r="H867">
            <v>87305637454</v>
          </cell>
          <cell r="I867">
            <v>39417942</v>
          </cell>
          <cell r="J867" t="str">
            <v/>
          </cell>
          <cell r="K867">
            <v>231</v>
          </cell>
          <cell r="L867">
            <v>13800</v>
          </cell>
          <cell r="M867">
            <v>13800</v>
          </cell>
          <cell r="N867">
            <v>23600</v>
          </cell>
          <cell r="O867">
            <v>21800</v>
          </cell>
          <cell r="Q867">
            <v>13800</v>
          </cell>
          <cell r="R867">
            <v>87305637454</v>
          </cell>
          <cell r="S867" t="str">
            <v>윤혜주BM</v>
          </cell>
          <cell r="V867">
            <v>12300</v>
          </cell>
          <cell r="W867" t="str">
            <v>https://smartstore.naver.com/psglobal1/products/10285921000</v>
          </cell>
          <cell r="X867" t="str">
            <v>뉴클 도킹_2개세트</v>
          </cell>
          <cell r="Y867" t="str">
            <v>뉴클 도킹보조배터리 2p C블랙+C블랙</v>
          </cell>
          <cell r="AB867" t="str">
            <v>coupang.com/vp/products/7623432697?itemId=20215821246&amp;vendorItemId=87305637454</v>
          </cell>
          <cell r="AC867">
            <v>4563.6363636363631</v>
          </cell>
          <cell r="AD867">
            <v>456.36363636363632</v>
          </cell>
          <cell r="AE867">
            <v>5020</v>
          </cell>
          <cell r="AG867">
            <v>8900</v>
          </cell>
          <cell r="AH867">
            <v>890</v>
          </cell>
          <cell r="AI867">
            <v>9790</v>
          </cell>
          <cell r="AK867">
            <v>4336.3636363636369</v>
          </cell>
        </row>
        <row r="868">
          <cell r="H868">
            <v>87306453201</v>
          </cell>
          <cell r="I868">
            <v>39419368</v>
          </cell>
          <cell r="J868" t="str">
            <v/>
          </cell>
          <cell r="K868">
            <v>231</v>
          </cell>
          <cell r="L868">
            <v>11800</v>
          </cell>
          <cell r="M868">
            <v>11800</v>
          </cell>
          <cell r="N868">
            <v>17800</v>
          </cell>
          <cell r="O868">
            <v>21800</v>
          </cell>
          <cell r="Q868">
            <v>9900</v>
          </cell>
          <cell r="R868">
            <v>87306453201</v>
          </cell>
          <cell r="S868" t="str">
            <v>윤혜주BM</v>
          </cell>
          <cell r="V868">
            <v>12300</v>
          </cell>
          <cell r="W868" t="str">
            <v>https://smartstore.naver.com/psglobal1/products/10285921000</v>
          </cell>
          <cell r="X868" t="str">
            <v>뉴클 도킹_2개세트</v>
          </cell>
          <cell r="Y868" t="str">
            <v>뉴클 도킹보조배터리 2p C블랙+C핑크</v>
          </cell>
          <cell r="AB868" t="str">
            <v>coupang.com/vp/products/7623432697?itemId=20216687684&amp;vendorItemId=87306453201</v>
          </cell>
          <cell r="AC868">
            <v>4563.6363636363631</v>
          </cell>
          <cell r="AD868">
            <v>456.36363636363632</v>
          </cell>
          <cell r="AE868">
            <v>5020</v>
          </cell>
          <cell r="AG868">
            <v>8900</v>
          </cell>
          <cell r="AH868">
            <v>890</v>
          </cell>
          <cell r="AI868">
            <v>9790</v>
          </cell>
          <cell r="AK868">
            <v>4336.3636363636369</v>
          </cell>
        </row>
        <row r="869">
          <cell r="H869">
            <v>87306454029</v>
          </cell>
          <cell r="I869">
            <v>39419377</v>
          </cell>
          <cell r="J869" t="str">
            <v/>
          </cell>
          <cell r="K869">
            <v>75</v>
          </cell>
          <cell r="L869">
            <v>13800</v>
          </cell>
          <cell r="M869">
            <v>13800</v>
          </cell>
          <cell r="N869">
            <v>13800</v>
          </cell>
          <cell r="O869">
            <v>21800</v>
          </cell>
          <cell r="P869">
            <v>29800</v>
          </cell>
          <cell r="Q869">
            <v>13800</v>
          </cell>
          <cell r="R869">
            <v>87306454029</v>
          </cell>
          <cell r="S869" t="str">
            <v>윤혜주BM</v>
          </cell>
          <cell r="V869">
            <v>12300</v>
          </cell>
          <cell r="W869" t="str">
            <v>https://smartstore.naver.com/psglobal1/products/10285921000</v>
          </cell>
          <cell r="X869" t="str">
            <v>뉴클 도킹_2개세트</v>
          </cell>
          <cell r="Y869" t="str">
            <v>뉴클 도킹보조배터리 2p 8핀 민트+C민트</v>
          </cell>
          <cell r="AA869" t="str">
            <v>https://www.coupang.com/vp/products/7623432929?itemId=20216688720</v>
          </cell>
          <cell r="AB869" t="str">
            <v>coupang.com/vp/products/7623432929?itemId=20216688710&amp;vendorItemId=87306454029</v>
          </cell>
          <cell r="AC869">
            <v>4563.6363636363631</v>
          </cell>
          <cell r="AD869">
            <v>456.36363636363632</v>
          </cell>
          <cell r="AE869">
            <v>5020</v>
          </cell>
          <cell r="AG869">
            <v>8900</v>
          </cell>
          <cell r="AH869">
            <v>890</v>
          </cell>
          <cell r="AI869">
            <v>9790</v>
          </cell>
          <cell r="AK869">
            <v>4336.3636363636369</v>
          </cell>
        </row>
        <row r="870">
          <cell r="H870">
            <v>87306453966</v>
          </cell>
          <cell r="I870">
            <v>39419373</v>
          </cell>
          <cell r="J870" t="str">
            <v/>
          </cell>
          <cell r="K870">
            <v>75</v>
          </cell>
          <cell r="L870">
            <v>13800</v>
          </cell>
          <cell r="M870">
            <v>13800</v>
          </cell>
          <cell r="N870">
            <v>13800</v>
          </cell>
          <cell r="O870">
            <v>21800</v>
          </cell>
          <cell r="Q870">
            <v>13800</v>
          </cell>
          <cell r="R870">
            <v>87306453966</v>
          </cell>
          <cell r="S870" t="str">
            <v>윤혜주BM</v>
          </cell>
          <cell r="V870">
            <v>12300</v>
          </cell>
          <cell r="W870" t="str">
            <v>https://smartstore.naver.com/psglobal1/products/10285921000</v>
          </cell>
          <cell r="X870" t="str">
            <v>뉴클 도킹_2개세트</v>
          </cell>
          <cell r="Y870" t="str">
            <v>뉴클 도킹보조배터리 2p 8핀 블랙+C민트</v>
          </cell>
          <cell r="AB870" t="str">
            <v>coupang.com/vp/products/7623432929?itemId=20216688706&amp;vendorItemId=87306453966</v>
          </cell>
          <cell r="AC870">
            <v>4563.6363636363631</v>
          </cell>
          <cell r="AD870">
            <v>456.36363636363632</v>
          </cell>
          <cell r="AE870">
            <v>5020</v>
          </cell>
          <cell r="AG870">
            <v>8900</v>
          </cell>
          <cell r="AH870">
            <v>890</v>
          </cell>
          <cell r="AI870">
            <v>9790</v>
          </cell>
          <cell r="AK870">
            <v>4336.3636363636369</v>
          </cell>
        </row>
        <row r="871">
          <cell r="H871">
            <v>87306454147</v>
          </cell>
          <cell r="I871">
            <v>39419386</v>
          </cell>
          <cell r="J871" t="str">
            <v/>
          </cell>
          <cell r="K871">
            <v>75</v>
          </cell>
          <cell r="L871">
            <v>13800</v>
          </cell>
          <cell r="M871">
            <v>13800</v>
          </cell>
          <cell r="N871">
            <v>13800</v>
          </cell>
          <cell r="O871">
            <v>21800</v>
          </cell>
          <cell r="Q871">
            <v>13800</v>
          </cell>
          <cell r="R871">
            <v>87306454147</v>
          </cell>
          <cell r="S871" t="str">
            <v>윤혜주BM</v>
          </cell>
          <cell r="V871">
            <v>12300</v>
          </cell>
          <cell r="W871" t="str">
            <v>https://smartstore.naver.com/psglobal1/products/10285921000</v>
          </cell>
          <cell r="X871" t="str">
            <v>뉴클 도킹_2개세트</v>
          </cell>
          <cell r="Y871" t="str">
            <v>뉴클 도킹보조배터리 2p 8핀 핑크+C민트</v>
          </cell>
          <cell r="AB871" t="str">
            <v>coupang.com/vp/products/7623432929?itemId=20216688726&amp;vendorItemId=87306454147</v>
          </cell>
          <cell r="AC871">
            <v>4563.6363636363631</v>
          </cell>
          <cell r="AD871">
            <v>456.36363636363632</v>
          </cell>
          <cell r="AE871">
            <v>5020</v>
          </cell>
          <cell r="AG871">
            <v>8900</v>
          </cell>
          <cell r="AH871">
            <v>890</v>
          </cell>
          <cell r="AI871">
            <v>9790</v>
          </cell>
          <cell r="AK871">
            <v>4336.3636363636369</v>
          </cell>
        </row>
        <row r="872">
          <cell r="H872">
            <v>87306454110</v>
          </cell>
          <cell r="I872">
            <v>39419382</v>
          </cell>
          <cell r="J872" t="str">
            <v/>
          </cell>
          <cell r="K872">
            <v>75</v>
          </cell>
          <cell r="L872">
            <v>13800</v>
          </cell>
          <cell r="M872">
            <v>13800</v>
          </cell>
          <cell r="N872">
            <v>13800</v>
          </cell>
          <cell r="O872">
            <v>21800</v>
          </cell>
          <cell r="Q872">
            <v>13800</v>
          </cell>
          <cell r="R872">
            <v>87306454110</v>
          </cell>
          <cell r="S872" t="str">
            <v>윤혜주BM</v>
          </cell>
          <cell r="V872">
            <v>12300</v>
          </cell>
          <cell r="W872" t="str">
            <v>https://smartstore.naver.com/psglobal1/products/10285921000</v>
          </cell>
          <cell r="X872" t="str">
            <v>뉴클 도킹_2개세트</v>
          </cell>
          <cell r="Y872" t="str">
            <v>뉴클 도킹보조배터리 2p 8핀 화이트+C민트</v>
          </cell>
          <cell r="AB872" t="str">
            <v>coupang.com/vp/products/7623432929?itemId=20216688722&amp;vendorItemId=87306454110</v>
          </cell>
          <cell r="AC872">
            <v>4563.6363636363631</v>
          </cell>
          <cell r="AD872">
            <v>456.36363636363632</v>
          </cell>
          <cell r="AE872">
            <v>5020</v>
          </cell>
          <cell r="AG872">
            <v>8900</v>
          </cell>
          <cell r="AH872">
            <v>890</v>
          </cell>
          <cell r="AI872">
            <v>9790</v>
          </cell>
          <cell r="AK872">
            <v>4336.3636363636369</v>
          </cell>
        </row>
        <row r="873">
          <cell r="H873">
            <v>87306454117</v>
          </cell>
          <cell r="I873">
            <v>39419383</v>
          </cell>
          <cell r="J873">
            <v>0</v>
          </cell>
          <cell r="K873">
            <v>75</v>
          </cell>
          <cell r="L873">
            <v>13800</v>
          </cell>
          <cell r="M873">
            <v>13800</v>
          </cell>
          <cell r="N873">
            <v>13800</v>
          </cell>
          <cell r="O873">
            <v>21800</v>
          </cell>
          <cell r="Q873">
            <v>13800</v>
          </cell>
          <cell r="R873">
            <v>87306454117</v>
          </cell>
          <cell r="S873" t="str">
            <v>윤혜주BM</v>
          </cell>
          <cell r="V873">
            <v>12300</v>
          </cell>
          <cell r="W873" t="str">
            <v>https://smartstore.naver.com/psglobal1/products/10285921000</v>
          </cell>
          <cell r="X873" t="str">
            <v>뉴클 도킹_2개세트</v>
          </cell>
          <cell r="Y873" t="str">
            <v>뉴클 도킹보조배터리 2p 8핀 화이트+C블랙</v>
          </cell>
          <cell r="AB873" t="str">
            <v>coupang.com/vp/products/7623432929?itemId=20216688723&amp;vendorItemId=87306454117</v>
          </cell>
          <cell r="AC873">
            <v>4563.6363636363631</v>
          </cell>
          <cell r="AD873">
            <v>456.36363636363632</v>
          </cell>
          <cell r="AE873">
            <v>5020</v>
          </cell>
          <cell r="AG873">
            <v>8900</v>
          </cell>
          <cell r="AH873">
            <v>890</v>
          </cell>
          <cell r="AI873">
            <v>9790</v>
          </cell>
          <cell r="AK873">
            <v>4336.3636363636369</v>
          </cell>
        </row>
        <row r="874">
          <cell r="H874">
            <v>87306453992</v>
          </cell>
          <cell r="I874">
            <v>39419375</v>
          </cell>
          <cell r="J874" t="str">
            <v/>
          </cell>
          <cell r="K874">
            <v>75</v>
          </cell>
          <cell r="L874">
            <v>13800</v>
          </cell>
          <cell r="M874">
            <v>13800</v>
          </cell>
          <cell r="N874">
            <v>13800</v>
          </cell>
          <cell r="O874">
            <v>21800</v>
          </cell>
          <cell r="Q874">
            <v>13800</v>
          </cell>
          <cell r="R874">
            <v>87306453992</v>
          </cell>
          <cell r="S874" t="str">
            <v>윤혜주BM</v>
          </cell>
          <cell r="V874">
            <v>12300</v>
          </cell>
          <cell r="W874" t="str">
            <v>https://smartstore.naver.com/psglobal1/products/10285921000</v>
          </cell>
          <cell r="X874" t="str">
            <v>뉴클 도킹_2개세트</v>
          </cell>
          <cell r="Y874" t="str">
            <v>뉴클 도킹보조배터리 2p 8핀 블랙+C화이트</v>
          </cell>
          <cell r="AB874" t="str">
            <v>coupang.com/vp/products/7623432929?itemId=20216688708&amp;vendorItemId=87306453992</v>
          </cell>
          <cell r="AC874">
            <v>4563.6363636363631</v>
          </cell>
          <cell r="AD874">
            <v>456.36363636363632</v>
          </cell>
          <cell r="AE874">
            <v>5020</v>
          </cell>
          <cell r="AG874">
            <v>8900</v>
          </cell>
          <cell r="AH874">
            <v>890</v>
          </cell>
          <cell r="AI874">
            <v>9790</v>
          </cell>
          <cell r="AK874">
            <v>4336.3636363636369</v>
          </cell>
        </row>
        <row r="875">
          <cell r="H875">
            <v>87306453931</v>
          </cell>
          <cell r="I875">
            <v>39419370</v>
          </cell>
          <cell r="J875" t="str">
            <v/>
          </cell>
          <cell r="K875">
            <v>75</v>
          </cell>
          <cell r="L875">
            <v>13800</v>
          </cell>
          <cell r="M875">
            <v>13800</v>
          </cell>
          <cell r="N875">
            <v>13800</v>
          </cell>
          <cell r="O875">
            <v>21800</v>
          </cell>
          <cell r="Q875">
            <v>13800</v>
          </cell>
          <cell r="R875">
            <v>87306453931</v>
          </cell>
          <cell r="S875" t="str">
            <v>윤혜주BM</v>
          </cell>
          <cell r="V875">
            <v>12300</v>
          </cell>
          <cell r="W875" t="str">
            <v>https://smartstore.naver.com/psglobal1/products/10285921000</v>
          </cell>
          <cell r="X875" t="str">
            <v>뉴클 도킹_2개세트</v>
          </cell>
          <cell r="Y875" t="str">
            <v>뉴클 도킹보조배터리 2p 8핀 블랙+C블랙</v>
          </cell>
          <cell r="AB875" t="str">
            <v>coupang.com/vp/products/7623432929?itemId=20216688704&amp;vendorItemId=87306453931</v>
          </cell>
          <cell r="AC875">
            <v>4563.6363636363631</v>
          </cell>
          <cell r="AD875">
            <v>456.36363636363632</v>
          </cell>
          <cell r="AE875">
            <v>5020</v>
          </cell>
          <cell r="AG875">
            <v>8900</v>
          </cell>
          <cell r="AH875">
            <v>890</v>
          </cell>
          <cell r="AI875">
            <v>9790</v>
          </cell>
          <cell r="AK875">
            <v>4336.3636363636369</v>
          </cell>
        </row>
        <row r="876">
          <cell r="H876">
            <v>87306454126</v>
          </cell>
          <cell r="I876">
            <v>39419384</v>
          </cell>
          <cell r="J876" t="str">
            <v/>
          </cell>
          <cell r="K876">
            <v>75</v>
          </cell>
          <cell r="L876">
            <v>13800</v>
          </cell>
          <cell r="M876">
            <v>13800</v>
          </cell>
          <cell r="N876">
            <v>13800</v>
          </cell>
          <cell r="O876">
            <v>21800</v>
          </cell>
          <cell r="Q876">
            <v>13800</v>
          </cell>
          <cell r="R876">
            <v>87306454126</v>
          </cell>
          <cell r="S876" t="str">
            <v>윤혜주BM</v>
          </cell>
          <cell r="V876">
            <v>12300</v>
          </cell>
          <cell r="W876" t="str">
            <v>https://smartstore.naver.com/psglobal1/products/10285921000</v>
          </cell>
          <cell r="X876" t="str">
            <v>뉴클 도킹_2개세트</v>
          </cell>
          <cell r="Y876" t="str">
            <v>뉴클 도킹보조배터리 2p 8핀 화이트+C화이트</v>
          </cell>
          <cell r="AB876" t="str">
            <v>coupang.com/vp/products/7623432929?itemId=20216688724&amp;vendorItemId=87306454126</v>
          </cell>
          <cell r="AC876">
            <v>4563.6363636363631</v>
          </cell>
          <cell r="AD876">
            <v>456.36363636363632</v>
          </cell>
          <cell r="AE876">
            <v>5020</v>
          </cell>
          <cell r="AG876">
            <v>8900</v>
          </cell>
          <cell r="AH876">
            <v>890</v>
          </cell>
          <cell r="AI876">
            <v>9790</v>
          </cell>
          <cell r="AK876">
            <v>4336.3636363636369</v>
          </cell>
        </row>
        <row r="877">
          <cell r="H877">
            <v>87306454101</v>
          </cell>
          <cell r="I877">
            <v>39419381</v>
          </cell>
          <cell r="J877" t="str">
            <v/>
          </cell>
          <cell r="K877">
            <v>75</v>
          </cell>
          <cell r="L877">
            <v>13800</v>
          </cell>
          <cell r="M877">
            <v>13800</v>
          </cell>
          <cell r="N877">
            <v>13800</v>
          </cell>
          <cell r="O877">
            <v>21800</v>
          </cell>
          <cell r="Q877">
            <v>13800</v>
          </cell>
          <cell r="R877">
            <v>87306454101</v>
          </cell>
          <cell r="S877" t="str">
            <v>윤혜주BM</v>
          </cell>
          <cell r="V877">
            <v>12300</v>
          </cell>
          <cell r="W877" t="str">
            <v>https://smartstore.naver.com/psglobal1/products/10285921000</v>
          </cell>
          <cell r="X877" t="str">
            <v>뉴클 도킹_2개세트</v>
          </cell>
          <cell r="Y877" t="str">
            <v>뉴클 도킹보조배터리 2p 8핀 핑크+C핑크</v>
          </cell>
          <cell r="AB877" t="str">
            <v>coupang.com/vp/products/7623432929?itemId=20216688720&amp;vendorItemId=87306454101</v>
          </cell>
          <cell r="AC877">
            <v>4563.6363636363631</v>
          </cell>
          <cell r="AD877">
            <v>456.36363636363632</v>
          </cell>
          <cell r="AE877">
            <v>5020</v>
          </cell>
          <cell r="AG877">
            <v>8900</v>
          </cell>
          <cell r="AH877">
            <v>890</v>
          </cell>
          <cell r="AI877">
            <v>9790</v>
          </cell>
          <cell r="AK877">
            <v>4336.3636363636369</v>
          </cell>
        </row>
        <row r="878">
          <cell r="H878">
            <v>87306454089</v>
          </cell>
          <cell r="I878">
            <v>39419380</v>
          </cell>
          <cell r="J878" t="str">
            <v/>
          </cell>
          <cell r="K878">
            <v>75</v>
          </cell>
          <cell r="L878">
            <v>13800</v>
          </cell>
          <cell r="M878">
            <v>13800</v>
          </cell>
          <cell r="N878">
            <v>13800</v>
          </cell>
          <cell r="O878">
            <v>21800</v>
          </cell>
          <cell r="Q878">
            <v>13800</v>
          </cell>
          <cell r="R878">
            <v>87306454089</v>
          </cell>
          <cell r="S878" t="str">
            <v>윤혜주BM</v>
          </cell>
          <cell r="V878">
            <v>12300</v>
          </cell>
          <cell r="W878" t="str">
            <v>https://smartstore.naver.com/psglobal1/products/10285921000</v>
          </cell>
          <cell r="X878" t="str">
            <v>뉴클 도킹_2개세트</v>
          </cell>
          <cell r="Y878" t="str">
            <v>뉴클 도킹보조배터리 2p 8핀 핑크+C화이트</v>
          </cell>
          <cell r="AB878" t="str">
            <v>coupang.com/vp/products/7623432929?itemId=20216688717&amp;vendorItemId=87306454089</v>
          </cell>
          <cell r="AC878">
            <v>4563.6363636363631</v>
          </cell>
          <cell r="AD878">
            <v>456.36363636363632</v>
          </cell>
          <cell r="AE878">
            <v>5020</v>
          </cell>
          <cell r="AG878">
            <v>8900</v>
          </cell>
          <cell r="AH878">
            <v>890</v>
          </cell>
          <cell r="AI878">
            <v>9790</v>
          </cell>
          <cell r="AK878">
            <v>4336.3636363636369</v>
          </cell>
        </row>
        <row r="879">
          <cell r="H879">
            <v>87306454011</v>
          </cell>
          <cell r="I879">
            <v>39419376</v>
          </cell>
          <cell r="J879" t="str">
            <v/>
          </cell>
          <cell r="K879">
            <v>75</v>
          </cell>
          <cell r="L879">
            <v>13800</v>
          </cell>
          <cell r="M879">
            <v>13800</v>
          </cell>
          <cell r="N879">
            <v>13800</v>
          </cell>
          <cell r="O879">
            <v>21800</v>
          </cell>
          <cell r="Q879">
            <v>13800</v>
          </cell>
          <cell r="R879">
            <v>87306454011</v>
          </cell>
          <cell r="S879" t="str">
            <v>윤혜주BM</v>
          </cell>
          <cell r="V879">
            <v>12300</v>
          </cell>
          <cell r="W879" t="str">
            <v>https://smartstore.naver.com/psglobal1/products/10285921000</v>
          </cell>
          <cell r="X879" t="str">
            <v>뉴클 도킹_2개세트</v>
          </cell>
          <cell r="Y879" t="str">
            <v>뉴클 도킹보조배터리 2p 8핀 민트+C핑크</v>
          </cell>
          <cell r="AB879" t="str">
            <v>coupang.com/vp/products/7623432929?itemId=20216688709&amp;vendorItemId=87306454011</v>
          </cell>
          <cell r="AC879">
            <v>4563.6363636363631</v>
          </cell>
          <cell r="AD879">
            <v>456.36363636363632</v>
          </cell>
          <cell r="AE879">
            <v>5020</v>
          </cell>
          <cell r="AG879">
            <v>8900</v>
          </cell>
          <cell r="AH879">
            <v>890</v>
          </cell>
          <cell r="AI879">
            <v>9790</v>
          </cell>
          <cell r="AK879">
            <v>4336.3636363636369</v>
          </cell>
        </row>
        <row r="880">
          <cell r="H880">
            <v>87306454075</v>
          </cell>
          <cell r="I880">
            <v>39419379</v>
          </cell>
          <cell r="J880" t="str">
            <v/>
          </cell>
          <cell r="K880">
            <v>75</v>
          </cell>
          <cell r="L880">
            <v>13800</v>
          </cell>
          <cell r="M880">
            <v>13800</v>
          </cell>
          <cell r="N880">
            <v>13800</v>
          </cell>
          <cell r="O880">
            <v>21800</v>
          </cell>
          <cell r="Q880">
            <v>13800</v>
          </cell>
          <cell r="R880">
            <v>87306454075</v>
          </cell>
          <cell r="S880" t="str">
            <v>윤혜주BM</v>
          </cell>
          <cell r="V880">
            <v>12300</v>
          </cell>
          <cell r="W880" t="str">
            <v>https://smartstore.naver.com/psglobal1/products/10285921000</v>
          </cell>
          <cell r="X880" t="str">
            <v>뉴클 도킹_2개세트</v>
          </cell>
          <cell r="Y880" t="str">
            <v>뉴클 도킹보조배터리 2p 8핀 민트+C화이트</v>
          </cell>
          <cell r="AB880" t="str">
            <v>coupang.com/vp/products/7623432929?itemId=20216688713&amp;vendorItemId=87306454075</v>
          </cell>
          <cell r="AC880">
            <v>4563.6363636363631</v>
          </cell>
          <cell r="AD880">
            <v>456.36363636363632</v>
          </cell>
          <cell r="AE880">
            <v>5020</v>
          </cell>
          <cell r="AG880">
            <v>8900</v>
          </cell>
          <cell r="AH880">
            <v>890</v>
          </cell>
          <cell r="AI880">
            <v>9790</v>
          </cell>
          <cell r="AK880">
            <v>4336.3636363636369</v>
          </cell>
        </row>
        <row r="881">
          <cell r="H881">
            <v>87306453976</v>
          </cell>
          <cell r="I881">
            <v>39419374</v>
          </cell>
          <cell r="J881" t="str">
            <v/>
          </cell>
          <cell r="K881">
            <v>75</v>
          </cell>
          <cell r="L881">
            <v>13800</v>
          </cell>
          <cell r="M881">
            <v>13800</v>
          </cell>
          <cell r="N881">
            <v>13800</v>
          </cell>
          <cell r="O881">
            <v>21800</v>
          </cell>
          <cell r="Q881">
            <v>13800</v>
          </cell>
          <cell r="R881">
            <v>87306453976</v>
          </cell>
          <cell r="S881" t="str">
            <v>윤혜주BM</v>
          </cell>
          <cell r="V881">
            <v>12300</v>
          </cell>
          <cell r="W881" t="str">
            <v>https://smartstore.naver.com/psglobal1/products/10285921000</v>
          </cell>
          <cell r="X881" t="str">
            <v>뉴클 도킹_2개세트</v>
          </cell>
          <cell r="Y881" t="str">
            <v>뉴클 도킹보조배터리 2p 8핀 민트+C블랙</v>
          </cell>
          <cell r="AA881" t="str">
            <v>https://www.coupang.com/vp/products/7623432929?itemId=20216688720</v>
          </cell>
          <cell r="AB881" t="str">
            <v>coupang.com/vp/products/7623432929?itemId=20216688707&amp;vendorItemId=87306453976</v>
          </cell>
          <cell r="AC881">
            <v>4563.6363636363631</v>
          </cell>
          <cell r="AD881">
            <v>456.36363636363632</v>
          </cell>
          <cell r="AE881">
            <v>5020</v>
          </cell>
          <cell r="AG881">
            <v>8900</v>
          </cell>
          <cell r="AH881">
            <v>890</v>
          </cell>
          <cell r="AI881">
            <v>9790</v>
          </cell>
          <cell r="AK881">
            <v>4336.3636363636369</v>
          </cell>
        </row>
        <row r="882">
          <cell r="H882">
            <v>87306454054</v>
          </cell>
          <cell r="I882">
            <v>39419378</v>
          </cell>
          <cell r="J882" t="str">
            <v/>
          </cell>
          <cell r="K882">
            <v>75</v>
          </cell>
          <cell r="L882">
            <v>13800</v>
          </cell>
          <cell r="M882">
            <v>13800</v>
          </cell>
          <cell r="N882">
            <v>13800</v>
          </cell>
          <cell r="O882">
            <v>21800</v>
          </cell>
          <cell r="Q882">
            <v>13800</v>
          </cell>
          <cell r="R882">
            <v>87306454054</v>
          </cell>
          <cell r="S882" t="str">
            <v>윤혜주BM</v>
          </cell>
          <cell r="V882">
            <v>12300</v>
          </cell>
          <cell r="W882" t="str">
            <v>https://smartstore.naver.com/psglobal1/products/10285921000</v>
          </cell>
          <cell r="X882" t="str">
            <v>뉴클 도킹_2개세트</v>
          </cell>
          <cell r="Y882" t="str">
            <v>뉴클 도킹보조배터리 2p 8핀 핑크+C블랙</v>
          </cell>
          <cell r="AB882" t="str">
            <v>coupang.com/vp/products/7623432929?itemId=20216688712&amp;vendorItemId=87306454054</v>
          </cell>
          <cell r="AC882">
            <v>4563.6363636363631</v>
          </cell>
          <cell r="AD882">
            <v>456.36363636363632</v>
          </cell>
          <cell r="AE882">
            <v>5020</v>
          </cell>
          <cell r="AG882">
            <v>8900</v>
          </cell>
          <cell r="AH882">
            <v>890</v>
          </cell>
          <cell r="AI882">
            <v>9790</v>
          </cell>
          <cell r="AK882">
            <v>4336.3636363636369</v>
          </cell>
        </row>
        <row r="883">
          <cell r="H883">
            <v>87306454138</v>
          </cell>
          <cell r="I883">
            <v>39419385</v>
          </cell>
          <cell r="J883" t="str">
            <v/>
          </cell>
          <cell r="K883">
            <v>75</v>
          </cell>
          <cell r="L883">
            <v>13800</v>
          </cell>
          <cell r="M883">
            <v>13800</v>
          </cell>
          <cell r="N883">
            <v>13800</v>
          </cell>
          <cell r="O883">
            <v>21800</v>
          </cell>
          <cell r="Q883">
            <v>13800</v>
          </cell>
          <cell r="R883">
            <v>87306454138</v>
          </cell>
          <cell r="S883" t="str">
            <v>윤혜주BM</v>
          </cell>
          <cell r="V883">
            <v>12300</v>
          </cell>
          <cell r="W883" t="str">
            <v>https://smartstore.naver.com/psglobal1/products/10285921000</v>
          </cell>
          <cell r="X883" t="str">
            <v>뉴클 도킹_2개세트</v>
          </cell>
          <cell r="Y883" t="str">
            <v>뉴클 도킹보조배터리 2p 8핀 화이트+C핑크</v>
          </cell>
          <cell r="AB883" t="str">
            <v>coupang.com/vp/products/7623432929?itemId=20216688725&amp;vendorItemId=87306454138</v>
          </cell>
          <cell r="AC883">
            <v>4563.6363636363631</v>
          </cell>
          <cell r="AD883">
            <v>456.36363636363632</v>
          </cell>
          <cell r="AE883">
            <v>5020</v>
          </cell>
          <cell r="AG883">
            <v>8900</v>
          </cell>
          <cell r="AH883">
            <v>890</v>
          </cell>
          <cell r="AI883">
            <v>9790</v>
          </cell>
          <cell r="AK883">
            <v>4336.3636363636369</v>
          </cell>
        </row>
        <row r="884">
          <cell r="H884">
            <v>87306453950</v>
          </cell>
          <cell r="I884">
            <v>39419372</v>
          </cell>
          <cell r="J884" t="str">
            <v/>
          </cell>
          <cell r="K884">
            <v>75</v>
          </cell>
          <cell r="L884">
            <v>13800</v>
          </cell>
          <cell r="M884">
            <v>13800</v>
          </cell>
          <cell r="N884">
            <v>13800</v>
          </cell>
          <cell r="O884">
            <v>21800</v>
          </cell>
          <cell r="Q884">
            <v>13800</v>
          </cell>
          <cell r="R884">
            <v>87306453950</v>
          </cell>
          <cell r="S884" t="str">
            <v>윤혜주BM</v>
          </cell>
          <cell r="V884">
            <v>12300</v>
          </cell>
          <cell r="W884" t="str">
            <v>https://smartstore.naver.com/psglobal1/products/10285921000</v>
          </cell>
          <cell r="X884" t="str">
            <v>뉴클 도킹_2개세트</v>
          </cell>
          <cell r="Y884" t="str">
            <v>뉴클 도킹보조배터리 2p 8핀 블랙+C핑크</v>
          </cell>
          <cell r="AB884" t="str">
            <v>coupang.com/vp/products/7623432929?itemId=20216688705&amp;vendorItemId=87306453950</v>
          </cell>
          <cell r="AC884">
            <v>4563.6363636363631</v>
          </cell>
          <cell r="AD884">
            <v>456.36363636363632</v>
          </cell>
          <cell r="AE884">
            <v>5020</v>
          </cell>
          <cell r="AG884">
            <v>8900</v>
          </cell>
          <cell r="AH884">
            <v>890</v>
          </cell>
          <cell r="AI884">
            <v>9790</v>
          </cell>
          <cell r="AK884">
            <v>4336.3636363636369</v>
          </cell>
        </row>
        <row r="885">
          <cell r="H885">
            <v>87305637467</v>
          </cell>
          <cell r="I885">
            <v>39417941</v>
          </cell>
          <cell r="J885" t="str">
            <v/>
          </cell>
          <cell r="K885">
            <v>64</v>
          </cell>
          <cell r="L885">
            <v>11800</v>
          </cell>
          <cell r="M885">
            <v>11800</v>
          </cell>
          <cell r="N885">
            <v>17800</v>
          </cell>
          <cell r="O885">
            <v>21800</v>
          </cell>
          <cell r="P885">
            <v>46000</v>
          </cell>
          <cell r="Q885">
            <v>9900</v>
          </cell>
          <cell r="R885">
            <v>87305637467</v>
          </cell>
          <cell r="S885" t="str">
            <v>윤혜주BM</v>
          </cell>
          <cell r="V885">
            <v>12300</v>
          </cell>
          <cell r="W885" t="str">
            <v>https://smartstore.naver.com/psglobal1/products/10285921000</v>
          </cell>
          <cell r="X885" t="str">
            <v>뉴클 도킹_2개세트</v>
          </cell>
          <cell r="Y885" t="str">
            <v>뉴클 도킹보조배터리 2p 8핀 화이트+8핀 화이트</v>
          </cell>
          <cell r="AB885" t="str">
            <v>coupang.com/vp/products/7623432701?itemId=20215821262&amp;vendorItemId=87305637467</v>
          </cell>
          <cell r="AC885">
            <v>4563.6363636363631</v>
          </cell>
          <cell r="AD885">
            <v>456.36363636363632</v>
          </cell>
          <cell r="AE885">
            <v>5020</v>
          </cell>
          <cell r="AG885">
            <v>8900</v>
          </cell>
          <cell r="AH885">
            <v>890</v>
          </cell>
          <cell r="AI885">
            <v>9790</v>
          </cell>
          <cell r="AK885">
            <v>4336.3636363636369</v>
          </cell>
        </row>
        <row r="886">
          <cell r="H886">
            <v>87305637447</v>
          </cell>
          <cell r="I886">
            <v>39417938</v>
          </cell>
          <cell r="J886" t="str">
            <v/>
          </cell>
          <cell r="K886">
            <v>64</v>
          </cell>
          <cell r="L886">
            <v>11800</v>
          </cell>
          <cell r="M886">
            <v>11800</v>
          </cell>
          <cell r="N886">
            <v>23600</v>
          </cell>
          <cell r="O886">
            <v>21800</v>
          </cell>
          <cell r="Q886">
            <v>9900</v>
          </cell>
          <cell r="R886">
            <v>87305637447</v>
          </cell>
          <cell r="S886" t="str">
            <v>윤혜주BM</v>
          </cell>
          <cell r="V886">
            <v>12300</v>
          </cell>
          <cell r="W886" t="str">
            <v>https://smartstore.naver.com/psglobal1/products/10285921000</v>
          </cell>
          <cell r="X886" t="str">
            <v>뉴클 도킹_2개세트</v>
          </cell>
          <cell r="Y886" t="str">
            <v>뉴클 도킹보조배터리 2p 8핀 핑크+8핀 핑크</v>
          </cell>
          <cell r="AB886" t="str">
            <v>coupang.com/vp/products/7623432701?itemId=20215821260&amp;vendorItemId=87305637447</v>
          </cell>
          <cell r="AC886">
            <v>4563.6363636363631</v>
          </cell>
          <cell r="AD886">
            <v>456.36363636363632</v>
          </cell>
          <cell r="AE886">
            <v>5020</v>
          </cell>
          <cell r="AG886">
            <v>8900</v>
          </cell>
          <cell r="AH886">
            <v>890</v>
          </cell>
          <cell r="AI886">
            <v>9790</v>
          </cell>
          <cell r="AK886">
            <v>4336.3636363636369</v>
          </cell>
        </row>
        <row r="887">
          <cell r="H887">
            <v>87306453166</v>
          </cell>
          <cell r="I887">
            <v>39419363</v>
          </cell>
          <cell r="J887" t="str">
            <v/>
          </cell>
          <cell r="K887">
            <v>64</v>
          </cell>
          <cell r="L887">
            <v>11800</v>
          </cell>
          <cell r="M887">
            <v>11800</v>
          </cell>
          <cell r="N887">
            <v>17800</v>
          </cell>
          <cell r="O887">
            <v>21800</v>
          </cell>
          <cell r="Q887">
            <v>9900</v>
          </cell>
          <cell r="R887">
            <v>87306453166</v>
          </cell>
          <cell r="S887" t="str">
            <v>윤혜주BM</v>
          </cell>
          <cell r="V887">
            <v>12300</v>
          </cell>
          <cell r="W887" t="str">
            <v>https://smartstore.naver.com/psglobal1/products/10285921000</v>
          </cell>
          <cell r="X887" t="str">
            <v>뉴클 도킹_2개세트</v>
          </cell>
          <cell r="Y887" t="str">
            <v>뉴클 도킹보조배터리 2p 8핀 민트+8핀 핑크</v>
          </cell>
          <cell r="AB887" t="str">
            <v>coupang.com/vp/products/7623432701?itemId=20216687689&amp;vendorItemId=87306453166</v>
          </cell>
          <cell r="AC887">
            <v>4563.6363636363631</v>
          </cell>
          <cell r="AD887">
            <v>456.36363636363632</v>
          </cell>
          <cell r="AE887">
            <v>5020</v>
          </cell>
          <cell r="AG887">
            <v>8900</v>
          </cell>
          <cell r="AH887">
            <v>890</v>
          </cell>
          <cell r="AI887">
            <v>9790</v>
          </cell>
          <cell r="AK887">
            <v>4336.3636363636369</v>
          </cell>
        </row>
        <row r="888">
          <cell r="H888">
            <v>87306453152</v>
          </cell>
          <cell r="I888">
            <v>39419361</v>
          </cell>
          <cell r="J888" t="str">
            <v/>
          </cell>
          <cell r="K888">
            <v>64</v>
          </cell>
          <cell r="L888">
            <v>11800</v>
          </cell>
          <cell r="M888">
            <v>11800</v>
          </cell>
          <cell r="N888">
            <v>17800</v>
          </cell>
          <cell r="O888">
            <v>21800</v>
          </cell>
          <cell r="Q888">
            <v>9900</v>
          </cell>
          <cell r="R888">
            <v>87306453152</v>
          </cell>
          <cell r="S888" t="str">
            <v>윤혜주BM</v>
          </cell>
          <cell r="V888">
            <v>12300</v>
          </cell>
          <cell r="W888" t="str">
            <v>https://smartstore.naver.com/psglobal1/products/10285921000</v>
          </cell>
          <cell r="X888" t="str">
            <v>뉴클 도킹_2개세트</v>
          </cell>
          <cell r="Y888" t="str">
            <v>뉴클 도킹보조배터리 2p 8핀 민트+8핀 화이트</v>
          </cell>
          <cell r="AB888" t="str">
            <v>coupang.com/vp/products/7623432701?itemId=20216687687&amp;vendorItemId=87306453152</v>
          </cell>
          <cell r="AC888">
            <v>4563.6363636363631</v>
          </cell>
          <cell r="AD888">
            <v>456.36363636363632</v>
          </cell>
          <cell r="AE888">
            <v>5020</v>
          </cell>
          <cell r="AG888">
            <v>8900</v>
          </cell>
          <cell r="AH888">
            <v>890</v>
          </cell>
          <cell r="AI888">
            <v>9790</v>
          </cell>
          <cell r="AK888">
            <v>4336.3636363636369</v>
          </cell>
        </row>
        <row r="889">
          <cell r="H889">
            <v>87306453209</v>
          </cell>
          <cell r="I889">
            <v>39419369</v>
          </cell>
          <cell r="J889" t="str">
            <v/>
          </cell>
          <cell r="K889">
            <v>64</v>
          </cell>
          <cell r="L889">
            <v>11800</v>
          </cell>
          <cell r="M889">
            <v>11800</v>
          </cell>
          <cell r="N889">
            <v>17800</v>
          </cell>
          <cell r="O889">
            <v>21800</v>
          </cell>
          <cell r="Q889">
            <v>9900</v>
          </cell>
          <cell r="R889">
            <v>87306453209</v>
          </cell>
          <cell r="S889" t="str">
            <v>윤혜주BM</v>
          </cell>
          <cell r="V889">
            <v>12300</v>
          </cell>
          <cell r="W889" t="str">
            <v>https://smartstore.naver.com/psglobal1/products/10285921000</v>
          </cell>
          <cell r="X889" t="str">
            <v>뉴클 도킹_2개세트</v>
          </cell>
          <cell r="Y889" t="str">
            <v>뉴클 도킹보조배터리 2p 8핀 블랙+8핀 민트</v>
          </cell>
          <cell r="AB889" t="str">
            <v>coupang.com/vp/products/7623432701?itemId=20216687698&amp;vendorItemId=87306453209</v>
          </cell>
          <cell r="AC889">
            <v>4563.6363636363631</v>
          </cell>
          <cell r="AD889">
            <v>456.36363636363632</v>
          </cell>
          <cell r="AE889">
            <v>5020</v>
          </cell>
          <cell r="AG889">
            <v>8900</v>
          </cell>
          <cell r="AH889">
            <v>890</v>
          </cell>
          <cell r="AI889">
            <v>9790</v>
          </cell>
          <cell r="AK889">
            <v>4336.3636363636369</v>
          </cell>
        </row>
        <row r="890">
          <cell r="H890">
            <v>87306453181</v>
          </cell>
          <cell r="I890">
            <v>39419365</v>
          </cell>
          <cell r="J890" t="str">
            <v/>
          </cell>
          <cell r="K890">
            <v>64</v>
          </cell>
          <cell r="L890">
            <v>11800</v>
          </cell>
          <cell r="M890">
            <v>11800</v>
          </cell>
          <cell r="N890">
            <v>17800</v>
          </cell>
          <cell r="O890">
            <v>21800</v>
          </cell>
          <cell r="Q890">
            <v>9900</v>
          </cell>
          <cell r="R890">
            <v>87306453181</v>
          </cell>
          <cell r="S890" t="str">
            <v>윤혜주BM</v>
          </cell>
          <cell r="V890">
            <v>12300</v>
          </cell>
          <cell r="W890" t="str">
            <v>https://smartstore.naver.com/psglobal1/products/10285921000</v>
          </cell>
          <cell r="X890" t="str">
            <v>뉴클 도킹_2개세트</v>
          </cell>
          <cell r="Y890" t="str">
            <v>뉴클 도킹보조배터리 2p 8핀 블랙+8핀 핑크</v>
          </cell>
          <cell r="AB890" t="str">
            <v>coupang.com/vp/products/7623432701?itemId=20216687691&amp;vendorItemId=87306453181</v>
          </cell>
          <cell r="AC890">
            <v>4563.6363636363631</v>
          </cell>
          <cell r="AD890">
            <v>456.36363636363632</v>
          </cell>
          <cell r="AE890">
            <v>5020</v>
          </cell>
          <cell r="AG890">
            <v>8900</v>
          </cell>
          <cell r="AH890">
            <v>890</v>
          </cell>
          <cell r="AI890">
            <v>9790</v>
          </cell>
          <cell r="AK890">
            <v>4336.3636363636369</v>
          </cell>
        </row>
        <row r="891">
          <cell r="H891">
            <v>87305637494</v>
          </cell>
          <cell r="I891">
            <v>39417945</v>
          </cell>
          <cell r="J891" t="str">
            <v/>
          </cell>
          <cell r="K891">
            <v>64</v>
          </cell>
          <cell r="L891">
            <v>11800</v>
          </cell>
          <cell r="M891">
            <v>11800</v>
          </cell>
          <cell r="N891">
            <v>23600</v>
          </cell>
          <cell r="O891">
            <v>21800</v>
          </cell>
          <cell r="Q891">
            <v>9900</v>
          </cell>
          <cell r="R891">
            <v>87305637494</v>
          </cell>
          <cell r="S891" t="str">
            <v>윤혜주BM</v>
          </cell>
          <cell r="V891">
            <v>12300</v>
          </cell>
          <cell r="W891" t="str">
            <v>https://smartstore.naver.com/psglobal1/products/10285921000</v>
          </cell>
          <cell r="X891" t="str">
            <v>뉴클 도킹_2개세트</v>
          </cell>
          <cell r="Y891" t="str">
            <v>뉴클 도킹보조배터리 2p 8핀 블랙+8핀 블랙</v>
          </cell>
          <cell r="AB891" t="str">
            <v>coupang.com/vp/products/7623432701?itemId=20215821266&amp;vendorItemId=87305637494</v>
          </cell>
          <cell r="AC891">
            <v>4563.6363636363631</v>
          </cell>
          <cell r="AD891">
            <v>456.36363636363632</v>
          </cell>
          <cell r="AE891">
            <v>5020</v>
          </cell>
          <cell r="AG891">
            <v>8900</v>
          </cell>
          <cell r="AH891">
            <v>890</v>
          </cell>
          <cell r="AI891">
            <v>9790</v>
          </cell>
          <cell r="AK891">
            <v>4336.3636363636369</v>
          </cell>
        </row>
        <row r="892">
          <cell r="H892">
            <v>87306453141</v>
          </cell>
          <cell r="I892">
            <v>39419359</v>
          </cell>
          <cell r="J892" t="str">
            <v/>
          </cell>
          <cell r="K892">
            <v>64</v>
          </cell>
          <cell r="L892">
            <v>11800</v>
          </cell>
          <cell r="M892">
            <v>11800</v>
          </cell>
          <cell r="N892">
            <v>17800</v>
          </cell>
          <cell r="O892">
            <v>21800</v>
          </cell>
          <cell r="Q892">
            <v>9900</v>
          </cell>
          <cell r="R892">
            <v>87306453141</v>
          </cell>
          <cell r="S892" t="str">
            <v>윤혜주BM</v>
          </cell>
          <cell r="V892">
            <v>12300</v>
          </cell>
          <cell r="W892" t="str">
            <v>https://smartstore.naver.com/psglobal1/products/10285921000</v>
          </cell>
          <cell r="X892" t="str">
            <v>뉴클 도킹_2개세트</v>
          </cell>
          <cell r="Y892" t="str">
            <v>뉴클 도킹보조배터리 2p 8핀 핑크+8핀 화이트</v>
          </cell>
          <cell r="AA892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2" t="str">
            <v>coupang.com/vp/products/7623432701?itemId=20216687686&amp;vendorItemId=87306453141</v>
          </cell>
          <cell r="AC892">
            <v>4563.6363636363631</v>
          </cell>
          <cell r="AD892">
            <v>456.36363636363632</v>
          </cell>
          <cell r="AE892">
            <v>5020</v>
          </cell>
          <cell r="AG892">
            <v>8900</v>
          </cell>
          <cell r="AH892">
            <v>890</v>
          </cell>
          <cell r="AI892">
            <v>9790</v>
          </cell>
          <cell r="AK892">
            <v>4336.3636363636369</v>
          </cell>
        </row>
        <row r="893">
          <cell r="H893">
            <v>87306453196</v>
          </cell>
          <cell r="I893">
            <v>39419367</v>
          </cell>
          <cell r="J893" t="str">
            <v/>
          </cell>
          <cell r="K893">
            <v>64</v>
          </cell>
          <cell r="L893">
            <v>11800</v>
          </cell>
          <cell r="M893">
            <v>11800</v>
          </cell>
          <cell r="N893">
            <v>17800</v>
          </cell>
          <cell r="O893">
            <v>21800</v>
          </cell>
          <cell r="Q893">
            <v>9900</v>
          </cell>
          <cell r="R893">
            <v>87306453196</v>
          </cell>
          <cell r="S893" t="str">
            <v>윤혜주BM</v>
          </cell>
          <cell r="V893">
            <v>12300</v>
          </cell>
          <cell r="W893" t="str">
            <v>https://smartstore.naver.com/psglobal1/products/10285921000</v>
          </cell>
          <cell r="X893" t="str">
            <v>뉴클 도킹_2개세트</v>
          </cell>
          <cell r="Y893" t="str">
            <v>뉴클 도킹보조배터리 2p 8핀 블랙+8핀 화이트</v>
          </cell>
          <cell r="AB893" t="str">
            <v>coupang.com/vp/products/7623432701?itemId=20216687695&amp;vendorItemId=87306453196</v>
          </cell>
          <cell r="AC893">
            <v>4563.6363636363631</v>
          </cell>
          <cell r="AD893">
            <v>456.36363636363632</v>
          </cell>
          <cell r="AE893">
            <v>5020</v>
          </cell>
          <cell r="AG893">
            <v>8900</v>
          </cell>
          <cell r="AH893">
            <v>890</v>
          </cell>
          <cell r="AI893">
            <v>9790</v>
          </cell>
          <cell r="AK893">
            <v>4336.3636363636369</v>
          </cell>
        </row>
        <row r="894">
          <cell r="H894">
            <v>87305637485</v>
          </cell>
          <cell r="I894">
            <v>39417943</v>
          </cell>
          <cell r="J894" t="str">
            <v/>
          </cell>
          <cell r="K894">
            <v>64</v>
          </cell>
          <cell r="L894">
            <v>11800</v>
          </cell>
          <cell r="M894">
            <v>11800</v>
          </cell>
          <cell r="N894">
            <v>23600</v>
          </cell>
          <cell r="O894">
            <v>21800</v>
          </cell>
          <cell r="Q894">
            <v>9900</v>
          </cell>
          <cell r="R894">
            <v>87305637485</v>
          </cell>
          <cell r="S894" t="str">
            <v>윤혜주BM</v>
          </cell>
          <cell r="V894">
            <v>12300</v>
          </cell>
          <cell r="W894" t="str">
            <v>https://smartstore.naver.com/psglobal1/products/10285921000</v>
          </cell>
          <cell r="X894" t="str">
            <v>뉴클 도킹_2개세트</v>
          </cell>
          <cell r="Y894" t="str">
            <v>뉴클 도킹보조배터리 2p 8핀 민트+8핀 민트</v>
          </cell>
          <cell r="AA894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4" t="str">
            <v>coupang.com/vp/products/7623432701?itemId=20215821264&amp;vendorItemId=87305637485</v>
          </cell>
          <cell r="AC894">
            <v>4563.6363636363631</v>
          </cell>
          <cell r="AD894">
            <v>456.36363636363632</v>
          </cell>
          <cell r="AE894">
            <v>5020</v>
          </cell>
          <cell r="AG894">
            <v>7090.9090909090901</v>
          </cell>
          <cell r="AH894">
            <v>709.09090909090992</v>
          </cell>
          <cell r="AI894">
            <v>7800</v>
          </cell>
          <cell r="AK894">
            <v>2527.272727272727</v>
          </cell>
        </row>
        <row r="895">
          <cell r="H895">
            <v>91267204794</v>
          </cell>
          <cell r="I895">
            <v>51586097</v>
          </cell>
          <cell r="J895">
            <v>1</v>
          </cell>
          <cell r="K895">
            <v>316</v>
          </cell>
          <cell r="L895">
            <v>8260</v>
          </cell>
          <cell r="M895">
            <v>8260</v>
          </cell>
          <cell r="N895">
            <v>8520</v>
          </cell>
          <cell r="O895">
            <v>9900</v>
          </cell>
          <cell r="Q895">
            <v>8190</v>
          </cell>
          <cell r="R895">
            <v>91267204794</v>
          </cell>
          <cell r="S895" t="str">
            <v>윤석나BM</v>
          </cell>
          <cell r="V895">
            <v>7900</v>
          </cell>
          <cell r="W895" t="str">
            <v>https://smartstore.naver.com/psglobal1/products/10285907835</v>
          </cell>
          <cell r="X895" t="str">
            <v>뉴클 충전기18W</v>
          </cell>
          <cell r="Y895" t="str">
            <v>뉴클 QC 3.0 18W USB-A타입 충전기</v>
          </cell>
          <cell r="AB895" t="str">
            <v>coupang.com/vp/products/8389580730?itemId=24250273926&amp;vendorItemId=91267204794</v>
          </cell>
          <cell r="AC895">
            <v>1936.3636363636363</v>
          </cell>
          <cell r="AD895">
            <v>193.63636363636363</v>
          </cell>
          <cell r="AE895">
            <v>2130</v>
          </cell>
          <cell r="AG895">
            <v>5363.6363636363631</v>
          </cell>
          <cell r="AH895">
            <v>536.36363636363694</v>
          </cell>
          <cell r="AI895">
            <v>5900</v>
          </cell>
          <cell r="AK895">
            <v>3427.272727272727</v>
          </cell>
        </row>
        <row r="896">
          <cell r="H896">
            <v>91308749431</v>
          </cell>
          <cell r="I896">
            <v>51587391</v>
          </cell>
          <cell r="J896">
            <v>0</v>
          </cell>
          <cell r="K896">
            <v>30</v>
          </cell>
          <cell r="L896">
            <v>7500</v>
          </cell>
          <cell r="M896">
            <v>7500</v>
          </cell>
          <cell r="N896">
            <v>7730</v>
          </cell>
          <cell r="O896">
            <v>10900</v>
          </cell>
          <cell r="Q896">
            <v>7500</v>
          </cell>
          <cell r="R896">
            <v>91308749431</v>
          </cell>
          <cell r="S896" t="str">
            <v>윤석나BM</v>
          </cell>
          <cell r="V896">
            <v>7500</v>
          </cell>
          <cell r="W896" t="str">
            <v>https://smartstore.naver.com/psglobal1/products/10285907907</v>
          </cell>
          <cell r="X896" t="str">
            <v>뉴클 충전기20W</v>
          </cell>
          <cell r="Y896" t="str">
            <v>뉴클 PD 20W USB-C타입 충전기</v>
          </cell>
          <cell r="AB896" t="str">
            <v>coupang.com/vp/products/8057090089?itemId=22618849425&amp;vendorItemId=91308749431</v>
          </cell>
          <cell r="AC896">
            <v>1899.9999999999998</v>
          </cell>
          <cell r="AD896">
            <v>190</v>
          </cell>
          <cell r="AE896">
            <v>2090</v>
          </cell>
          <cell r="AG896">
            <v>5999.9999999999991</v>
          </cell>
          <cell r="AH896">
            <v>600.00000000000091</v>
          </cell>
          <cell r="AI896">
            <v>6600</v>
          </cell>
          <cell r="AK896">
            <v>4099.9999999999991</v>
          </cell>
        </row>
        <row r="897">
          <cell r="H897">
            <v>92370282876</v>
          </cell>
          <cell r="I897">
            <v>59256202</v>
          </cell>
          <cell r="J897">
            <v>6</v>
          </cell>
          <cell r="K897" t="str">
            <v>-</v>
          </cell>
          <cell r="L897">
            <v>15000</v>
          </cell>
          <cell r="M897">
            <v>15000</v>
          </cell>
          <cell r="O897">
            <v>19900</v>
          </cell>
          <cell r="Q897">
            <v>13200</v>
          </cell>
          <cell r="R897">
            <v>92370282876</v>
          </cell>
          <cell r="V897">
            <v>15000</v>
          </cell>
          <cell r="W897" t="str">
            <v>https://smartstore.naver.com/dogoodstore/products/11717596956</v>
          </cell>
          <cell r="X897" t="str">
            <v>맥로이드_텀블러STN</v>
          </cell>
          <cell r="Y897" t="str">
            <v>맥로이드 STN 텀블러 블랙</v>
          </cell>
          <cell r="AB897" t="str">
            <v>coupang.com/vp/products/8732962424?itemId=25376213380&amp;vendorItemId=92370282876</v>
          </cell>
          <cell r="AC897">
            <v>3499.9999999999995</v>
          </cell>
          <cell r="AD897">
            <v>350</v>
          </cell>
          <cell r="AE897">
            <v>3850</v>
          </cell>
          <cell r="AG897">
            <v>10854.545454545454</v>
          </cell>
          <cell r="AH897">
            <v>1085.454545454546</v>
          </cell>
          <cell r="AI897">
            <v>11940</v>
          </cell>
          <cell r="AK897">
            <v>7354.545454545454</v>
          </cell>
        </row>
        <row r="898">
          <cell r="H898">
            <v>92370282866</v>
          </cell>
          <cell r="I898">
            <v>59256201</v>
          </cell>
          <cell r="J898">
            <v>6</v>
          </cell>
          <cell r="K898" t="str">
            <v>-</v>
          </cell>
          <cell r="L898">
            <v>15000</v>
          </cell>
          <cell r="M898">
            <v>15000</v>
          </cell>
          <cell r="O898">
            <v>19900</v>
          </cell>
          <cell r="Q898">
            <v>13200</v>
          </cell>
          <cell r="R898">
            <v>92370282866</v>
          </cell>
          <cell r="V898">
            <v>15000</v>
          </cell>
          <cell r="W898" t="str">
            <v>https://smartstore.naver.com/dogoodstore/products/11717596956</v>
          </cell>
          <cell r="X898" t="str">
            <v>맥로이드_텀블러STN</v>
          </cell>
          <cell r="Y898" t="str">
            <v>맥로이드 STN 텀블러 블루그레이</v>
          </cell>
          <cell r="AB898" t="str">
            <v>coupang.com/vp/products/8732962424?itemId=25376213378&amp;vendorItemId=92370282866</v>
          </cell>
          <cell r="AC898">
            <v>3499.9999999999995</v>
          </cell>
          <cell r="AD898">
            <v>350</v>
          </cell>
          <cell r="AE898">
            <v>3850</v>
          </cell>
          <cell r="AG898">
            <v>10854.545454545454</v>
          </cell>
          <cell r="AH898">
            <v>1085.454545454546</v>
          </cell>
          <cell r="AI898">
            <v>11940</v>
          </cell>
          <cell r="AK898">
            <v>7354.545454545454</v>
          </cell>
        </row>
        <row r="899">
          <cell r="H899">
            <v>92370282854</v>
          </cell>
          <cell r="I899">
            <v>59256200</v>
          </cell>
          <cell r="J899">
            <v>12</v>
          </cell>
          <cell r="K899" t="str">
            <v>-</v>
          </cell>
          <cell r="L899">
            <v>15000</v>
          </cell>
          <cell r="M899">
            <v>15000</v>
          </cell>
          <cell r="O899">
            <v>19900</v>
          </cell>
          <cell r="Q899">
            <v>13200</v>
          </cell>
          <cell r="R899">
            <v>92370282854</v>
          </cell>
          <cell r="V899">
            <v>15000</v>
          </cell>
          <cell r="W899" t="str">
            <v>https://smartstore.naver.com/dogoodstore/products/11717596956</v>
          </cell>
          <cell r="X899" t="str">
            <v>맥로이드_텀블러STN</v>
          </cell>
          <cell r="Y899" t="str">
            <v>맥로이드 STN 텀블러 화이트</v>
          </cell>
          <cell r="AB899" t="str">
            <v>coupang.com/vp/products/8732962424?itemId=25376213377&amp;vendorItemId=92370282854</v>
          </cell>
          <cell r="AC899">
            <v>3499.9999999999995</v>
          </cell>
          <cell r="AD899">
            <v>350</v>
          </cell>
          <cell r="AE899">
            <v>3850</v>
          </cell>
          <cell r="AG899">
            <v>10854.545454545454</v>
          </cell>
          <cell r="AH899">
            <v>1085.454545454546</v>
          </cell>
          <cell r="AI899">
            <v>11940</v>
          </cell>
          <cell r="AK899">
            <v>7354.545454545454</v>
          </cell>
        </row>
        <row r="900">
          <cell r="H900">
            <v>86974350791</v>
          </cell>
          <cell r="I900">
            <v>38264701</v>
          </cell>
          <cell r="J900">
            <v>1343</v>
          </cell>
          <cell r="K900">
            <v>10</v>
          </cell>
          <cell r="L900">
            <v>34400</v>
          </cell>
          <cell r="M900">
            <v>34400</v>
          </cell>
          <cell r="N900">
            <v>49800</v>
          </cell>
          <cell r="O900">
            <v>49800</v>
          </cell>
          <cell r="Q900">
            <v>34400</v>
          </cell>
          <cell r="R900">
            <v>86974350791</v>
          </cell>
          <cell r="S900" t="str">
            <v>신용대BM</v>
          </cell>
          <cell r="V900">
            <v>37900</v>
          </cell>
          <cell r="W900" t="str">
            <v>https://smartstore.naver.com/psglobal1/products/10286530974</v>
          </cell>
          <cell r="X900" t="str">
            <v>뉴클 살균기</v>
          </cell>
          <cell r="Y900" t="str">
            <v>뉴클 멀티허브 충전 마우스 살균기 화이트</v>
          </cell>
          <cell r="AB900" t="str">
            <v>coupang.com/vp/products/7551371553?itemId=19873684672&amp;vendorItemId=86974350791</v>
          </cell>
          <cell r="AC900">
            <v>14455.454545454544</v>
          </cell>
          <cell r="AD900">
            <v>1445.5454545454545</v>
          </cell>
          <cell r="AE900">
            <v>15901</v>
          </cell>
          <cell r="AG900">
            <v>27163.63636363636</v>
          </cell>
          <cell r="AH900">
            <v>2716.3636363636397</v>
          </cell>
          <cell r="AI900">
            <v>29880</v>
          </cell>
          <cell r="AK900">
            <v>12708.181818181816</v>
          </cell>
        </row>
        <row r="901">
          <cell r="H901">
            <v>86974350764</v>
          </cell>
          <cell r="I901">
            <v>38264700</v>
          </cell>
          <cell r="J901">
            <v>20</v>
          </cell>
          <cell r="K901">
            <v>10</v>
          </cell>
          <cell r="L901">
            <v>34400</v>
          </cell>
          <cell r="M901">
            <v>34400</v>
          </cell>
          <cell r="N901">
            <v>49800</v>
          </cell>
          <cell r="O901">
            <v>49800</v>
          </cell>
          <cell r="Q901">
            <v>34400</v>
          </cell>
          <cell r="R901">
            <v>86974350764</v>
          </cell>
          <cell r="S901" t="str">
            <v>신용대BM</v>
          </cell>
          <cell r="V901">
            <v>37900</v>
          </cell>
          <cell r="W901" t="str">
            <v>https://smartstore.naver.com/psglobal1/products/10286530974</v>
          </cell>
          <cell r="X901" t="str">
            <v>뉴클 살균기</v>
          </cell>
          <cell r="Y901" t="str">
            <v>뉴클 멀티허브 충전 마우스 살균기 민트</v>
          </cell>
          <cell r="AB901" t="str">
            <v>coupang.com/vp/products/7551371553?itemId=19873684667&amp;vendorItemId=86974350764</v>
          </cell>
          <cell r="AC901">
            <v>14455.454545454544</v>
          </cell>
          <cell r="AD901">
            <v>1445.5454545454545</v>
          </cell>
          <cell r="AE901">
            <v>15901</v>
          </cell>
          <cell r="AG901">
            <v>27163.63636363636</v>
          </cell>
          <cell r="AH901">
            <v>2716.3636363636397</v>
          </cell>
          <cell r="AI901">
            <v>29880</v>
          </cell>
          <cell r="AK901">
            <v>12708.181818181816</v>
          </cell>
        </row>
        <row r="902">
          <cell r="H902">
            <v>86974350693</v>
          </cell>
          <cell r="I902">
            <v>38264694</v>
          </cell>
          <cell r="J902">
            <v>36</v>
          </cell>
          <cell r="K902">
            <v>10</v>
          </cell>
          <cell r="L902">
            <v>34400</v>
          </cell>
          <cell r="M902">
            <v>34400</v>
          </cell>
          <cell r="N902">
            <v>49800</v>
          </cell>
          <cell r="O902">
            <v>49800</v>
          </cell>
          <cell r="Q902">
            <v>34400</v>
          </cell>
          <cell r="R902">
            <v>86974350693</v>
          </cell>
          <cell r="S902" t="str">
            <v>신용대BM</v>
          </cell>
          <cell r="V902">
            <v>37900</v>
          </cell>
          <cell r="W902" t="str">
            <v>https://smartstore.naver.com/psglobal1/products/10286530974</v>
          </cell>
          <cell r="X902" t="str">
            <v>뉴클 살균기</v>
          </cell>
          <cell r="Y902" t="str">
            <v>뉴클 멀티허브 충전 마우스 살균기 블루</v>
          </cell>
          <cell r="AB902" t="str">
            <v>coupang.com/vp/products/7551371553?itemId=19873684641&amp;vendorItemId=86974350693</v>
          </cell>
          <cell r="AC902">
            <v>14455.454545454544</v>
          </cell>
          <cell r="AD902">
            <v>1445.5454545454545</v>
          </cell>
          <cell r="AE902">
            <v>15901</v>
          </cell>
          <cell r="AG902">
            <v>27163.63636363636</v>
          </cell>
          <cell r="AH902">
            <v>2716.3636363636397</v>
          </cell>
          <cell r="AI902">
            <v>29880</v>
          </cell>
          <cell r="AK902">
            <v>12708.181818181816</v>
          </cell>
        </row>
        <row r="903">
          <cell r="H903">
            <v>86974350716</v>
          </cell>
          <cell r="I903">
            <v>38264698</v>
          </cell>
          <cell r="J903">
            <v>36</v>
          </cell>
          <cell r="K903">
            <v>10</v>
          </cell>
          <cell r="L903">
            <v>34400</v>
          </cell>
          <cell r="M903">
            <v>34400</v>
          </cell>
          <cell r="N903">
            <v>49800</v>
          </cell>
          <cell r="O903">
            <v>49800</v>
          </cell>
          <cell r="Q903">
            <v>34400</v>
          </cell>
          <cell r="R903">
            <v>86974350716</v>
          </cell>
          <cell r="S903" t="str">
            <v>신용대BM</v>
          </cell>
          <cell r="V903">
            <v>37900</v>
          </cell>
          <cell r="W903" t="str">
            <v>https://smartstore.naver.com/psglobal1/products/10286530974</v>
          </cell>
          <cell r="X903" t="str">
            <v>뉴클 살균기</v>
          </cell>
          <cell r="Y903" t="str">
            <v>뉴클 멀티허브 충전 마우스 살균기 옐로우</v>
          </cell>
          <cell r="AB903" t="str">
            <v>coupang.com/vp/products/7551371553?itemId=19873684654&amp;vendorItemId=86974350716</v>
          </cell>
          <cell r="AC903">
            <v>14455.454545454544</v>
          </cell>
          <cell r="AD903">
            <v>1445.5454545454545</v>
          </cell>
          <cell r="AE903">
            <v>15901</v>
          </cell>
          <cell r="AG903">
            <v>27163.63636363636</v>
          </cell>
          <cell r="AH903">
            <v>2716.3636363636397</v>
          </cell>
          <cell r="AI903">
            <v>29880</v>
          </cell>
          <cell r="AK903">
            <v>12708.181818181816</v>
          </cell>
        </row>
        <row r="904">
          <cell r="H904">
            <v>86974350702</v>
          </cell>
          <cell r="I904">
            <v>38264696</v>
          </cell>
          <cell r="J904">
            <v>34</v>
          </cell>
          <cell r="K904">
            <v>10</v>
          </cell>
          <cell r="L904">
            <v>34400</v>
          </cell>
          <cell r="M904">
            <v>34400</v>
          </cell>
          <cell r="N904">
            <v>49800</v>
          </cell>
          <cell r="O904">
            <v>49800</v>
          </cell>
          <cell r="Q904">
            <v>34400</v>
          </cell>
          <cell r="R904">
            <v>86974350702</v>
          </cell>
          <cell r="S904" t="str">
            <v>신용대BM</v>
          </cell>
          <cell r="V904">
            <v>37900</v>
          </cell>
          <cell r="W904" t="str">
            <v>https://smartstore.naver.com/psglobal1/products/10286530974</v>
          </cell>
          <cell r="X904" t="str">
            <v>뉴클 살균기</v>
          </cell>
          <cell r="Y904" t="str">
            <v>뉴클 멀티허브 충전 마우스 살균기 핑크</v>
          </cell>
          <cell r="AB904" t="str">
            <v>coupang.com/vp/products/7551371553?itemId=19873684647&amp;vendorItemId=86974350702</v>
          </cell>
          <cell r="AC904">
            <v>14455.454545454544</v>
          </cell>
          <cell r="AD904">
            <v>1445.5454545454545</v>
          </cell>
          <cell r="AE904">
            <v>15901</v>
          </cell>
          <cell r="AG904">
            <v>27163.63636363636</v>
          </cell>
          <cell r="AH904">
            <v>2716.3636363636397</v>
          </cell>
          <cell r="AI904">
            <v>29880</v>
          </cell>
          <cell r="AK904">
            <v>12708.181818181816</v>
          </cell>
        </row>
        <row r="905">
          <cell r="H905">
            <v>86974350740</v>
          </cell>
          <cell r="I905">
            <v>38264699</v>
          </cell>
          <cell r="J905" t="str">
            <v/>
          </cell>
          <cell r="K905">
            <v>10</v>
          </cell>
          <cell r="L905">
            <v>34400</v>
          </cell>
          <cell r="M905">
            <v>34400</v>
          </cell>
          <cell r="N905">
            <v>49800</v>
          </cell>
          <cell r="O905">
            <v>49800</v>
          </cell>
          <cell r="Q905">
            <v>34400</v>
          </cell>
          <cell r="R905">
            <v>86974350740</v>
          </cell>
          <cell r="S905" t="str">
            <v>신용대BM</v>
          </cell>
          <cell r="V905">
            <v>37900</v>
          </cell>
          <cell r="W905" t="str">
            <v>https://smartstore.naver.com/psglobal1/products/10286530974</v>
          </cell>
          <cell r="X905" t="str">
            <v>뉴클 살균기</v>
          </cell>
          <cell r="Y905" t="str">
            <v>뉴클 멀티허브 충전 마우스 살균기 그레이</v>
          </cell>
          <cell r="AB905" t="str">
            <v>coupang.com/vp/products/7551371553?itemId=19873684659&amp;vendorItemId=86974350740</v>
          </cell>
          <cell r="AC905">
            <v>14455.454545454544</v>
          </cell>
          <cell r="AD905">
            <v>1445.5454545454545</v>
          </cell>
          <cell r="AE905">
            <v>15901</v>
          </cell>
          <cell r="AG905">
            <v>27163.63636363636</v>
          </cell>
          <cell r="AH905">
            <v>2716.3636363636397</v>
          </cell>
          <cell r="AI905">
            <v>29880</v>
          </cell>
          <cell r="AK905">
            <v>12708.181818181816</v>
          </cell>
        </row>
        <row r="906">
          <cell r="H906">
            <v>75799520831</v>
          </cell>
          <cell r="I906">
            <v>15825293</v>
          </cell>
          <cell r="J906" t="str">
            <v/>
          </cell>
          <cell r="K906">
            <v>95</v>
          </cell>
          <cell r="L906">
            <v>146500</v>
          </cell>
          <cell r="M906">
            <v>128000</v>
          </cell>
          <cell r="N906">
            <v>128000</v>
          </cell>
          <cell r="O906">
            <v>129000</v>
          </cell>
          <cell r="Q906">
            <v>128000</v>
          </cell>
          <cell r="R906">
            <v>75799520831</v>
          </cell>
          <cell r="S906" t="str">
            <v>승세엽BM</v>
          </cell>
          <cell r="V906">
            <v>128000</v>
          </cell>
          <cell r="W906" t="str">
            <v>미등록</v>
          </cell>
          <cell r="X906" t="str">
            <v>한샘</v>
          </cell>
          <cell r="Y906" t="str">
            <v>한샘 마이쿡 에어프라이어 7L</v>
          </cell>
          <cell r="AB906" t="str">
            <v>coupang.com/vp/products/5493240477?itemId=8512055222&amp;vendorItemId=75799520831</v>
          </cell>
          <cell r="AC906">
            <v>58181.818181818177</v>
          </cell>
          <cell r="AD906">
            <v>5818.181818181818</v>
          </cell>
          <cell r="AE906">
            <v>64000</v>
          </cell>
          <cell r="AG906">
            <v>54545.454545454544</v>
          </cell>
          <cell r="AH906">
            <v>5454.5454545454559</v>
          </cell>
          <cell r="AI906">
            <v>60000</v>
          </cell>
          <cell r="AK906">
            <v>-3636.3636363636324</v>
          </cell>
        </row>
        <row r="907">
          <cell r="H907">
            <v>81740682851</v>
          </cell>
          <cell r="I907">
            <v>25101733</v>
          </cell>
          <cell r="J907">
            <v>1485</v>
          </cell>
          <cell r="K907">
            <v>125</v>
          </cell>
          <cell r="L907">
            <v>8900</v>
          </cell>
          <cell r="M907">
            <v>8900</v>
          </cell>
          <cell r="N907">
            <v>9900</v>
          </cell>
          <cell r="Q907">
            <v>8900</v>
          </cell>
          <cell r="R907">
            <v>81740682851</v>
          </cell>
          <cell r="S907" t="str">
            <v>김명준BM</v>
          </cell>
          <cell r="V907">
            <v>8900</v>
          </cell>
          <cell r="W907" t="str">
            <v>https://smartstore.naver.com/psglobal1/products/10286551266</v>
          </cell>
          <cell r="X907" t="str">
            <v>라우쉬</v>
          </cell>
          <cell r="Y907" t="str">
            <v>라우쉬 워터팬스 51cm</v>
          </cell>
          <cell r="AB907" t="str">
            <v>coupang.com/vp/products/6529678596?itemId=14497616405&amp;vendorItemId=81740682851</v>
          </cell>
          <cell r="AC907">
            <v>4545.454545454545</v>
          </cell>
          <cell r="AD907">
            <v>454.5454545454545</v>
          </cell>
          <cell r="AE907">
            <v>5000</v>
          </cell>
          <cell r="AG907">
            <v>5909.090909090909</v>
          </cell>
          <cell r="AH907">
            <v>590.90909090909099</v>
          </cell>
          <cell r="AI907">
            <v>6500</v>
          </cell>
          <cell r="AK907">
            <v>1363.636363636364</v>
          </cell>
        </row>
        <row r="908">
          <cell r="H908">
            <v>79146281025</v>
          </cell>
          <cell r="I908">
            <v>19457799</v>
          </cell>
          <cell r="J908" t="str">
            <v/>
          </cell>
          <cell r="K908">
            <v>196</v>
          </cell>
          <cell r="L908">
            <v>59000</v>
          </cell>
          <cell r="M908">
            <v>59000</v>
          </cell>
          <cell r="N908">
            <v>59000</v>
          </cell>
          <cell r="O908">
            <v>59000</v>
          </cell>
          <cell r="Q908">
            <v>59000</v>
          </cell>
          <cell r="R908">
            <v>79146281025</v>
          </cell>
          <cell r="S908" t="str">
            <v>송치광BM</v>
          </cell>
          <cell r="V908">
            <v>47900</v>
          </cell>
          <cell r="W908" t="str">
            <v>https://smartstore.naver.com/psglobal1/products/10320948090</v>
          </cell>
          <cell r="X908" t="str">
            <v>라우쉬</v>
          </cell>
          <cell r="Y908" t="str">
            <v>라우쉬 로얄 쿼드 1구 화이트 LIHL-N6000W</v>
          </cell>
          <cell r="AB908" t="str">
            <v>coupang.com/vp/products/6151108095?itemId=11873212140&amp;vendorItemId=79146281025</v>
          </cell>
          <cell r="AC908">
            <v>21818.181818181816</v>
          </cell>
          <cell r="AD908">
            <v>2181.8181818181815</v>
          </cell>
          <cell r="AE908">
            <v>24000</v>
          </cell>
          <cell r="AG908">
            <v>30136.363636363632</v>
          </cell>
          <cell r="AH908">
            <v>3013.6363636363676</v>
          </cell>
          <cell r="AI908">
            <v>33150</v>
          </cell>
          <cell r="AK908">
            <v>8318.1818181818162</v>
          </cell>
        </row>
        <row r="909">
          <cell r="H909">
            <v>79146281138</v>
          </cell>
          <cell r="I909">
            <v>19457800</v>
          </cell>
          <cell r="J909" t="str">
            <v/>
          </cell>
          <cell r="K909">
            <v>196</v>
          </cell>
          <cell r="L909">
            <v>59000</v>
          </cell>
          <cell r="M909">
            <v>59000</v>
          </cell>
          <cell r="N909">
            <v>59000</v>
          </cell>
          <cell r="O909">
            <v>59000</v>
          </cell>
          <cell r="Q909">
            <v>59000</v>
          </cell>
          <cell r="R909">
            <v>79146281138</v>
          </cell>
          <cell r="S909" t="str">
            <v>송치광BM</v>
          </cell>
          <cell r="V909">
            <v>47900</v>
          </cell>
          <cell r="W909" t="str">
            <v>https://smartstore.naver.com/psglobal1/products/10320948090</v>
          </cell>
          <cell r="X909" t="str">
            <v>라우쉬</v>
          </cell>
          <cell r="Y909" t="str">
            <v>라우쉬 로얄 쿼드 1구 블랙 LIHL-N6000S</v>
          </cell>
          <cell r="AB909" t="str">
            <v>coupang.com/vp/products/6151108095?itemId=11873212183&amp;vendorItemId=79146281138</v>
          </cell>
          <cell r="AC909">
            <v>21818.181818181816</v>
          </cell>
          <cell r="AD909">
            <v>2181.8181818181815</v>
          </cell>
          <cell r="AE909">
            <v>24000</v>
          </cell>
          <cell r="AG909">
            <v>31909.090909090908</v>
          </cell>
          <cell r="AH909">
            <v>3190.9090909090919</v>
          </cell>
          <cell r="AI909">
            <v>35100</v>
          </cell>
          <cell r="AK909">
            <v>10090.909090909092</v>
          </cell>
        </row>
        <row r="910">
          <cell r="H910">
            <v>73341510152</v>
          </cell>
          <cell r="I910">
            <v>14142063</v>
          </cell>
          <cell r="J910" t="str">
            <v/>
          </cell>
          <cell r="K910">
            <v>46</v>
          </cell>
          <cell r="L910">
            <v>94500</v>
          </cell>
          <cell r="M910">
            <v>94500</v>
          </cell>
          <cell r="N910">
            <v>95920</v>
          </cell>
          <cell r="O910">
            <v>119000</v>
          </cell>
          <cell r="Q910">
            <v>94500</v>
          </cell>
          <cell r="R910">
            <v>73341510152</v>
          </cell>
          <cell r="S910" t="str">
            <v>승세엽BM</v>
          </cell>
          <cell r="V910">
            <v>94500</v>
          </cell>
          <cell r="W910" t="str">
            <v>https://smartstore.naver.com/psglobal1/products/10308209712</v>
          </cell>
          <cell r="X910" t="str">
            <v>라우쉬</v>
          </cell>
          <cell r="Y910" t="str">
            <v>라우쉬 인스턴트 스팀팩 멀티 쿠커</v>
          </cell>
          <cell r="AA910" t="str">
            <v>https://smartstore.naver.com/psglobal1/products/10308209712</v>
          </cell>
          <cell r="AB910" t="str">
            <v>coupang.com/vp/products/4750185163?itemId=6044134006&amp;vendorItemId=73341510152</v>
          </cell>
          <cell r="AC910">
            <v>42272.727272727272</v>
          </cell>
          <cell r="AD910">
            <v>4227.272727272727</v>
          </cell>
          <cell r="AE910">
            <v>46500</v>
          </cell>
          <cell r="AG910">
            <v>59535.454545454544</v>
          </cell>
          <cell r="AH910">
            <v>5953.5454545454559</v>
          </cell>
          <cell r="AI910">
            <v>65489</v>
          </cell>
          <cell r="AK910">
            <v>17262.727272727272</v>
          </cell>
        </row>
        <row r="911">
          <cell r="H911">
            <v>79018950256</v>
          </cell>
          <cell r="I911">
            <v>19180858</v>
          </cell>
          <cell r="J911">
            <v>0</v>
          </cell>
          <cell r="K911">
            <v>564</v>
          </cell>
          <cell r="L911">
            <v>11900</v>
          </cell>
          <cell r="M911">
            <v>11900</v>
          </cell>
          <cell r="N911">
            <v>19900</v>
          </cell>
          <cell r="O911">
            <v>12900</v>
          </cell>
          <cell r="Q911">
            <v>11900</v>
          </cell>
          <cell r="R911">
            <v>79018950256</v>
          </cell>
          <cell r="S911" t="str">
            <v>김현열BM</v>
          </cell>
          <cell r="V911">
            <v>11900</v>
          </cell>
          <cell r="W911" t="str">
            <v>https://smartstore.naver.com/psglobal1/products/10308186781</v>
          </cell>
          <cell r="X911" t="str">
            <v>웅진</v>
          </cell>
          <cell r="Y911" t="str">
            <v>웅진 마이홈 고무장갑 M 3개</v>
          </cell>
          <cell r="AB911" t="str">
            <v>coupang.com/vp/products/6137238999?itemId=11745060828&amp;vendorItemId=79018950256</v>
          </cell>
          <cell r="AC911">
            <v>1409.090909090909</v>
          </cell>
          <cell r="AD911">
            <v>140.90909090909091</v>
          </cell>
          <cell r="AE911">
            <v>1550</v>
          </cell>
          <cell r="AG911">
            <v>7272.7272727272721</v>
          </cell>
          <cell r="AH911">
            <v>727.27272727272793</v>
          </cell>
          <cell r="AI911">
            <v>8000</v>
          </cell>
          <cell r="AK911">
            <v>5863.6363636363631</v>
          </cell>
        </row>
        <row r="912">
          <cell r="H912">
            <v>80353744191</v>
          </cell>
          <cell r="I912">
            <v>21717047</v>
          </cell>
          <cell r="J912">
            <v>-2244</v>
          </cell>
          <cell r="K912">
            <v>564</v>
          </cell>
          <cell r="L912">
            <v>14900</v>
          </cell>
          <cell r="M912">
            <v>14900</v>
          </cell>
          <cell r="N912">
            <v>15480</v>
          </cell>
          <cell r="O912">
            <v>14900</v>
          </cell>
          <cell r="Q912">
            <v>14900</v>
          </cell>
          <cell r="R912">
            <v>80353744191</v>
          </cell>
          <cell r="S912" t="str">
            <v>김현열BM</v>
          </cell>
          <cell r="V912">
            <v>14900</v>
          </cell>
          <cell r="W912" t="str">
            <v>https://smartstore.naver.com/psglobal1/products/10286551377</v>
          </cell>
          <cell r="X912" t="str">
            <v>웅진</v>
          </cell>
          <cell r="Y912" t="str">
            <v>웅진 라텍스 고리형 고무장갑 M 5개</v>
          </cell>
          <cell r="AB912" t="str">
            <v>coupang.com/vp/products/6310038930?itemId=13092678209&amp;vendorItemId=80353744191</v>
          </cell>
          <cell r="AC912">
            <v>1409.090909090909</v>
          </cell>
          <cell r="AD912">
            <v>140.90909090909091</v>
          </cell>
          <cell r="AE912">
            <v>1550</v>
          </cell>
          <cell r="AG912">
            <v>7290.9090909090901</v>
          </cell>
          <cell r="AH912">
            <v>729.09090909090992</v>
          </cell>
          <cell r="AI912">
            <v>8020</v>
          </cell>
          <cell r="AK912">
            <v>5881.8181818181811</v>
          </cell>
        </row>
        <row r="913">
          <cell r="H913">
            <v>80089761986</v>
          </cell>
          <cell r="I913">
            <v>21084764</v>
          </cell>
          <cell r="J913">
            <v>0</v>
          </cell>
          <cell r="K913">
            <v>304</v>
          </cell>
          <cell r="L913">
            <v>16200</v>
          </cell>
          <cell r="M913">
            <v>16200</v>
          </cell>
          <cell r="N913">
            <v>7900</v>
          </cell>
          <cell r="O913">
            <v>12900</v>
          </cell>
          <cell r="Q913">
            <v>16200</v>
          </cell>
          <cell r="R913">
            <v>80089761986</v>
          </cell>
          <cell r="S913" t="str">
            <v>김나진BM</v>
          </cell>
          <cell r="V913">
            <v>7900</v>
          </cell>
          <cell r="W913" t="str">
            <v>https://smartstore.naver.com/psglobal1/products/10286551291</v>
          </cell>
          <cell r="X913" t="str">
            <v>웅진</v>
          </cell>
          <cell r="Y913" t="str">
            <v>웅진 타올홀더 2P , 3개 화이트 3박스</v>
          </cell>
          <cell r="AB913" t="str">
            <v>coupang.com/vp/products/6270956773?itemId=12823958728&amp;vendorItemId=80089761986</v>
          </cell>
          <cell r="AC913">
            <v>1382.7272727272725</v>
          </cell>
          <cell r="AD913">
            <v>138.27272727272725</v>
          </cell>
          <cell r="AE913">
            <v>1521</v>
          </cell>
          <cell r="AG913">
            <v>5999.9999999999991</v>
          </cell>
          <cell r="AH913">
            <v>600.00000000000091</v>
          </cell>
          <cell r="AI913">
            <v>6600</v>
          </cell>
          <cell r="AK913">
            <v>4617.2727272727261</v>
          </cell>
        </row>
        <row r="914">
          <cell r="H914">
            <v>80265852375</v>
          </cell>
          <cell r="I914">
            <v>21512099</v>
          </cell>
          <cell r="J914">
            <v>3</v>
          </cell>
          <cell r="K914">
            <v>527</v>
          </cell>
          <cell r="L914">
            <v>151250</v>
          </cell>
          <cell r="M914">
            <v>151250</v>
          </cell>
          <cell r="N914">
            <v>76400</v>
          </cell>
          <cell r="Q914">
            <v>151250</v>
          </cell>
          <cell r="R914">
            <v>80265852375</v>
          </cell>
          <cell r="S914" t="str">
            <v>지재욱BM</v>
          </cell>
          <cell r="V914">
            <v>78900</v>
          </cell>
          <cell r="W914" t="str">
            <v>https://smartstore.naver.com/psglobal1/products/10286536003</v>
          </cell>
          <cell r="X914" t="str">
            <v>한샘 욕실청소기</v>
          </cell>
          <cell r="Y914" t="str">
            <v>한샘 트리플 욕실청소기2.0</v>
          </cell>
          <cell r="AB914" t="str">
            <v>coupang.com/vp/products/6297276317?itemId=13002632960&amp;vendorItemId=80265852375</v>
          </cell>
          <cell r="AC914">
            <v>43305.454545454544</v>
          </cell>
          <cell r="AD914">
            <v>4330.545454545455</v>
          </cell>
          <cell r="AE914">
            <v>47636</v>
          </cell>
          <cell r="AG914">
            <v>54999.999999999993</v>
          </cell>
          <cell r="AH914">
            <v>5500.0000000000073</v>
          </cell>
          <cell r="AI914">
            <v>60500</v>
          </cell>
          <cell r="AK914">
            <v>11694.545454545449</v>
          </cell>
        </row>
        <row r="915">
          <cell r="H915">
            <v>87943849453</v>
          </cell>
          <cell r="I915">
            <v>40859115</v>
          </cell>
          <cell r="J915">
            <v>3</v>
          </cell>
          <cell r="K915">
            <v>238</v>
          </cell>
          <cell r="L915">
            <v>13100</v>
          </cell>
          <cell r="M915">
            <v>13100</v>
          </cell>
          <cell r="N915">
            <v>11900</v>
          </cell>
          <cell r="O915">
            <v>19900</v>
          </cell>
          <cell r="Q915">
            <v>13200</v>
          </cell>
          <cell r="R915">
            <v>87943849453</v>
          </cell>
          <cell r="S915" t="str">
            <v>윤혜주BM</v>
          </cell>
          <cell r="V915">
            <v>12900</v>
          </cell>
          <cell r="W915" t="str">
            <v>https://smartstore.naver.com/psglobal1/products/10286534730</v>
          </cell>
          <cell r="X915" t="str">
            <v>뉴클 10000</v>
          </cell>
          <cell r="Y915" t="str">
            <v>뉴클 2A 보조배터리 10,000mAh 화이트</v>
          </cell>
          <cell r="AB915" t="str">
            <v>coupang.com/vp/products/7750773328?itemId=20876601321&amp;vendorItemId=87943849453</v>
          </cell>
          <cell r="AC915">
            <v>4241.8181818181811</v>
          </cell>
          <cell r="AD915">
            <v>424.18181818181813</v>
          </cell>
          <cell r="AE915">
            <v>4666</v>
          </cell>
          <cell r="AG915">
            <v>9000</v>
          </cell>
          <cell r="AH915">
            <v>900</v>
          </cell>
          <cell r="AI915">
            <v>9900</v>
          </cell>
          <cell r="AK915">
            <v>4758.1818181818189</v>
          </cell>
        </row>
        <row r="916">
          <cell r="H916">
            <v>89659982109</v>
          </cell>
          <cell r="I916">
            <v>45416312</v>
          </cell>
          <cell r="J916">
            <v>96</v>
          </cell>
          <cell r="K916">
            <v>38</v>
          </cell>
          <cell r="L916">
            <v>34000</v>
          </cell>
          <cell r="M916">
            <v>34000</v>
          </cell>
          <cell r="N916">
            <v>23900</v>
          </cell>
          <cell r="O916">
            <v>34900</v>
          </cell>
          <cell r="Q916">
            <v>34000</v>
          </cell>
          <cell r="R916">
            <v>89659982109</v>
          </cell>
          <cell r="S916" t="str">
            <v>윤혜주BM</v>
          </cell>
          <cell r="V916">
            <v>34000</v>
          </cell>
          <cell r="W916" t="str">
            <v>https://smartstore.naver.com/psglobal1/products/10285921009</v>
          </cell>
          <cell r="X916" t="str">
            <v>맥세이프 보배</v>
          </cell>
          <cell r="Y916" t="str">
            <v>뉴클 맥세이프 카드수납 보조배터리 5000mAh</v>
          </cell>
          <cell r="AB916" t="str">
            <v>coupang.com/vp/products/8056979729?itemId=22618413898&amp;vendorItemId=89659982109</v>
          </cell>
          <cell r="AC916">
            <v>11000</v>
          </cell>
          <cell r="AD916">
            <v>1100</v>
          </cell>
          <cell r="AE916">
            <v>12100</v>
          </cell>
          <cell r="AG916">
            <v>20000</v>
          </cell>
          <cell r="AH916">
            <v>2000</v>
          </cell>
          <cell r="AI916">
            <v>22000</v>
          </cell>
          <cell r="AK916">
            <v>9000</v>
          </cell>
        </row>
        <row r="917">
          <cell r="H917">
            <v>83900416745</v>
          </cell>
          <cell r="I917">
            <v>30176318</v>
          </cell>
          <cell r="J917">
            <v>53</v>
          </cell>
          <cell r="K917">
            <v>151</v>
          </cell>
          <cell r="L917">
            <v>20610</v>
          </cell>
          <cell r="M917">
            <v>20610</v>
          </cell>
          <cell r="N917">
            <v>13900</v>
          </cell>
          <cell r="O917">
            <v>22900</v>
          </cell>
          <cell r="Q917">
            <v>19840</v>
          </cell>
          <cell r="R917">
            <v>83900416745</v>
          </cell>
          <cell r="S917" t="str">
            <v>윤혜주BM</v>
          </cell>
          <cell r="V917">
            <v>13900</v>
          </cell>
          <cell r="W917" t="str">
            <v>https://smartstore.naver.com/psglobal1/products/10286534697</v>
          </cell>
          <cell r="X917" t="str">
            <v>뉴클 10000</v>
          </cell>
          <cell r="Y917" t="str">
            <v>뉴클 PD 고속 충전 보조배터리 10000mAh , 블랙</v>
          </cell>
          <cell r="AB917" t="str">
            <v>coupang.com/vp/products/6921803709?itemId=16718198168&amp;vendorItemId=83900416745</v>
          </cell>
          <cell r="AC917">
            <v>6304.545454545454</v>
          </cell>
          <cell r="AD917">
            <v>630.4545454545455</v>
          </cell>
          <cell r="AE917">
            <v>6935</v>
          </cell>
          <cell r="AG917">
            <v>10000</v>
          </cell>
          <cell r="AH917">
            <v>1000</v>
          </cell>
          <cell r="AI917">
            <v>11000</v>
          </cell>
          <cell r="AK917">
            <v>3695.454545454546</v>
          </cell>
        </row>
        <row r="918">
          <cell r="H918">
            <v>83900416759</v>
          </cell>
          <cell r="I918">
            <v>30176320</v>
          </cell>
          <cell r="J918" t="str">
            <v/>
          </cell>
          <cell r="K918">
            <v>151</v>
          </cell>
          <cell r="L918">
            <v>21900</v>
          </cell>
          <cell r="M918">
            <v>21900</v>
          </cell>
          <cell r="N918">
            <v>21900</v>
          </cell>
          <cell r="O918">
            <v>39900</v>
          </cell>
          <cell r="Q918">
            <v>21900</v>
          </cell>
          <cell r="R918">
            <v>83900416759</v>
          </cell>
          <cell r="S918" t="str">
            <v>윤혜주BM</v>
          </cell>
          <cell r="V918">
            <v>21900</v>
          </cell>
          <cell r="W918" t="str">
            <v>https://smartstore.naver.com/psglobal1/products/10308260826</v>
          </cell>
          <cell r="X918" t="str">
            <v>뉴클 10000</v>
          </cell>
          <cell r="Y918" t="str">
            <v>뉴클 PD/QC 고속 충전 보조배터리 10000mAh , 2개</v>
          </cell>
          <cell r="AB918" t="str">
            <v>coupang.com/vp/products/6921803709?itemId=16718198173&amp;vendorItemId=83900416759</v>
          </cell>
          <cell r="AC918">
            <v>12699.999999999998</v>
          </cell>
          <cell r="AD918">
            <v>1270</v>
          </cell>
          <cell r="AE918">
            <v>13970</v>
          </cell>
          <cell r="AG918">
            <v>15916.363636363634</v>
          </cell>
          <cell r="AH918">
            <v>1591.6363636363658</v>
          </cell>
          <cell r="AI918">
            <v>17508</v>
          </cell>
          <cell r="AK918">
            <v>3216.363636363636</v>
          </cell>
        </row>
        <row r="919">
          <cell r="H919">
            <v>83900419992</v>
          </cell>
          <cell r="I919">
            <v>30176333</v>
          </cell>
          <cell r="J919" t="str">
            <v/>
          </cell>
          <cell r="K919">
            <v>79</v>
          </cell>
          <cell r="L919">
            <v>15900</v>
          </cell>
          <cell r="M919">
            <v>15900</v>
          </cell>
          <cell r="N919">
            <v>15900</v>
          </cell>
          <cell r="O919">
            <v>24900</v>
          </cell>
          <cell r="Q919">
            <v>15900</v>
          </cell>
          <cell r="R919">
            <v>83900419992</v>
          </cell>
          <cell r="S919" t="str">
            <v>윤혜주BM</v>
          </cell>
          <cell r="V919">
            <v>15900</v>
          </cell>
          <cell r="W919" t="str">
            <v>https://smartstore.naver.com/psglobal1/products/10308217227</v>
          </cell>
          <cell r="X919" t="str">
            <v>뉴클 10000</v>
          </cell>
          <cell r="Y919" t="str">
            <v>뉴클 PD/QC 고속 충전 보조배터리 10000mAh + C타입 케이블 1.2M</v>
          </cell>
          <cell r="AB919" t="str">
            <v>coupang.com/vp/products/6921804550?itemId=16718202192&amp;vendorItemId=83900419992</v>
          </cell>
          <cell r="AC919">
            <v>7199.9999999999991</v>
          </cell>
          <cell r="AD919">
            <v>720</v>
          </cell>
          <cell r="AE919">
            <v>7920</v>
          </cell>
          <cell r="AG919">
            <v>13581.81818181818</v>
          </cell>
          <cell r="AH919">
            <v>1358.1818181818198</v>
          </cell>
          <cell r="AI919">
            <v>14940</v>
          </cell>
          <cell r="AK919">
            <v>6381.8181818181811</v>
          </cell>
        </row>
        <row r="920">
          <cell r="H920">
            <v>83900419178</v>
          </cell>
          <cell r="I920">
            <v>30176330</v>
          </cell>
          <cell r="J920" t="str">
            <v/>
          </cell>
          <cell r="K920">
            <v>155</v>
          </cell>
          <cell r="L920">
            <v>15900</v>
          </cell>
          <cell r="M920">
            <v>15900</v>
          </cell>
          <cell r="N920">
            <v>15900</v>
          </cell>
          <cell r="O920">
            <v>24900</v>
          </cell>
          <cell r="Q920">
            <v>15900</v>
          </cell>
          <cell r="R920">
            <v>83900419178</v>
          </cell>
          <cell r="S920" t="str">
            <v>윤혜주BM</v>
          </cell>
          <cell r="V920">
            <v>15900</v>
          </cell>
          <cell r="W920" t="str">
            <v>https://smartstore.naver.com/psglobal1/products/10308217044</v>
          </cell>
          <cell r="X920" t="str">
            <v>뉴클 10000</v>
          </cell>
          <cell r="Y920" t="str">
            <v>뉴클 PD/QC 고속 충전 보조배터리 10000mAh + 5핀 케이블 1.2M</v>
          </cell>
          <cell r="AA920" t="str">
            <v>https://smartstore.naver.com/psglobal1/products/10308217044</v>
          </cell>
          <cell r="AB920" t="str">
            <v>coupang.com/vp/products/6921804371?itemId=16718201385&amp;vendorItemId=83900419178</v>
          </cell>
          <cell r="AC920">
            <v>6999.9999999999991</v>
          </cell>
          <cell r="AD920">
            <v>700</v>
          </cell>
          <cell r="AE920">
            <v>7700</v>
          </cell>
          <cell r="AG920">
            <v>13581.81818181818</v>
          </cell>
          <cell r="AH920">
            <v>1358.1818181818198</v>
          </cell>
          <cell r="AI920">
            <v>14940</v>
          </cell>
          <cell r="AK920">
            <v>6581.8181818181811</v>
          </cell>
        </row>
        <row r="921">
          <cell r="H921">
            <v>83900414293</v>
          </cell>
          <cell r="I921">
            <v>30176321</v>
          </cell>
          <cell r="J921" t="str">
            <v/>
          </cell>
          <cell r="K921">
            <v>10</v>
          </cell>
          <cell r="L921">
            <v>18900</v>
          </cell>
          <cell r="M921">
            <v>18900</v>
          </cell>
          <cell r="N921">
            <v>18900</v>
          </cell>
          <cell r="O921">
            <v>24900</v>
          </cell>
          <cell r="Q921">
            <v>18900</v>
          </cell>
          <cell r="R921">
            <v>83900414293</v>
          </cell>
          <cell r="S921" t="str">
            <v>윤혜주BM</v>
          </cell>
          <cell r="V921">
            <v>18900</v>
          </cell>
          <cell r="W921" t="str">
            <v>https://smartstore.naver.com/psglobal1/products/10308217436</v>
          </cell>
          <cell r="X921" t="str">
            <v>뉴클 10000</v>
          </cell>
          <cell r="Y921" t="str">
            <v>뉴클 PD/QC 고속 충전 보조배터리 10000mAh + 8핀 케이블 1.2M</v>
          </cell>
          <cell r="AB921" t="str">
            <v>coupang.com/vp/products/6921803359?itemId=16718196371&amp;vendorItemId=83900414293</v>
          </cell>
          <cell r="AC921">
            <v>7909.0909090909081</v>
          </cell>
          <cell r="AD921">
            <v>790.90909090909088</v>
          </cell>
          <cell r="AE921">
            <v>8700</v>
          </cell>
          <cell r="AG921">
            <v>13581.81818181818</v>
          </cell>
          <cell r="AH921">
            <v>1358.1818181818198</v>
          </cell>
          <cell r="AI921">
            <v>14940</v>
          </cell>
          <cell r="AK921">
            <v>5672.7272727272721</v>
          </cell>
        </row>
        <row r="922">
          <cell r="H922">
            <v>83900424755</v>
          </cell>
          <cell r="I922">
            <v>30176336</v>
          </cell>
          <cell r="J922" t="str">
            <v/>
          </cell>
          <cell r="K922">
            <v>7</v>
          </cell>
          <cell r="L922">
            <v>19900</v>
          </cell>
          <cell r="M922">
            <v>19900</v>
          </cell>
          <cell r="N922">
            <v>19900</v>
          </cell>
          <cell r="O922">
            <v>25900</v>
          </cell>
          <cell r="Q922">
            <v>19900</v>
          </cell>
          <cell r="R922">
            <v>83900424755</v>
          </cell>
          <cell r="S922" t="str">
            <v>윤혜주BM</v>
          </cell>
          <cell r="V922">
            <v>19900</v>
          </cell>
          <cell r="W922" t="str">
            <v>https://smartstore.naver.com/psglobal1/products/10308216857</v>
          </cell>
          <cell r="X922" t="str">
            <v>뉴클 10000</v>
          </cell>
          <cell r="Y922" t="str">
            <v>뉴클 PD/QC 고속 충전 보조배터리 10000mAh + C타입,5핀,8핀 케이블 1.2M</v>
          </cell>
          <cell r="AB922" t="str">
            <v>coupang.com/vp/products/6921805524?itemId=16718207077&amp;vendorItemId=83900424755</v>
          </cell>
          <cell r="AC922">
            <v>8818.181818181818</v>
          </cell>
          <cell r="AD922">
            <v>881.81818181818187</v>
          </cell>
          <cell r="AE922">
            <v>9700</v>
          </cell>
          <cell r="AG922">
            <v>14127.272727272726</v>
          </cell>
          <cell r="AH922">
            <v>1412.7272727272739</v>
          </cell>
          <cell r="AI922">
            <v>15540</v>
          </cell>
          <cell r="AK922">
            <v>5309.0909090909081</v>
          </cell>
        </row>
        <row r="923">
          <cell r="H923">
            <v>91685366074</v>
          </cell>
          <cell r="I923">
            <v>55004562</v>
          </cell>
          <cell r="J923">
            <v>529</v>
          </cell>
          <cell r="K923">
            <v>208</v>
          </cell>
          <cell r="L923">
            <v>11500</v>
          </cell>
          <cell r="M923">
            <v>11500</v>
          </cell>
          <cell r="O923">
            <v>14900</v>
          </cell>
          <cell r="Q923">
            <v>10750</v>
          </cell>
          <cell r="R923">
            <v>91685366074</v>
          </cell>
          <cell r="V923">
            <v>11500</v>
          </cell>
          <cell r="W923" t="str">
            <v>https://smartstore.naver.com/psglobal1/products/11268220415</v>
          </cell>
          <cell r="X923" t="str">
            <v>뉴클 기타_멀티키트</v>
          </cell>
          <cell r="Y923" t="str">
            <v>뉴클 멀티 케이블 키트 화이트 107mm</v>
          </cell>
          <cell r="AB923" t="str">
            <v>coupang.com/vp/products/8522935837?itemId=24675211200&amp;vendorItemId=91685366074</v>
          </cell>
          <cell r="AC923">
            <v>1301.8181818181818</v>
          </cell>
          <cell r="AD923">
            <v>130.18181818181819</v>
          </cell>
          <cell r="AE923">
            <v>1432</v>
          </cell>
          <cell r="AG923">
            <v>8090.9090909090901</v>
          </cell>
          <cell r="AH923">
            <v>809.09090909090992</v>
          </cell>
          <cell r="AI923">
            <v>8900</v>
          </cell>
          <cell r="AK923">
            <v>6789.0909090909081</v>
          </cell>
        </row>
        <row r="924">
          <cell r="H924">
            <v>91685366076</v>
          </cell>
          <cell r="I924">
            <v>55004563</v>
          </cell>
          <cell r="J924">
            <v>402</v>
          </cell>
          <cell r="K924">
            <v>208</v>
          </cell>
          <cell r="L924">
            <v>11500</v>
          </cell>
          <cell r="M924">
            <v>11500</v>
          </cell>
          <cell r="O924">
            <v>14900</v>
          </cell>
          <cell r="Q924">
            <v>10750</v>
          </cell>
          <cell r="R924">
            <v>91685366076</v>
          </cell>
          <cell r="V924">
            <v>11500</v>
          </cell>
          <cell r="W924" t="str">
            <v>https://smartstore.naver.com/psglobal1/products/11268220415</v>
          </cell>
          <cell r="X924" t="str">
            <v>뉴클 기타_멀티키트</v>
          </cell>
          <cell r="Y924" t="str">
            <v>뉴클 멀티 케이블 키트 블랙 107mm</v>
          </cell>
          <cell r="AB924" t="str">
            <v>coupang.com/vp/products/8522935837?itemId=24675211201&amp;vendorItemId=91685366076</v>
          </cell>
          <cell r="AC924">
            <v>1301.8181818181818</v>
          </cell>
          <cell r="AD924">
            <v>130.18181818181819</v>
          </cell>
          <cell r="AE924">
            <v>1432</v>
          </cell>
          <cell r="AG924">
            <v>8090.9090909090901</v>
          </cell>
          <cell r="AH924">
            <v>809.09090909090992</v>
          </cell>
          <cell r="AI924">
            <v>8900</v>
          </cell>
          <cell r="AK924">
            <v>6789.0909090909081</v>
          </cell>
        </row>
        <row r="925">
          <cell r="H925">
            <v>91678098859</v>
          </cell>
          <cell r="I925">
            <v>54951037</v>
          </cell>
          <cell r="J925">
            <v>2</v>
          </cell>
          <cell r="K925">
            <v>35</v>
          </cell>
          <cell r="L925">
            <v>17900</v>
          </cell>
          <cell r="M925">
            <v>17900</v>
          </cell>
          <cell r="O925">
            <v>24000</v>
          </cell>
          <cell r="Q925">
            <v>17900</v>
          </cell>
          <cell r="R925">
            <v>91678098859</v>
          </cell>
          <cell r="V925">
            <v>17900</v>
          </cell>
          <cell r="W925" t="str">
            <v>https://smartstore.naver.com/psglobal1/products/10830230419</v>
          </cell>
          <cell r="X925" t="str">
            <v>반디</v>
          </cell>
          <cell r="Y925" t="str">
            <v>AGK NORDIC 헤닝 커트러리 세트</v>
          </cell>
          <cell r="AB925" t="str">
            <v>coupang.com/vp/products/8519887265?itemId=24667774122&amp;vendorItemId=91678098859</v>
          </cell>
          <cell r="AC925">
            <v>4545.454545454545</v>
          </cell>
          <cell r="AD925">
            <v>454.5454545454545</v>
          </cell>
          <cell r="AE925">
            <v>5000</v>
          </cell>
          <cell r="AG925">
            <v>11109.090909090908</v>
          </cell>
          <cell r="AH925">
            <v>1110.9090909090919</v>
          </cell>
          <cell r="AI925">
            <v>12220</v>
          </cell>
          <cell r="AK925">
            <v>6563.6363636363631</v>
          </cell>
        </row>
        <row r="926">
          <cell r="H926">
            <v>91712284734</v>
          </cell>
          <cell r="I926">
            <v>55220358</v>
          </cell>
          <cell r="J926">
            <v>0</v>
          </cell>
          <cell r="K926">
            <v>46</v>
          </cell>
          <cell r="L926">
            <v>62900</v>
          </cell>
          <cell r="M926">
            <v>62900</v>
          </cell>
          <cell r="O926">
            <v>84000</v>
          </cell>
          <cell r="Q926">
            <v>62900</v>
          </cell>
          <cell r="R926">
            <v>91712284734</v>
          </cell>
          <cell r="V926">
            <v>62900</v>
          </cell>
          <cell r="W926" t="str">
            <v>https://smartstore.naver.com/psglobal1/products/11326351056</v>
          </cell>
          <cell r="X926" t="str">
            <v>맥로이드_가습기</v>
          </cell>
          <cell r="Y926" t="str">
            <v>맥로이드 멀티 가습기 V-2000</v>
          </cell>
          <cell r="AB926" t="str">
            <v>coupang.com/vp/products/8329594625?itemId=24048091593&amp;vendorItemId=91712284734</v>
          </cell>
          <cell r="AC926">
            <v>18000</v>
          </cell>
          <cell r="AD926">
            <v>1800</v>
          </cell>
          <cell r="AE926">
            <v>19800</v>
          </cell>
          <cell r="AG926">
            <v>45363.63636363636</v>
          </cell>
          <cell r="AH926">
            <v>4536.3636363636397</v>
          </cell>
          <cell r="AI926">
            <v>49900</v>
          </cell>
          <cell r="AK926">
            <v>27363.63636363636</v>
          </cell>
        </row>
        <row r="927">
          <cell r="H927">
            <v>91701006408</v>
          </cell>
          <cell r="I927">
            <v>55143298</v>
          </cell>
          <cell r="J927">
            <v>0</v>
          </cell>
          <cell r="K927">
            <v>23</v>
          </cell>
          <cell r="L927">
            <v>24900</v>
          </cell>
          <cell r="M927">
            <v>24900</v>
          </cell>
          <cell r="O927">
            <v>29900</v>
          </cell>
          <cell r="Q927">
            <v>24900</v>
          </cell>
          <cell r="R927">
            <v>91701006408</v>
          </cell>
          <cell r="V927">
            <v>22900</v>
          </cell>
          <cell r="W927" t="str">
            <v>https://smartstore.naver.com/psglobal1/products/10286523047</v>
          </cell>
          <cell r="X927" t="str">
            <v>루미전구</v>
          </cell>
          <cell r="Y927" t="str">
            <v>루미 스마트 전구 LM90X</v>
          </cell>
          <cell r="AB927" t="str">
            <v>coupang.com/vp/products/8527541275?itemId=24691186309&amp;vendorItemId=91701006408</v>
          </cell>
          <cell r="AC927">
            <v>6619.9999999999991</v>
          </cell>
          <cell r="AD927">
            <v>662</v>
          </cell>
          <cell r="AE927">
            <v>7282</v>
          </cell>
          <cell r="AG927">
            <v>16272.727272727272</v>
          </cell>
          <cell r="AH927">
            <v>1627.2727272727279</v>
          </cell>
          <cell r="AI927">
            <v>17900</v>
          </cell>
          <cell r="AK927">
            <v>9652.7272727272721</v>
          </cell>
        </row>
        <row r="928">
          <cell r="H928">
            <v>91329802099</v>
          </cell>
          <cell r="I928">
            <v>52192756</v>
          </cell>
          <cell r="J928">
            <v>-23</v>
          </cell>
          <cell r="K928">
            <v>55</v>
          </cell>
          <cell r="L928">
            <v>35980</v>
          </cell>
          <cell r="M928">
            <v>35980</v>
          </cell>
          <cell r="N928">
            <v>27090</v>
          </cell>
          <cell r="O928">
            <v>38900</v>
          </cell>
          <cell r="Q928">
            <v>53130</v>
          </cell>
          <cell r="R928">
            <v>91329802099</v>
          </cell>
          <cell r="S928" t="str">
            <v>송치광BM</v>
          </cell>
          <cell r="V928">
            <v>36900</v>
          </cell>
          <cell r="W928" t="str">
            <v>https://smartstore.naver.com/psglobal1/products/10830232681</v>
          </cell>
          <cell r="X928" t="str">
            <v>반디</v>
          </cell>
          <cell r="Y928" t="str">
            <v>퀸메이드 벨루스 와플메이커 QMSM-72W</v>
          </cell>
          <cell r="AB928" t="str">
            <v>coupang.com/vp/products/8409507557?itemId=24313986914&amp;vendorItemId=91329802099</v>
          </cell>
          <cell r="AC928">
            <v>13636.363636363636</v>
          </cell>
          <cell r="AD928">
            <v>1363.6363636363637</v>
          </cell>
          <cell r="AE928">
            <v>15000</v>
          </cell>
          <cell r="AG928">
            <v>26818.181818181816</v>
          </cell>
          <cell r="AH928">
            <v>2681.8181818181838</v>
          </cell>
          <cell r="AI928">
            <v>29500</v>
          </cell>
          <cell r="AK928">
            <v>13181.81818181818</v>
          </cell>
        </row>
        <row r="929">
          <cell r="H929">
            <v>92075548202</v>
          </cell>
          <cell r="I929">
            <v>57342251</v>
          </cell>
          <cell r="J929">
            <v>46</v>
          </cell>
          <cell r="K929" t="str">
            <v>-</v>
          </cell>
          <cell r="L929">
            <v>42900</v>
          </cell>
          <cell r="M929">
            <v>42900</v>
          </cell>
          <cell r="O929">
            <v>53900</v>
          </cell>
          <cell r="Q929">
            <v>42900</v>
          </cell>
          <cell r="R929">
            <v>92075548202</v>
          </cell>
          <cell r="V929">
            <v>36900</v>
          </cell>
          <cell r="W929" t="str">
            <v>https://smartstore.naver.com/psglobal1/products/11530163474</v>
          </cell>
          <cell r="X929" t="str">
            <v>맥스컴_카메라</v>
          </cell>
          <cell r="Y929" t="str">
            <v>와투케 레트로 카메라 실버 BYX004</v>
          </cell>
          <cell r="AB929" t="str">
            <v>coupang.com/vp/products/8621085085?itemId=25011568957&amp;vendorItemId=92075548202</v>
          </cell>
          <cell r="AC929">
            <v>18000</v>
          </cell>
          <cell r="AD929">
            <v>1800</v>
          </cell>
          <cell r="AE929">
            <v>19800</v>
          </cell>
          <cell r="AG929">
            <v>26818.181818181816</v>
          </cell>
          <cell r="AH929">
            <v>2681.8181818181838</v>
          </cell>
          <cell r="AI929">
            <v>29500</v>
          </cell>
          <cell r="AK929">
            <v>8818.1818181818162</v>
          </cell>
        </row>
        <row r="930">
          <cell r="H930">
            <v>92075548207</v>
          </cell>
          <cell r="I930">
            <v>57342252</v>
          </cell>
          <cell r="J930">
            <v>46</v>
          </cell>
          <cell r="K930" t="str">
            <v>-</v>
          </cell>
          <cell r="L930">
            <v>42900</v>
          </cell>
          <cell r="M930">
            <v>42900</v>
          </cell>
          <cell r="O930">
            <v>53900</v>
          </cell>
          <cell r="Q930">
            <v>42900</v>
          </cell>
          <cell r="R930">
            <v>92075548207</v>
          </cell>
          <cell r="V930">
            <v>36900</v>
          </cell>
          <cell r="W930" t="str">
            <v>https://smartstore.naver.com/psglobal1/products/11530163474</v>
          </cell>
          <cell r="X930" t="str">
            <v>맥스컴_카메라</v>
          </cell>
          <cell r="Y930" t="str">
            <v>와투케 레트로 카메라 핑크 BYX004</v>
          </cell>
          <cell r="AB930" t="str">
            <v>coupang.com/vp/products/8621085085?itemId=25011568954&amp;vendorItemId=92075548207</v>
          </cell>
          <cell r="AC930">
            <v>18000</v>
          </cell>
          <cell r="AD930">
            <v>1800</v>
          </cell>
          <cell r="AE930">
            <v>19800</v>
          </cell>
          <cell r="AG930">
            <v>26818.181818181816</v>
          </cell>
          <cell r="AH930">
            <v>2681.8181818181838</v>
          </cell>
          <cell r="AI930">
            <v>29500</v>
          </cell>
          <cell r="AK930">
            <v>8818.1818181818162</v>
          </cell>
        </row>
        <row r="931">
          <cell r="H931">
            <v>92075548210</v>
          </cell>
          <cell r="I931">
            <v>57342253</v>
          </cell>
          <cell r="J931">
            <v>30</v>
          </cell>
          <cell r="K931" t="str">
            <v>-</v>
          </cell>
          <cell r="L931">
            <v>42900</v>
          </cell>
          <cell r="M931">
            <v>42900</v>
          </cell>
          <cell r="O931">
            <v>53900</v>
          </cell>
          <cell r="Q931">
            <v>42900</v>
          </cell>
          <cell r="R931">
            <v>92075548210</v>
          </cell>
          <cell r="V931">
            <v>36900</v>
          </cell>
          <cell r="W931" t="str">
            <v>https://smartstore.naver.com/psglobal1/products/11530163474</v>
          </cell>
          <cell r="X931" t="str">
            <v>맥스컴_카메라</v>
          </cell>
          <cell r="Y931" t="str">
            <v>와투케 레트로 카메라 화이트 BYX004</v>
          </cell>
          <cell r="AB931" t="str">
            <v>coupang.com/vp/products/8621085085?itemId=25011568960&amp;vendorItemId=92075548210</v>
          </cell>
          <cell r="AC931">
            <v>18000</v>
          </cell>
          <cell r="AD931">
            <v>1800</v>
          </cell>
          <cell r="AE931">
            <v>19800</v>
          </cell>
          <cell r="AG931">
            <v>26818.181818181816</v>
          </cell>
          <cell r="AH931">
            <v>2681.8181818181838</v>
          </cell>
          <cell r="AI931">
            <v>29500</v>
          </cell>
          <cell r="AK931">
            <v>8818.1818181818162</v>
          </cell>
        </row>
        <row r="932">
          <cell r="H932">
            <v>81740682845</v>
          </cell>
          <cell r="I932">
            <v>25101732</v>
          </cell>
          <cell r="J932">
            <v>1</v>
          </cell>
          <cell r="K932" t="str">
            <v>-</v>
          </cell>
          <cell r="L932">
            <v>13240</v>
          </cell>
          <cell r="M932">
            <v>13240</v>
          </cell>
          <cell r="O932">
            <v>13240</v>
          </cell>
          <cell r="Q932">
            <v>13240</v>
          </cell>
          <cell r="R932">
            <v>81740682845</v>
          </cell>
          <cell r="S932" t="str">
            <v>김명준BM</v>
          </cell>
          <cell r="V932">
            <v>13000</v>
          </cell>
          <cell r="W932" t="str">
            <v>https://smartstore.naver.com/psglobal1/products/10312157148</v>
          </cell>
          <cell r="Y932" t="str">
            <v>라우쉬 워터팬스 75cm</v>
          </cell>
          <cell r="AB932" t="str">
            <v>coupang.com/vp/products/6529678592?itemId=14497616346&amp;vendorItemId=81740682845</v>
          </cell>
          <cell r="AC932">
            <v>3809.9999999999995</v>
          </cell>
          <cell r="AD932">
            <v>381</v>
          </cell>
          <cell r="AE932">
            <v>4191</v>
          </cell>
          <cell r="AG932">
            <v>9000</v>
          </cell>
          <cell r="AH932">
            <v>900</v>
          </cell>
          <cell r="AI932">
            <v>9900</v>
          </cell>
          <cell r="AK932">
            <v>5190</v>
          </cell>
        </row>
        <row r="933">
          <cell r="H933">
            <v>75191203688</v>
          </cell>
          <cell r="I933">
            <v>15473334</v>
          </cell>
          <cell r="J933">
            <v>1</v>
          </cell>
          <cell r="K933" t="str">
            <v>-</v>
          </cell>
          <cell r="L933">
            <v>14800</v>
          </cell>
          <cell r="M933">
            <v>14800</v>
          </cell>
          <cell r="N933">
            <v>14900</v>
          </cell>
          <cell r="O933">
            <v>14900</v>
          </cell>
          <cell r="Q933">
            <v>14660</v>
          </cell>
          <cell r="R933">
            <v>75191203688</v>
          </cell>
          <cell r="S933" t="str">
            <v>승세엽BM</v>
          </cell>
          <cell r="V933">
            <v>13800</v>
          </cell>
          <cell r="W933" t="str">
            <v>https://smartstore.naver.com/psglobal1/products/10286551221</v>
          </cell>
          <cell r="Y933" t="str">
            <v>한샘 인덕션 보호패드 2p</v>
          </cell>
          <cell r="AB933" t="str">
            <v>coupang.com/vp/products/5358759528?itemId=7901807669&amp;vendorItemId=75191203688</v>
          </cell>
          <cell r="AC933">
            <v>7490.9090909090901</v>
          </cell>
          <cell r="AD933">
            <v>749.09090909090901</v>
          </cell>
          <cell r="AE933">
            <v>8240</v>
          </cell>
          <cell r="AG933">
            <v>11000</v>
          </cell>
          <cell r="AH933">
            <v>1100</v>
          </cell>
          <cell r="AI933">
            <v>12100</v>
          </cell>
          <cell r="AK933">
            <v>3509.0909090909099</v>
          </cell>
        </row>
        <row r="934">
          <cell r="H934">
            <v>79984915460</v>
          </cell>
          <cell r="I934">
            <v>20903448</v>
          </cell>
          <cell r="J934" t="str">
            <v/>
          </cell>
          <cell r="K934" t="str">
            <v>-</v>
          </cell>
          <cell r="L934">
            <v>23400</v>
          </cell>
          <cell r="M934">
            <v>23400</v>
          </cell>
          <cell r="N934">
            <v>24920</v>
          </cell>
          <cell r="O934">
            <v>24920</v>
          </cell>
          <cell r="Q934">
            <v>23400</v>
          </cell>
          <cell r="R934">
            <v>79984915460</v>
          </cell>
          <cell r="S934" t="str">
            <v>이창욱BM</v>
          </cell>
          <cell r="V934" t="str">
            <v>미등록</v>
          </cell>
          <cell r="Y934" t="str">
            <v>★쉔코리아.단종/슈틸루스터 칼세트</v>
          </cell>
          <cell r="AB934" t="str">
            <v>coupang.com/vp/products/6257107457?itemId=12718209589&amp;vendorItemId=79984915460</v>
          </cell>
          <cell r="AC934">
            <v>8408.6363636363621</v>
          </cell>
          <cell r="AD934">
            <v>840.86363636363626</v>
          </cell>
          <cell r="AE934">
            <v>9249.5</v>
          </cell>
          <cell r="AG934">
            <v>12079.090909090908</v>
          </cell>
          <cell r="AH934">
            <v>1207.9090909090919</v>
          </cell>
          <cell r="AI934">
            <v>13287</v>
          </cell>
          <cell r="AK934">
            <v>3670.454545454546</v>
          </cell>
        </row>
        <row r="935">
          <cell r="H935">
            <v>81457936417</v>
          </cell>
          <cell r="I935">
            <v>24571648</v>
          </cell>
          <cell r="J935" t="str">
            <v/>
          </cell>
          <cell r="K935" t="str">
            <v>-</v>
          </cell>
          <cell r="L935">
            <v>159000</v>
          </cell>
          <cell r="M935">
            <v>159000</v>
          </cell>
          <cell r="N935">
            <v>159000</v>
          </cell>
          <cell r="O935">
            <v>159000</v>
          </cell>
          <cell r="Q935">
            <v>159000</v>
          </cell>
          <cell r="R935">
            <v>81457936417</v>
          </cell>
          <cell r="S935" t="str">
            <v>임해창BM</v>
          </cell>
          <cell r="Y935" t="str">
            <v>한샘 구이바다</v>
          </cell>
          <cell r="AB935" t="str">
            <v>coupang.com/vp/products/6485153334?itemId=14212491647&amp;vendorItemId=81457936417</v>
          </cell>
          <cell r="AC935">
            <v>70465.909090909088</v>
          </cell>
          <cell r="AD935">
            <v>7046.590909090909</v>
          </cell>
          <cell r="AE935">
            <v>77512.5</v>
          </cell>
          <cell r="AG935">
            <v>108409.0909090909</v>
          </cell>
          <cell r="AH935">
            <v>10840.909090909103</v>
          </cell>
          <cell r="AI935">
            <v>119250</v>
          </cell>
          <cell r="AK935">
            <v>37943.181818181809</v>
          </cell>
        </row>
        <row r="936">
          <cell r="H936">
            <v>75594582194</v>
          </cell>
          <cell r="I936">
            <v>15696030</v>
          </cell>
          <cell r="J936" t="str">
            <v/>
          </cell>
          <cell r="K936" t="str">
            <v>-</v>
          </cell>
          <cell r="L936">
            <v>34900</v>
          </cell>
          <cell r="M936">
            <v>34900</v>
          </cell>
          <cell r="N936">
            <v>36990</v>
          </cell>
          <cell r="O936">
            <v>36990</v>
          </cell>
          <cell r="Q936">
            <v>34900</v>
          </cell>
          <cell r="R936">
            <v>75594582194</v>
          </cell>
          <cell r="S936" t="str">
            <v>이창욱BM</v>
          </cell>
          <cell r="Y936" t="str">
            <v xml:space="preserve">[한샘] 마이쿡 실리콘 조리도구 6P SET </v>
          </cell>
          <cell r="AB936" t="str">
            <v>coupang.com/vp/products/5448074337?itemId=8306687185&amp;vendorItemId=75594582194</v>
          </cell>
          <cell r="AC936">
            <v>17313.636363636364</v>
          </cell>
          <cell r="AD936">
            <v>1731.3636363636365</v>
          </cell>
          <cell r="AE936">
            <v>19045</v>
          </cell>
          <cell r="AG936">
            <v>26636.363636363632</v>
          </cell>
          <cell r="AH936">
            <v>2663.6363636363676</v>
          </cell>
          <cell r="AI936">
            <v>29300</v>
          </cell>
          <cell r="AK936">
            <v>9322.7272727272684</v>
          </cell>
        </row>
        <row r="937">
          <cell r="H937">
            <v>70448228455</v>
          </cell>
          <cell r="I937">
            <v>11498396</v>
          </cell>
          <cell r="J937" t="str">
            <v/>
          </cell>
          <cell r="K937" t="str">
            <v>-</v>
          </cell>
          <cell r="L937">
            <v>247500</v>
          </cell>
          <cell r="M937">
            <v>247500</v>
          </cell>
          <cell r="N937">
            <v>175140</v>
          </cell>
          <cell r="O937">
            <v>175140</v>
          </cell>
          <cell r="Q937">
            <v>145710</v>
          </cell>
          <cell r="R937">
            <v>70448228455</v>
          </cell>
          <cell r="S937" t="str">
            <v>송치광BM</v>
          </cell>
          <cell r="Y937" t="str">
            <v>라우쉬 듀얼 인덕션 전기레인지 2구, LSID-8000B</v>
          </cell>
          <cell r="AB937" t="str">
            <v>coupang.com/vp/products/1417449748?itemId=2454661126&amp;vendorItemId=70448228455</v>
          </cell>
          <cell r="AC937">
            <v>75636.363636363632</v>
          </cell>
          <cell r="AD937">
            <v>7563.636363636364</v>
          </cell>
          <cell r="AE937">
            <v>83200</v>
          </cell>
          <cell r="AG937">
            <v>116363.63636363635</v>
          </cell>
          <cell r="AH937">
            <v>11636.363636363647</v>
          </cell>
          <cell r="AI937">
            <v>128000</v>
          </cell>
          <cell r="AK937">
            <v>40727.272727272721</v>
          </cell>
        </row>
        <row r="938">
          <cell r="H938">
            <v>79018815926</v>
          </cell>
          <cell r="I938">
            <v>19180457</v>
          </cell>
          <cell r="J938" t="str">
            <v/>
          </cell>
          <cell r="K938" t="str">
            <v>-</v>
          </cell>
          <cell r="L938">
            <v>20850</v>
          </cell>
          <cell r="M938">
            <v>20850</v>
          </cell>
          <cell r="N938">
            <v>10460</v>
          </cell>
          <cell r="O938">
            <v>10460</v>
          </cell>
          <cell r="Q938">
            <v>20850</v>
          </cell>
          <cell r="R938">
            <v>79018815926</v>
          </cell>
          <cell r="S938" t="str">
            <v>석지영BM</v>
          </cell>
          <cell r="Y938" t="str">
            <v>웅진 마이홈 고무장갑 L 3개</v>
          </cell>
          <cell r="AB938" t="str">
            <v>coupang.com/vp/products/6137224792?itemId=11744918673&amp;vendorItemId=79018815926</v>
          </cell>
          <cell r="AC938">
            <v>3899.9999999999995</v>
          </cell>
          <cell r="AD938">
            <v>390</v>
          </cell>
          <cell r="AE938">
            <v>4290</v>
          </cell>
          <cell r="AG938">
            <v>7581.8181818181811</v>
          </cell>
          <cell r="AH938">
            <v>758.18181818181893</v>
          </cell>
          <cell r="AI938">
            <v>8340</v>
          </cell>
          <cell r="AK938">
            <v>3681.8181818181815</v>
          </cell>
        </row>
        <row r="939">
          <cell r="H939">
            <v>80355785496</v>
          </cell>
          <cell r="I939">
            <v>21727278</v>
          </cell>
          <cell r="J939" t="str">
            <v/>
          </cell>
          <cell r="K939" t="str">
            <v>-</v>
          </cell>
          <cell r="L939">
            <v>13970</v>
          </cell>
          <cell r="M939">
            <v>13970</v>
          </cell>
          <cell r="N939">
            <v>13970</v>
          </cell>
          <cell r="O939">
            <v>13970</v>
          </cell>
          <cell r="Q939">
            <v>13970</v>
          </cell>
          <cell r="R939">
            <v>80355785496</v>
          </cell>
          <cell r="S939" t="str">
            <v>석지영BM</v>
          </cell>
          <cell r="Y939" t="str">
            <v>웅진 라텍스 고리형 고무장갑 양손 세트 L 5세트</v>
          </cell>
          <cell r="AB939" t="str">
            <v>coupang.com/vp/products/6310375047?itemId=13094883380&amp;vendorItemId=80355785496</v>
          </cell>
          <cell r="AC939">
            <v>4951.8181818181811</v>
          </cell>
          <cell r="AD939">
            <v>495.18181818181813</v>
          </cell>
          <cell r="AE939">
            <v>5447</v>
          </cell>
          <cell r="AG939">
            <v>7618.181818181818</v>
          </cell>
          <cell r="AH939">
            <v>761.81818181818198</v>
          </cell>
          <cell r="AI939">
            <v>8380</v>
          </cell>
          <cell r="AK939">
            <v>2666.3636363636369</v>
          </cell>
        </row>
        <row r="940">
          <cell r="H940">
            <v>85253264612</v>
          </cell>
          <cell r="I940">
            <v>33566491</v>
          </cell>
          <cell r="J940" t="str">
            <v/>
          </cell>
          <cell r="K940" t="str">
            <v>-</v>
          </cell>
          <cell r="L940">
            <v>6290</v>
          </cell>
          <cell r="M940">
            <v>6290</v>
          </cell>
          <cell r="N940">
            <v>6530</v>
          </cell>
          <cell r="O940">
            <v>6530</v>
          </cell>
          <cell r="Q940">
            <v>6290</v>
          </cell>
          <cell r="R940">
            <v>85253264612</v>
          </cell>
          <cell r="S940" t="str">
            <v>윤석나BM</v>
          </cell>
          <cell r="V940">
            <v>4900</v>
          </cell>
          <cell r="W940" t="str">
            <v>https://smartstore.naver.com/psglobal1/products/10285903908</v>
          </cell>
          <cell r="Y940" t="str">
            <v>뉴클 데이터 충전케이블 5핀 2M , 3개</v>
          </cell>
          <cell r="AB940" t="str">
            <v>coupang.com/vp/products/7178757757?itemId=18101146337&amp;vendorItemId=85253264612</v>
          </cell>
          <cell r="AC940">
            <v>1459.090909090909</v>
          </cell>
          <cell r="AD940">
            <v>145.90909090909091</v>
          </cell>
          <cell r="AE940">
            <v>1605</v>
          </cell>
          <cell r="AG940">
            <v>3545.454545454545</v>
          </cell>
          <cell r="AH940">
            <v>354.54545454545496</v>
          </cell>
          <cell r="AI940">
            <v>3900</v>
          </cell>
          <cell r="AK940">
            <v>2086.363636363636</v>
          </cell>
        </row>
        <row r="941">
          <cell r="H941">
            <v>71995794549</v>
          </cell>
          <cell r="I941">
            <v>13362049</v>
          </cell>
          <cell r="J941">
            <v>1</v>
          </cell>
          <cell r="K941" t="str">
            <v>-</v>
          </cell>
          <cell r="L941">
            <v>35500</v>
          </cell>
          <cell r="M941">
            <v>35500</v>
          </cell>
          <cell r="N941">
            <v>35500</v>
          </cell>
          <cell r="O941">
            <v>35500</v>
          </cell>
          <cell r="Q941">
            <v>35500</v>
          </cell>
          <cell r="R941">
            <v>71995794549</v>
          </cell>
          <cell r="S941" t="str">
            <v>이영윤BM</v>
          </cell>
          <cell r="V941">
            <v>49000</v>
          </cell>
          <cell r="W941" t="str">
            <v>https://smartstore.naver.com/psglobal1/products/10308179642</v>
          </cell>
          <cell r="Y941" t="str">
            <v>뉴클 무선 멀티 UV-C 살균 소독기</v>
          </cell>
          <cell r="AB941" t="str">
            <v>coupang.com/vp/products/2322541538?itemId=4011581989&amp;vendorItemId=71995794549</v>
          </cell>
          <cell r="AC941">
            <v>29999.999999999996</v>
          </cell>
          <cell r="AD941">
            <v>3000</v>
          </cell>
          <cell r="AE941">
            <v>33000</v>
          </cell>
          <cell r="AG941">
            <v>37272.727272727272</v>
          </cell>
          <cell r="AH941">
            <v>3727.2727272727279</v>
          </cell>
          <cell r="AI941">
            <v>41000</v>
          </cell>
          <cell r="AK941">
            <v>7272.7272727272757</v>
          </cell>
        </row>
        <row r="942">
          <cell r="H942">
            <v>84112014366</v>
          </cell>
          <cell r="I942">
            <v>30662439</v>
          </cell>
          <cell r="J942" t="str">
            <v/>
          </cell>
          <cell r="K942" t="str">
            <v>-</v>
          </cell>
          <cell r="L942">
            <v>10900</v>
          </cell>
          <cell r="M942">
            <v>10900</v>
          </cell>
          <cell r="N942">
            <v>10900</v>
          </cell>
          <cell r="O942">
            <v>10900</v>
          </cell>
          <cell r="Q942">
            <v>10900</v>
          </cell>
          <cell r="R942">
            <v>84112014366</v>
          </cell>
          <cell r="S942" t="str">
            <v>윤혜주BM</v>
          </cell>
          <cell r="V942">
            <v>10900</v>
          </cell>
          <cell r="W942" t="str">
            <v>https://smartstore.naver.com/psglobal1/products/10439317639</v>
          </cell>
          <cell r="Y942" t="str">
            <v>뉴클 2.1A USB 2포트 5핀(1M케이블 포함) 가정용 충전기 3개</v>
          </cell>
          <cell r="AB942" t="str">
            <v>coupang.com/vp/products/6958862289?itemId=16934354743&amp;vendorItemId=84112014366</v>
          </cell>
          <cell r="AC942">
            <v>4150</v>
          </cell>
          <cell r="AD942">
            <v>415</v>
          </cell>
          <cell r="AE942">
            <v>4565</v>
          </cell>
          <cell r="AG942">
            <v>7449.9999999999991</v>
          </cell>
          <cell r="AH942">
            <v>745.00000000000091</v>
          </cell>
          <cell r="AI942">
            <v>8195</v>
          </cell>
          <cell r="AK942">
            <v>3299.9999999999991</v>
          </cell>
        </row>
        <row r="943">
          <cell r="H943">
            <v>84112014386</v>
          </cell>
          <cell r="I943">
            <v>30662442</v>
          </cell>
          <cell r="J943" t="str">
            <v/>
          </cell>
          <cell r="K943" t="str">
            <v>-</v>
          </cell>
          <cell r="L943">
            <v>8900</v>
          </cell>
          <cell r="M943">
            <v>8900</v>
          </cell>
          <cell r="N943">
            <v>8900</v>
          </cell>
          <cell r="O943">
            <v>8900</v>
          </cell>
          <cell r="Q943">
            <v>8900</v>
          </cell>
          <cell r="R943">
            <v>84112014386</v>
          </cell>
          <cell r="S943" t="str">
            <v>윤혜주BM</v>
          </cell>
          <cell r="V943">
            <v>8900</v>
          </cell>
          <cell r="W943" t="str">
            <v>https://smartstore.naver.com/psglobal1/products/10439327315</v>
          </cell>
          <cell r="Y943" t="str">
            <v>뉴클 2.1A USB 2포트 5핀(1M케이블 포함) 가정용 충전기 2개</v>
          </cell>
          <cell r="AB943" t="str">
            <v>coupang.com/vp/products/6958862289?itemId=16934354752&amp;vendorItemId=84112014386</v>
          </cell>
          <cell r="AC943">
            <v>2600</v>
          </cell>
          <cell r="AD943">
            <v>260</v>
          </cell>
          <cell r="AE943">
            <v>2860</v>
          </cell>
          <cell r="AG943">
            <v>6450.9090909090901</v>
          </cell>
          <cell r="AH943">
            <v>645.09090909090992</v>
          </cell>
          <cell r="AI943">
            <v>7096</v>
          </cell>
          <cell r="AK943">
            <v>3850.9090909090901</v>
          </cell>
        </row>
        <row r="944">
          <cell r="H944">
            <v>79104532916</v>
          </cell>
          <cell r="I944">
            <v>19350783</v>
          </cell>
          <cell r="J944" t="str">
            <v/>
          </cell>
          <cell r="K944" t="str">
            <v>-</v>
          </cell>
          <cell r="L944">
            <v>25250</v>
          </cell>
          <cell r="M944">
            <v>25250</v>
          </cell>
          <cell r="N944">
            <v>25250</v>
          </cell>
          <cell r="O944">
            <v>25250</v>
          </cell>
          <cell r="Q944">
            <v>25250</v>
          </cell>
          <cell r="R944">
            <v>79104532916</v>
          </cell>
          <cell r="S944" t="str">
            <v>최성희BM</v>
          </cell>
          <cell r="V944" t="str">
            <v>미등록</v>
          </cell>
          <cell r="Y944" t="str">
            <v>슈틸루스터 홈쿸 스테인레스 조리도구세트</v>
          </cell>
          <cell r="AB944" t="str">
            <v>coupang.com/vp/products/6146324495?itemId=11831098936&amp;vendorItemId=79104532916</v>
          </cell>
          <cell r="AC944">
            <v>16249.999999999998</v>
          </cell>
          <cell r="AD944">
            <v>1625</v>
          </cell>
          <cell r="AE944">
            <v>17875</v>
          </cell>
          <cell r="AG944">
            <v>24999.999999999996</v>
          </cell>
          <cell r="AH944">
            <v>2500.0000000000036</v>
          </cell>
          <cell r="AI944">
            <v>27500</v>
          </cell>
          <cell r="AK944">
            <v>8749.9999999999982</v>
          </cell>
        </row>
        <row r="945">
          <cell r="H945">
            <v>79095180756</v>
          </cell>
          <cell r="I945">
            <v>19320439</v>
          </cell>
          <cell r="J945" t="str">
            <v/>
          </cell>
          <cell r="K945" t="str">
            <v>-</v>
          </cell>
          <cell r="L945">
            <v>25400</v>
          </cell>
          <cell r="M945">
            <v>25400</v>
          </cell>
          <cell r="N945">
            <v>25710</v>
          </cell>
          <cell r="O945">
            <v>25710</v>
          </cell>
          <cell r="Q945">
            <v>26810</v>
          </cell>
          <cell r="R945">
            <v>79095180756</v>
          </cell>
          <cell r="S945" t="str">
            <v>최성희BM</v>
          </cell>
          <cell r="V945" t="str">
            <v>미등록</v>
          </cell>
          <cell r="Y945" t="str">
            <v>슈틸루스터 홈쿡 실리콘 조리도구세트</v>
          </cell>
          <cell r="AB945" t="str">
            <v>coupang.com/vp/products/6145379043?itemId=11821708335&amp;vendorItemId=79095180756</v>
          </cell>
          <cell r="AC945">
            <v>13886.363636363636</v>
          </cell>
          <cell r="AD945">
            <v>1388.6363636363637</v>
          </cell>
          <cell r="AE945">
            <v>15275</v>
          </cell>
          <cell r="AG945">
            <v>21363.63636363636</v>
          </cell>
          <cell r="AH945">
            <v>2136.3636363636397</v>
          </cell>
          <cell r="AI945">
            <v>23500</v>
          </cell>
          <cell r="AK945">
            <v>7477.2727272727243</v>
          </cell>
        </row>
        <row r="946">
          <cell r="H946">
            <v>72358456771</v>
          </cell>
          <cell r="I946">
            <v>13542224</v>
          </cell>
          <cell r="J946" t="str">
            <v/>
          </cell>
          <cell r="K946">
            <v>230</v>
          </cell>
          <cell r="L946">
            <v>63000</v>
          </cell>
          <cell r="M946">
            <v>63000</v>
          </cell>
          <cell r="N946">
            <v>45000</v>
          </cell>
          <cell r="O946">
            <v>84900</v>
          </cell>
          <cell r="Q946">
            <v>63000</v>
          </cell>
          <cell r="R946">
            <v>72358456771</v>
          </cell>
          <cell r="S946" t="str">
            <v>강지은BM</v>
          </cell>
          <cell r="V946">
            <v>79000</v>
          </cell>
          <cell r="W946" t="str">
            <v>https://smartstore.naver.com/psglobal1/products/10286544928</v>
          </cell>
          <cell r="X946" t="str">
            <v>라우쉬</v>
          </cell>
          <cell r="Y946" t="str">
            <v>라우쉬 스팀팩 마사지건 BLDC 진동안마기 다크그레이, LSMS-G7000G</v>
          </cell>
          <cell r="AB946" t="str">
            <v>coupang.com/vp/products/4328394775?itemId=5048724620&amp;vendorItemId=72358456771</v>
          </cell>
          <cell r="AC946">
            <v>29999.999999999996</v>
          </cell>
          <cell r="AD946">
            <v>3000</v>
          </cell>
          <cell r="AE946">
            <v>33000</v>
          </cell>
          <cell r="AG946">
            <v>35181.818181818177</v>
          </cell>
          <cell r="AH946">
            <v>3518.1818181818235</v>
          </cell>
          <cell r="AI946">
            <v>38700</v>
          </cell>
          <cell r="AK946">
            <v>5181.8181818181802</v>
          </cell>
        </row>
        <row r="947">
          <cell r="H947">
            <v>72358457072</v>
          </cell>
          <cell r="I947">
            <v>13542225</v>
          </cell>
          <cell r="J947">
            <v>0</v>
          </cell>
          <cell r="K947">
            <v>230</v>
          </cell>
          <cell r="L947">
            <v>49000</v>
          </cell>
          <cell r="M947">
            <v>49000</v>
          </cell>
          <cell r="N947">
            <v>45000</v>
          </cell>
          <cell r="O947">
            <v>84900</v>
          </cell>
          <cell r="Q947">
            <v>49000</v>
          </cell>
          <cell r="R947">
            <v>72358457072</v>
          </cell>
          <cell r="S947" t="str">
            <v>강지은BM</v>
          </cell>
          <cell r="V947">
            <v>79000</v>
          </cell>
          <cell r="W947" t="str">
            <v>https://smartstore.naver.com/psglobal1/products/10286544928</v>
          </cell>
          <cell r="X947" t="str">
            <v>라우쉬</v>
          </cell>
          <cell r="Y947" t="str">
            <v>라우쉬 스팀팩 마사지건 BLDC 진동안마기 화이트, LSMS-G7000W</v>
          </cell>
          <cell r="AB947" t="str">
            <v>coupang.com/vp/products/4328394775?itemId=5048725325&amp;vendorItemId=72358457072</v>
          </cell>
          <cell r="AC947">
            <v>29999.999999999996</v>
          </cell>
          <cell r="AD947">
            <v>3000</v>
          </cell>
          <cell r="AE947">
            <v>33000</v>
          </cell>
          <cell r="AG947">
            <v>39090.909090909088</v>
          </cell>
          <cell r="AH947">
            <v>3909.0909090909117</v>
          </cell>
          <cell r="AI947">
            <v>43000</v>
          </cell>
          <cell r="AK947">
            <v>9090.9090909090919</v>
          </cell>
        </row>
        <row r="948">
          <cell r="H948">
            <v>91328800936</v>
          </cell>
          <cell r="I948">
            <v>36967680</v>
          </cell>
          <cell r="J948" t="str">
            <v/>
          </cell>
          <cell r="K948">
            <v>20</v>
          </cell>
          <cell r="L948">
            <v>49000</v>
          </cell>
          <cell r="M948">
            <v>49000</v>
          </cell>
          <cell r="N948">
            <v>20900</v>
          </cell>
          <cell r="O948">
            <v>28900</v>
          </cell>
          <cell r="Q948">
            <v>49000</v>
          </cell>
          <cell r="R948">
            <v>91328800936</v>
          </cell>
          <cell r="S948" t="str">
            <v>송치광BM</v>
          </cell>
          <cell r="V948">
            <v>29000</v>
          </cell>
          <cell r="W948" t="str">
            <v>https://smartstore.naver.com/psglobal1/products/10830235838</v>
          </cell>
          <cell r="X948" t="str">
            <v>반디</v>
          </cell>
          <cell r="Y948" t="str">
            <v>퀸나 데일리 클래식 멀티 포트 / QNMP-N7000B(블랙)</v>
          </cell>
          <cell r="AB948" t="str">
            <v>coupang.com/vp/products/8409238793?itemId=24312965897&amp;vendorItemId=91328800936</v>
          </cell>
          <cell r="AC948">
            <v>10000</v>
          </cell>
          <cell r="AD948">
            <v>1000</v>
          </cell>
          <cell r="AE948">
            <v>11000</v>
          </cell>
          <cell r="AG948">
            <v>19954.545454545452</v>
          </cell>
          <cell r="AH948">
            <v>1995.4545454545478</v>
          </cell>
          <cell r="AI948">
            <v>21950</v>
          </cell>
          <cell r="AK948">
            <v>9954.5454545454522</v>
          </cell>
        </row>
        <row r="949">
          <cell r="H949">
            <v>73230969292</v>
          </cell>
          <cell r="I949">
            <v>14068391</v>
          </cell>
          <cell r="J949" t="str">
            <v/>
          </cell>
          <cell r="K949">
            <v>139</v>
          </cell>
          <cell r="L949">
            <v>301000</v>
          </cell>
          <cell r="M949">
            <v>301000</v>
          </cell>
          <cell r="N949">
            <v>271900</v>
          </cell>
          <cell r="O949">
            <v>299000</v>
          </cell>
          <cell r="Q949">
            <v>301000</v>
          </cell>
          <cell r="R949">
            <v>73230969292</v>
          </cell>
          <cell r="S949" t="str">
            <v>송치광BM</v>
          </cell>
          <cell r="V949" t="str">
            <v>미등록</v>
          </cell>
          <cell r="W949" t="str">
            <v>미등록</v>
          </cell>
          <cell r="X949" t="str">
            <v>한샘</v>
          </cell>
          <cell r="Y949" t="str">
            <v>한샘 마이쿡 듀얼인덕션</v>
          </cell>
          <cell r="AB949" t="str">
            <v>coupang.com/vp/products/4705969589?itemId=5932980254&amp;vendorItemId=73230969292</v>
          </cell>
          <cell r="AC949">
            <v>93649.999999999985</v>
          </cell>
          <cell r="AD949">
            <v>9364.9999999999982</v>
          </cell>
          <cell r="AE949">
            <v>103015</v>
          </cell>
          <cell r="AG949">
            <v>136363.63636363635</v>
          </cell>
          <cell r="AH949">
            <v>13636.363636363647</v>
          </cell>
          <cell r="AI949">
            <v>150000</v>
          </cell>
          <cell r="AK949">
            <v>42713.636363636368</v>
          </cell>
        </row>
        <row r="950">
          <cell r="H950">
            <v>92765243819</v>
          </cell>
          <cell r="I950">
            <v>61313814</v>
          </cell>
          <cell r="J950" t="str">
            <v/>
          </cell>
          <cell r="K950" t="str">
            <v>-</v>
          </cell>
          <cell r="L950">
            <v>15900</v>
          </cell>
          <cell r="M950">
            <v>15900</v>
          </cell>
          <cell r="O950">
            <v>15900</v>
          </cell>
          <cell r="Q950">
            <v>15900</v>
          </cell>
          <cell r="R950">
            <v>92765243819</v>
          </cell>
          <cell r="X950" t="str">
            <v>뉴클 필름_엣지</v>
          </cell>
          <cell r="Y950" t="str">
            <v>뉴클 베이시스 글라스틱 강화 9H 고경도 필름 2매 갤럭시S25 엣지</v>
          </cell>
          <cell r="AC950">
            <v>4272.7272727272721</v>
          </cell>
          <cell r="AD950">
            <v>427.27272727272725</v>
          </cell>
          <cell r="AE950">
            <v>4700</v>
          </cell>
          <cell r="AG950">
            <v>8545.4545454545441</v>
          </cell>
          <cell r="AH950">
            <v>854.54545454545587</v>
          </cell>
          <cell r="AI950">
            <v>9400</v>
          </cell>
          <cell r="AK950">
            <v>4272.7272727272721</v>
          </cell>
        </row>
        <row r="951">
          <cell r="H951">
            <v>92765243820</v>
          </cell>
          <cell r="I951">
            <v>61313816</v>
          </cell>
          <cell r="J951" t="str">
            <v/>
          </cell>
          <cell r="K951" t="str">
            <v>-</v>
          </cell>
          <cell r="L951">
            <v>15900</v>
          </cell>
          <cell r="M951">
            <v>15900</v>
          </cell>
          <cell r="O951">
            <v>15900</v>
          </cell>
          <cell r="Q951">
            <v>15900</v>
          </cell>
          <cell r="R951">
            <v>92765243820</v>
          </cell>
          <cell r="X951" t="str">
            <v>뉴클 필름_엣지</v>
          </cell>
          <cell r="Y951" t="str">
            <v>뉴클 베이시스 자가복원 사생활 보호필름 유광 2매 갤럭시S25 엣지</v>
          </cell>
          <cell r="AC951">
            <v>4272.7272727272721</v>
          </cell>
          <cell r="AD951">
            <v>427.27272727272725</v>
          </cell>
          <cell r="AE951">
            <v>4700</v>
          </cell>
          <cell r="AG951">
            <v>8545.4545454545441</v>
          </cell>
          <cell r="AH951">
            <v>854.54545454545587</v>
          </cell>
          <cell r="AI951">
            <v>9400</v>
          </cell>
          <cell r="AK951">
            <v>4272.7272727272721</v>
          </cell>
        </row>
        <row r="952">
          <cell r="H952">
            <v>92765243818</v>
          </cell>
          <cell r="I952">
            <v>61313817</v>
          </cell>
          <cell r="J952">
            <v>0</v>
          </cell>
          <cell r="K952" t="str">
            <v>-</v>
          </cell>
          <cell r="L952">
            <v>10900</v>
          </cell>
          <cell r="M952">
            <v>10900</v>
          </cell>
          <cell r="O952">
            <v>10900</v>
          </cell>
          <cell r="Q952">
            <v>10900</v>
          </cell>
          <cell r="R952">
            <v>92765243818</v>
          </cell>
          <cell r="X952" t="str">
            <v>뉴클 필름_엣지</v>
          </cell>
          <cell r="Y952" t="str">
            <v>뉴클 베이시스 자가복원 우레탄 보호필름 3매 갤럭시S25 엣지</v>
          </cell>
          <cell r="AC952">
            <v>2090.9090909090905</v>
          </cell>
          <cell r="AD952">
            <v>209.09090909090907</v>
          </cell>
          <cell r="AE952">
            <v>2300</v>
          </cell>
          <cell r="AG952">
            <v>5818.181818181818</v>
          </cell>
          <cell r="AH952">
            <v>581.81818181818198</v>
          </cell>
          <cell r="AI952">
            <v>6400</v>
          </cell>
          <cell r="AK952">
            <v>3727.2727272727275</v>
          </cell>
        </row>
        <row r="953">
          <cell r="H953">
            <v>92550574641</v>
          </cell>
          <cell r="I953">
            <v>60232422</v>
          </cell>
          <cell r="J953">
            <v>5</v>
          </cell>
          <cell r="K953" t="str">
            <v>-</v>
          </cell>
          <cell r="L953">
            <v>9730</v>
          </cell>
          <cell r="M953">
            <v>9730</v>
          </cell>
          <cell r="Q953">
            <v>9900</v>
          </cell>
          <cell r="R953">
            <v>92550574641</v>
          </cell>
          <cell r="X953" t="str">
            <v>힙스터 케이스</v>
          </cell>
          <cell r="Y953" t="str">
            <v>힙스터 비비드 케이스 아이폰15 그레이</v>
          </cell>
          <cell r="AB953" t="str">
            <v>coupang.com/vp/products/8783866866?itemId=25559251823&amp;vendorItemId=92550574641</v>
          </cell>
          <cell r="AC953">
            <v>518.18181818181813</v>
          </cell>
          <cell r="AD953">
            <v>51.818181818181813</v>
          </cell>
          <cell r="AE953">
            <v>570</v>
          </cell>
          <cell r="AG953">
            <v>5400</v>
          </cell>
          <cell r="AH953">
            <v>540</v>
          </cell>
          <cell r="AI953">
            <v>5940</v>
          </cell>
          <cell r="AK953">
            <v>4881.818181818182</v>
          </cell>
        </row>
        <row r="954">
          <cell r="H954">
            <v>92550574650</v>
          </cell>
          <cell r="I954">
            <v>60232423</v>
          </cell>
          <cell r="J954">
            <v>496</v>
          </cell>
          <cell r="K954" t="str">
            <v>-</v>
          </cell>
          <cell r="L954">
            <v>9730</v>
          </cell>
          <cell r="M954">
            <v>9730</v>
          </cell>
          <cell r="Q954">
            <v>9900</v>
          </cell>
          <cell r="R954">
            <v>92550574650</v>
          </cell>
          <cell r="X954" t="str">
            <v>힙스터 케이스</v>
          </cell>
          <cell r="Y954" t="str">
            <v>힙스터 비비드 케이스 아이폰15 그린</v>
          </cell>
          <cell r="AB954" t="str">
            <v>coupang.com/vp/products/8783866866?itemId=25559251825&amp;vendorItemId=92550574650</v>
          </cell>
          <cell r="AC954">
            <v>518.18181818181813</v>
          </cell>
          <cell r="AD954">
            <v>51.818181818181813</v>
          </cell>
          <cell r="AE954">
            <v>570</v>
          </cell>
          <cell r="AG954">
            <v>5400</v>
          </cell>
          <cell r="AH954">
            <v>540</v>
          </cell>
          <cell r="AI954">
            <v>5940</v>
          </cell>
          <cell r="AK954">
            <v>4881.818181818182</v>
          </cell>
        </row>
        <row r="955">
          <cell r="H955">
            <v>92550574659</v>
          </cell>
          <cell r="I955">
            <v>60232424</v>
          </cell>
          <cell r="J955">
            <v>10</v>
          </cell>
          <cell r="K955" t="str">
            <v>-</v>
          </cell>
          <cell r="L955">
            <v>9730</v>
          </cell>
          <cell r="M955">
            <v>9730</v>
          </cell>
          <cell r="Q955">
            <v>9900</v>
          </cell>
          <cell r="R955">
            <v>92550574659</v>
          </cell>
          <cell r="X955" t="str">
            <v>힙스터 케이스</v>
          </cell>
          <cell r="Y955" t="str">
            <v>힙스터 비비드 케이스 아이폰15 레드</v>
          </cell>
          <cell r="AB955" t="str">
            <v>coupang.com/vp/products/8783866866?itemId=25559251828&amp;vendorItemId=92550574659</v>
          </cell>
          <cell r="AC955">
            <v>518.18181818181813</v>
          </cell>
          <cell r="AD955">
            <v>51.818181818181813</v>
          </cell>
          <cell r="AE955">
            <v>570</v>
          </cell>
          <cell r="AG955">
            <v>5400</v>
          </cell>
          <cell r="AH955">
            <v>540</v>
          </cell>
          <cell r="AI955">
            <v>5940</v>
          </cell>
          <cell r="AK955">
            <v>4881.818181818182</v>
          </cell>
        </row>
        <row r="956">
          <cell r="H956">
            <v>92550574667</v>
          </cell>
          <cell r="I956">
            <v>60232425</v>
          </cell>
          <cell r="J956">
            <v>3</v>
          </cell>
          <cell r="K956" t="str">
            <v>-</v>
          </cell>
          <cell r="L956">
            <v>9730</v>
          </cell>
          <cell r="M956">
            <v>9730</v>
          </cell>
          <cell r="Q956">
            <v>9900</v>
          </cell>
          <cell r="R956">
            <v>92550574667</v>
          </cell>
          <cell r="X956" t="str">
            <v>힙스터 케이스</v>
          </cell>
          <cell r="Y956" t="str">
            <v>힙스터 비비드 케이스 아이폰15 블랙</v>
          </cell>
          <cell r="AB956" t="str">
            <v>coupang.com/vp/products/8783866866?itemId=25559251830&amp;vendorItemId=92550574667</v>
          </cell>
          <cell r="AC956">
            <v>518.18181818181813</v>
          </cell>
          <cell r="AD956">
            <v>51.818181818181813</v>
          </cell>
          <cell r="AE956">
            <v>570</v>
          </cell>
          <cell r="AG956">
            <v>5400</v>
          </cell>
          <cell r="AH956">
            <v>540</v>
          </cell>
          <cell r="AI956">
            <v>5940</v>
          </cell>
          <cell r="AK956">
            <v>4881.818181818182</v>
          </cell>
        </row>
        <row r="957">
          <cell r="H957">
            <v>92550574683</v>
          </cell>
          <cell r="I957">
            <v>60232426</v>
          </cell>
          <cell r="J957" t="str">
            <v/>
          </cell>
          <cell r="K957" t="str">
            <v>-</v>
          </cell>
          <cell r="L957">
            <v>9730</v>
          </cell>
          <cell r="M957">
            <v>9730</v>
          </cell>
          <cell r="Q957">
            <v>9900</v>
          </cell>
          <cell r="R957">
            <v>92550574683</v>
          </cell>
          <cell r="X957" t="str">
            <v>힙스터 케이스</v>
          </cell>
          <cell r="Y957" t="str">
            <v>힙스터 비비드 케이스 아이폰15 옐로우</v>
          </cell>
          <cell r="AB957" t="str">
            <v>coupang.com/vp/products/8783866866?itemId=25559251831&amp;vendorItemId=92550574683</v>
          </cell>
          <cell r="AC957">
            <v>518.18181818181813</v>
          </cell>
          <cell r="AD957">
            <v>51.818181818181813</v>
          </cell>
          <cell r="AE957">
            <v>570</v>
          </cell>
          <cell r="AG957">
            <v>5400</v>
          </cell>
          <cell r="AH957">
            <v>540</v>
          </cell>
          <cell r="AI957">
            <v>5940</v>
          </cell>
          <cell r="AK957">
            <v>4881.818181818182</v>
          </cell>
        </row>
        <row r="958">
          <cell r="H958">
            <v>92550574694</v>
          </cell>
          <cell r="I958">
            <v>60232427</v>
          </cell>
          <cell r="J958">
            <v>496</v>
          </cell>
          <cell r="K958" t="str">
            <v>-</v>
          </cell>
          <cell r="L958">
            <v>9730</v>
          </cell>
          <cell r="M958">
            <v>9730</v>
          </cell>
          <cell r="Q958">
            <v>9900</v>
          </cell>
          <cell r="R958">
            <v>92550574694</v>
          </cell>
          <cell r="X958" t="str">
            <v>힙스터 케이스</v>
          </cell>
          <cell r="Y958" t="str">
            <v>힙스터 비비드 케이스 아이폰15 투명</v>
          </cell>
          <cell r="AB958" t="str">
            <v>coupang.com/vp/products/8790397201?itemId=25584676808&amp;vendorItemId=92550574694</v>
          </cell>
          <cell r="AC958">
            <v>518.18181818181813</v>
          </cell>
          <cell r="AD958">
            <v>51.818181818181813</v>
          </cell>
          <cell r="AE958">
            <v>570</v>
          </cell>
          <cell r="AG958">
            <v>5400</v>
          </cell>
          <cell r="AH958">
            <v>540</v>
          </cell>
          <cell r="AI958">
            <v>5940</v>
          </cell>
          <cell r="AK958">
            <v>4881.818181818182</v>
          </cell>
        </row>
        <row r="959">
          <cell r="H959">
            <v>92550574778</v>
          </cell>
          <cell r="I959">
            <v>60232436</v>
          </cell>
          <cell r="J959">
            <v>6</v>
          </cell>
          <cell r="K959" t="str">
            <v>-</v>
          </cell>
          <cell r="L959">
            <v>9730</v>
          </cell>
          <cell r="M959">
            <v>9730</v>
          </cell>
          <cell r="Q959">
            <v>9900</v>
          </cell>
          <cell r="R959">
            <v>92550574778</v>
          </cell>
          <cell r="X959" t="str">
            <v>힙스터 케이스</v>
          </cell>
          <cell r="Y959" t="str">
            <v>힙스터 비비드 케이스 아이폰15 프로 그레이</v>
          </cell>
          <cell r="AB959" t="str">
            <v>coupang.com/vp/products/8783866866?itemId=25559251863&amp;vendorItemId=92550574778</v>
          </cell>
          <cell r="AC959">
            <v>518.18181818181813</v>
          </cell>
          <cell r="AD959">
            <v>51.818181818181813</v>
          </cell>
          <cell r="AE959">
            <v>570</v>
          </cell>
          <cell r="AG959">
            <v>5400</v>
          </cell>
          <cell r="AH959">
            <v>540</v>
          </cell>
          <cell r="AI959">
            <v>5940</v>
          </cell>
          <cell r="AK959">
            <v>4881.818181818182</v>
          </cell>
        </row>
        <row r="960">
          <cell r="H960">
            <v>92550574783</v>
          </cell>
          <cell r="I960">
            <v>60232437</v>
          </cell>
          <cell r="J960">
            <v>496</v>
          </cell>
          <cell r="K960" t="str">
            <v>-</v>
          </cell>
          <cell r="L960">
            <v>9730</v>
          </cell>
          <cell r="M960">
            <v>9730</v>
          </cell>
          <cell r="Q960">
            <v>9900</v>
          </cell>
          <cell r="R960">
            <v>92550574783</v>
          </cell>
          <cell r="X960" t="str">
            <v>힙스터 케이스</v>
          </cell>
          <cell r="Y960" t="str">
            <v>힙스터 비비드 케이스 아이폰15 프로 그린</v>
          </cell>
          <cell r="AB960" t="str">
            <v>coupang.com/vp/products/8783866866?itemId=25559251866&amp;vendorItemId=92550574783</v>
          </cell>
          <cell r="AC960">
            <v>518.18181818181813</v>
          </cell>
          <cell r="AD960">
            <v>51.818181818181813</v>
          </cell>
          <cell r="AE960">
            <v>570</v>
          </cell>
          <cell r="AG960">
            <v>5400</v>
          </cell>
          <cell r="AH960">
            <v>540</v>
          </cell>
          <cell r="AI960">
            <v>5940</v>
          </cell>
          <cell r="AK960">
            <v>4881.818181818182</v>
          </cell>
        </row>
        <row r="961">
          <cell r="H961">
            <v>92550574790</v>
          </cell>
          <cell r="I961">
            <v>60232438</v>
          </cell>
          <cell r="J961" t="str">
            <v/>
          </cell>
          <cell r="K961" t="str">
            <v>-</v>
          </cell>
          <cell r="L961">
            <v>9730</v>
          </cell>
          <cell r="M961">
            <v>9730</v>
          </cell>
          <cell r="Q961">
            <v>9900</v>
          </cell>
          <cell r="R961">
            <v>92550574790</v>
          </cell>
          <cell r="X961" t="str">
            <v>힙스터 케이스</v>
          </cell>
          <cell r="Y961" t="str">
            <v>힙스터 비비드 케이스 아이폰15 프로 레드</v>
          </cell>
          <cell r="AB961" t="str">
            <v>coupang.com/vp/products/8783866866?itemId=25559251871&amp;vendorItemId=92550574790</v>
          </cell>
          <cell r="AC961">
            <v>518.18181818181813</v>
          </cell>
          <cell r="AD961">
            <v>51.818181818181813</v>
          </cell>
          <cell r="AE961">
            <v>570</v>
          </cell>
          <cell r="AG961">
            <v>5400</v>
          </cell>
          <cell r="AH961">
            <v>540</v>
          </cell>
          <cell r="AI961">
            <v>5940</v>
          </cell>
          <cell r="AK961">
            <v>4881.818181818182</v>
          </cell>
        </row>
        <row r="962">
          <cell r="H962">
            <v>92550574802</v>
          </cell>
          <cell r="I962">
            <v>60232439</v>
          </cell>
          <cell r="J962">
            <v>3</v>
          </cell>
          <cell r="K962" t="str">
            <v>-</v>
          </cell>
          <cell r="L962">
            <v>9730</v>
          </cell>
          <cell r="M962">
            <v>9730</v>
          </cell>
          <cell r="Q962">
            <v>9900</v>
          </cell>
          <cell r="R962">
            <v>92550574802</v>
          </cell>
          <cell r="X962" t="str">
            <v>힙스터 케이스</v>
          </cell>
          <cell r="Y962" t="str">
            <v>힙스터 비비드 케이스 아이폰15 프로 블랙</v>
          </cell>
          <cell r="AB962" t="str">
            <v>coupang.com/vp/products/8783866866?itemId=25559251873&amp;vendorItemId=92550574802</v>
          </cell>
          <cell r="AC962">
            <v>518.18181818181813</v>
          </cell>
          <cell r="AD962">
            <v>51.818181818181813</v>
          </cell>
          <cell r="AE962">
            <v>570</v>
          </cell>
          <cell r="AG962">
            <v>5400</v>
          </cell>
          <cell r="AH962">
            <v>540</v>
          </cell>
          <cell r="AI962">
            <v>5940</v>
          </cell>
          <cell r="AK962">
            <v>4881.818181818182</v>
          </cell>
        </row>
        <row r="963">
          <cell r="H963">
            <v>92550574806</v>
          </cell>
          <cell r="I963">
            <v>60232440</v>
          </cell>
          <cell r="J963">
            <v>6</v>
          </cell>
          <cell r="K963" t="str">
            <v>-</v>
          </cell>
          <cell r="L963">
            <v>9730</v>
          </cell>
          <cell r="M963">
            <v>9730</v>
          </cell>
          <cell r="Q963">
            <v>9900</v>
          </cell>
          <cell r="R963">
            <v>92550574806</v>
          </cell>
          <cell r="X963" t="str">
            <v>힙스터 케이스</v>
          </cell>
          <cell r="Y963" t="str">
            <v>힙스터 비비드 케이스 아이폰15 프로 옐로우</v>
          </cell>
          <cell r="AB963" t="str">
            <v>coupang.com/vp/products/8783866866?itemId=25559251876&amp;vendorItemId=92550574806</v>
          </cell>
          <cell r="AC963">
            <v>518.18181818181813</v>
          </cell>
          <cell r="AD963">
            <v>51.818181818181813</v>
          </cell>
          <cell r="AE963">
            <v>570</v>
          </cell>
          <cell r="AG963">
            <v>5400</v>
          </cell>
          <cell r="AH963">
            <v>540</v>
          </cell>
          <cell r="AI963">
            <v>5940</v>
          </cell>
          <cell r="AK963">
            <v>4881.818181818182</v>
          </cell>
        </row>
        <row r="964">
          <cell r="H964">
            <v>92550574812</v>
          </cell>
          <cell r="I964">
            <v>60232441</v>
          </cell>
          <cell r="J964">
            <v>496</v>
          </cell>
          <cell r="K964" t="str">
            <v>-</v>
          </cell>
          <cell r="L964">
            <v>9730</v>
          </cell>
          <cell r="M964">
            <v>9730</v>
          </cell>
          <cell r="Q964">
            <v>9900</v>
          </cell>
          <cell r="R964">
            <v>92550574812</v>
          </cell>
          <cell r="X964" t="str">
            <v>힙스터 케이스</v>
          </cell>
          <cell r="Y964" t="str">
            <v>힙스터 비비드 케이스 아이폰15 프로 투명</v>
          </cell>
          <cell r="AB964" t="str">
            <v>coupang.com/vp/products/8783866866?itemId=25559251882&amp;vendorItemId=92550574812</v>
          </cell>
          <cell r="AC964">
            <v>518.18181818181813</v>
          </cell>
          <cell r="AD964">
            <v>51.818181818181813</v>
          </cell>
          <cell r="AE964">
            <v>570</v>
          </cell>
          <cell r="AG964">
            <v>5400</v>
          </cell>
          <cell r="AH964">
            <v>540</v>
          </cell>
          <cell r="AI964">
            <v>5940</v>
          </cell>
          <cell r="AK964">
            <v>4881.818181818182</v>
          </cell>
        </row>
        <row r="965">
          <cell r="H965">
            <v>92550574817</v>
          </cell>
          <cell r="I965">
            <v>60232442</v>
          </cell>
          <cell r="J965">
            <v>43</v>
          </cell>
          <cell r="K965" t="str">
            <v>-</v>
          </cell>
          <cell r="L965">
            <v>9730</v>
          </cell>
          <cell r="M965">
            <v>9730</v>
          </cell>
          <cell r="Q965">
            <v>9900</v>
          </cell>
          <cell r="R965">
            <v>92550574817</v>
          </cell>
          <cell r="X965" t="str">
            <v>힙스터 케이스</v>
          </cell>
          <cell r="Y965" t="str">
            <v>힙스터 비비드 케이스 아이폰15 프로 핑크</v>
          </cell>
          <cell r="AB965" t="str">
            <v>coupang.com/vp/products/8783866866?itemId=25559251896&amp;vendorItemId=92550574817</v>
          </cell>
          <cell r="AC965">
            <v>518.18181818181813</v>
          </cell>
          <cell r="AD965">
            <v>51.818181818181813</v>
          </cell>
          <cell r="AE965">
            <v>570</v>
          </cell>
          <cell r="AG965">
            <v>5400</v>
          </cell>
          <cell r="AH965">
            <v>540</v>
          </cell>
          <cell r="AI965">
            <v>5940</v>
          </cell>
          <cell r="AK965">
            <v>4881.818181818182</v>
          </cell>
        </row>
        <row r="966">
          <cell r="H966">
            <v>92550574826</v>
          </cell>
          <cell r="I966">
            <v>60232443</v>
          </cell>
          <cell r="J966">
            <v>303</v>
          </cell>
          <cell r="K966" t="str">
            <v>-</v>
          </cell>
          <cell r="L966">
            <v>9730</v>
          </cell>
          <cell r="M966">
            <v>9730</v>
          </cell>
          <cell r="Q966">
            <v>9900</v>
          </cell>
          <cell r="R966">
            <v>92550574826</v>
          </cell>
          <cell r="X966" t="str">
            <v>힙스터 케이스</v>
          </cell>
          <cell r="Y966" t="str">
            <v>힙스터 비비드 케이스 아이폰15 프로맥스 그레이</v>
          </cell>
          <cell r="AB966" t="str">
            <v>coupang.com/vp/products/8783866866?itemId=25559251900&amp;vendorItemId=92550574826</v>
          </cell>
          <cell r="AC966">
            <v>518.18181818181813</v>
          </cell>
          <cell r="AD966">
            <v>51.818181818181813</v>
          </cell>
          <cell r="AE966">
            <v>570</v>
          </cell>
          <cell r="AG966">
            <v>5400</v>
          </cell>
          <cell r="AH966">
            <v>540</v>
          </cell>
          <cell r="AI966">
            <v>5940</v>
          </cell>
          <cell r="AK966">
            <v>4881.818181818182</v>
          </cell>
        </row>
        <row r="967">
          <cell r="H967">
            <v>92550574835</v>
          </cell>
          <cell r="I967">
            <v>60232444</v>
          </cell>
          <cell r="J967">
            <v>495</v>
          </cell>
          <cell r="K967" t="str">
            <v>-</v>
          </cell>
          <cell r="L967">
            <v>9730</v>
          </cell>
          <cell r="M967">
            <v>9730</v>
          </cell>
          <cell r="Q967">
            <v>9900</v>
          </cell>
          <cell r="R967">
            <v>92550574835</v>
          </cell>
          <cell r="X967" t="str">
            <v>힙스터 케이스</v>
          </cell>
          <cell r="Y967" t="str">
            <v>힙스터 비비드 케이스 아이폰15 프로맥스 그린</v>
          </cell>
          <cell r="AB967" t="str">
            <v>coupang.com/vp/products/8790397201?itemId=25584676714&amp;vendorItemId=92550574835</v>
          </cell>
          <cell r="AC967">
            <v>518.18181818181813</v>
          </cell>
          <cell r="AD967">
            <v>51.818181818181813</v>
          </cell>
          <cell r="AE967">
            <v>570</v>
          </cell>
          <cell r="AG967">
            <v>5400</v>
          </cell>
          <cell r="AH967">
            <v>540</v>
          </cell>
          <cell r="AI967">
            <v>5940</v>
          </cell>
          <cell r="AK967">
            <v>4881.818181818182</v>
          </cell>
        </row>
        <row r="968">
          <cell r="H968">
            <v>92550574844</v>
          </cell>
          <cell r="I968">
            <v>60232445</v>
          </cell>
          <cell r="J968">
            <v>65</v>
          </cell>
          <cell r="K968" t="str">
            <v>-</v>
          </cell>
          <cell r="L968">
            <v>9730</v>
          </cell>
          <cell r="M968">
            <v>9730</v>
          </cell>
          <cell r="Q968">
            <v>9900</v>
          </cell>
          <cell r="R968">
            <v>92550574844</v>
          </cell>
          <cell r="X968" t="str">
            <v>힙스터 케이스</v>
          </cell>
          <cell r="Y968" t="str">
            <v>힙스터 비비드 케이스 아이폰15 프로맥스 레드</v>
          </cell>
          <cell r="AB968" t="str">
            <v>coupang.com/vp/products/8783866866?itemId=25559251908&amp;vendorItemId=92550574844</v>
          </cell>
          <cell r="AC968">
            <v>518.18181818181813</v>
          </cell>
          <cell r="AD968">
            <v>51.818181818181813</v>
          </cell>
          <cell r="AE968">
            <v>570</v>
          </cell>
          <cell r="AG968">
            <v>5400</v>
          </cell>
          <cell r="AH968">
            <v>540</v>
          </cell>
          <cell r="AI968">
            <v>5940</v>
          </cell>
          <cell r="AK968">
            <v>4881.818181818182</v>
          </cell>
        </row>
        <row r="969">
          <cell r="H969">
            <v>92550574854</v>
          </cell>
          <cell r="I969">
            <v>60232446</v>
          </cell>
          <cell r="J969">
            <v>4</v>
          </cell>
          <cell r="K969" t="str">
            <v>-</v>
          </cell>
          <cell r="L969">
            <v>9730</v>
          </cell>
          <cell r="M969">
            <v>9730</v>
          </cell>
          <cell r="Q969">
            <v>9900</v>
          </cell>
          <cell r="R969">
            <v>92550574854</v>
          </cell>
          <cell r="X969" t="str">
            <v>힙스터 케이스</v>
          </cell>
          <cell r="Y969" t="str">
            <v>힙스터 비비드 케이스 아이폰15 프로맥스 블랙</v>
          </cell>
          <cell r="AB969" t="str">
            <v>coupang.com/vp/products/8783866866?itemId=25559251911&amp;vendorItemId=92550574854</v>
          </cell>
          <cell r="AC969">
            <v>518.18181818181813</v>
          </cell>
          <cell r="AD969">
            <v>51.818181818181813</v>
          </cell>
          <cell r="AE969">
            <v>570</v>
          </cell>
          <cell r="AG969">
            <v>5400</v>
          </cell>
          <cell r="AH969">
            <v>540</v>
          </cell>
          <cell r="AI969">
            <v>5940</v>
          </cell>
          <cell r="AK969">
            <v>4881.818181818182</v>
          </cell>
        </row>
        <row r="970">
          <cell r="H970">
            <v>92550574865</v>
          </cell>
          <cell r="I970">
            <v>60232447</v>
          </cell>
          <cell r="J970">
            <v>32</v>
          </cell>
          <cell r="K970" t="str">
            <v>-</v>
          </cell>
          <cell r="L970">
            <v>9730</v>
          </cell>
          <cell r="M970">
            <v>9730</v>
          </cell>
          <cell r="Q970">
            <v>9900</v>
          </cell>
          <cell r="R970">
            <v>92550574865</v>
          </cell>
          <cell r="X970" t="str">
            <v>힙스터 케이스</v>
          </cell>
          <cell r="Y970" t="str">
            <v>힙스터 비비드 케이스 아이폰15 프로맥스 옐로우</v>
          </cell>
          <cell r="AB970" t="str">
            <v>coupang.com/vp/products/8783866866?itemId=25559251915&amp;vendorItemId=92550574865</v>
          </cell>
          <cell r="AC970">
            <v>518.18181818181813</v>
          </cell>
          <cell r="AD970">
            <v>51.818181818181813</v>
          </cell>
          <cell r="AE970">
            <v>570</v>
          </cell>
          <cell r="AG970">
            <v>5400</v>
          </cell>
          <cell r="AH970">
            <v>540</v>
          </cell>
          <cell r="AI970">
            <v>5940</v>
          </cell>
          <cell r="AK970">
            <v>4881.818181818182</v>
          </cell>
        </row>
        <row r="971">
          <cell r="H971">
            <v>92550574874</v>
          </cell>
          <cell r="I971">
            <v>60232448</v>
          </cell>
          <cell r="J971">
            <v>496</v>
          </cell>
          <cell r="K971" t="str">
            <v>-</v>
          </cell>
          <cell r="L971">
            <v>9730</v>
          </cell>
          <cell r="M971">
            <v>9730</v>
          </cell>
          <cell r="Q971">
            <v>9900</v>
          </cell>
          <cell r="R971">
            <v>92550574874</v>
          </cell>
          <cell r="X971" t="str">
            <v>힙스터 케이스</v>
          </cell>
          <cell r="Y971" t="str">
            <v>힙스터 비비드 케이스 아이폰15 프로맥스 투명</v>
          </cell>
          <cell r="AB971" t="str">
            <v>coupang.com/vp/products/8783866866?itemId=25559251919&amp;vendorItemId=92550574874</v>
          </cell>
          <cell r="AC971">
            <v>518.18181818181813</v>
          </cell>
          <cell r="AD971">
            <v>51.818181818181813</v>
          </cell>
          <cell r="AE971">
            <v>570</v>
          </cell>
          <cell r="AG971">
            <v>5400</v>
          </cell>
          <cell r="AH971">
            <v>540</v>
          </cell>
          <cell r="AI971">
            <v>5940</v>
          </cell>
          <cell r="AK971">
            <v>4881.818181818182</v>
          </cell>
        </row>
        <row r="972">
          <cell r="H972">
            <v>92550574883</v>
          </cell>
          <cell r="I972">
            <v>60232449</v>
          </cell>
          <cell r="J972">
            <v>44</v>
          </cell>
          <cell r="K972" t="str">
            <v>-</v>
          </cell>
          <cell r="L972">
            <v>9730</v>
          </cell>
          <cell r="M972">
            <v>9730</v>
          </cell>
          <cell r="Q972">
            <v>9900</v>
          </cell>
          <cell r="R972">
            <v>92550574883</v>
          </cell>
          <cell r="X972" t="str">
            <v>힙스터 케이스</v>
          </cell>
          <cell r="Y972" t="str">
            <v>힙스터 비비드 케이스 아이폰15 프로맥스 핑크</v>
          </cell>
          <cell r="AB972" t="str">
            <v>coupang.com/vp/products/8783866866?itemId=25559251924&amp;vendorItemId=92550574883</v>
          </cell>
          <cell r="AC972">
            <v>518.18181818181813</v>
          </cell>
          <cell r="AD972">
            <v>51.818181818181813</v>
          </cell>
          <cell r="AE972">
            <v>570</v>
          </cell>
          <cell r="AG972">
            <v>5400</v>
          </cell>
          <cell r="AH972">
            <v>540</v>
          </cell>
          <cell r="AI972">
            <v>5940</v>
          </cell>
          <cell r="AK972">
            <v>4881.818181818182</v>
          </cell>
        </row>
        <row r="973">
          <cell r="H973">
            <v>92550574712</v>
          </cell>
          <cell r="I973">
            <v>60232429</v>
          </cell>
          <cell r="J973">
            <v>4</v>
          </cell>
          <cell r="K973" t="str">
            <v>-</v>
          </cell>
          <cell r="L973">
            <v>9730</v>
          </cell>
          <cell r="M973">
            <v>9730</v>
          </cell>
          <cell r="Q973">
            <v>9900</v>
          </cell>
          <cell r="R973">
            <v>92550574712</v>
          </cell>
          <cell r="X973" t="str">
            <v>힙스터 케이스</v>
          </cell>
          <cell r="Y973" t="str">
            <v>힙스터 비비드 케이스 아이폰15 플러스 그레이</v>
          </cell>
          <cell r="AB973" t="str">
            <v>coupang.com/vp/products/8783866866?itemId=25559251838&amp;vendorItemId=92550574712</v>
          </cell>
          <cell r="AC973">
            <v>518.18181818181813</v>
          </cell>
          <cell r="AD973">
            <v>51.818181818181813</v>
          </cell>
          <cell r="AE973">
            <v>570</v>
          </cell>
          <cell r="AG973">
            <v>5400</v>
          </cell>
          <cell r="AH973">
            <v>540</v>
          </cell>
          <cell r="AI973">
            <v>5940</v>
          </cell>
          <cell r="AK973">
            <v>4881.818181818182</v>
          </cell>
        </row>
        <row r="974">
          <cell r="H974">
            <v>92550574724</v>
          </cell>
          <cell r="I974">
            <v>60232430</v>
          </cell>
          <cell r="J974">
            <v>496</v>
          </cell>
          <cell r="K974" t="str">
            <v>-</v>
          </cell>
          <cell r="L974">
            <v>9730</v>
          </cell>
          <cell r="M974">
            <v>9730</v>
          </cell>
          <cell r="Q974">
            <v>9900</v>
          </cell>
          <cell r="R974">
            <v>92550574724</v>
          </cell>
          <cell r="X974" t="str">
            <v>힙스터 케이스</v>
          </cell>
          <cell r="Y974" t="str">
            <v>힙스터 비비드 케이스 아이폰15 플러스 그린</v>
          </cell>
          <cell r="AB974" t="str">
            <v>coupang.com/vp/products/8783866866?itemId=25559251840&amp;vendorItemId=92550574724</v>
          </cell>
          <cell r="AC974">
            <v>518.18181818181813</v>
          </cell>
          <cell r="AD974">
            <v>51.818181818181813</v>
          </cell>
          <cell r="AE974">
            <v>570</v>
          </cell>
          <cell r="AG974">
            <v>5400</v>
          </cell>
          <cell r="AH974">
            <v>540</v>
          </cell>
          <cell r="AI974">
            <v>5940</v>
          </cell>
          <cell r="AK974">
            <v>4881.818181818182</v>
          </cell>
        </row>
        <row r="975">
          <cell r="H975">
            <v>92550574734</v>
          </cell>
          <cell r="I975">
            <v>60232431</v>
          </cell>
          <cell r="J975">
            <v>61</v>
          </cell>
          <cell r="K975" t="str">
            <v>-</v>
          </cell>
          <cell r="L975">
            <v>9730</v>
          </cell>
          <cell r="M975">
            <v>9730</v>
          </cell>
          <cell r="Q975">
            <v>9900</v>
          </cell>
          <cell r="R975">
            <v>92550574734</v>
          </cell>
          <cell r="X975" t="str">
            <v>힙스터 케이스</v>
          </cell>
          <cell r="Y975" t="str">
            <v>힙스터 비비드 케이스 아이폰15 플러스 레드</v>
          </cell>
          <cell r="AB975" t="str">
            <v>coupang.com/vp/products/8783866866?itemId=25559251843&amp;vendorItemId=92550574734</v>
          </cell>
          <cell r="AC975">
            <v>518.18181818181813</v>
          </cell>
          <cell r="AD975">
            <v>51.818181818181813</v>
          </cell>
          <cell r="AE975">
            <v>570</v>
          </cell>
          <cell r="AG975">
            <v>5400</v>
          </cell>
          <cell r="AH975">
            <v>540</v>
          </cell>
          <cell r="AI975">
            <v>5940</v>
          </cell>
          <cell r="AK975">
            <v>4881.818181818182</v>
          </cell>
        </row>
        <row r="976">
          <cell r="H976">
            <v>92550574741</v>
          </cell>
          <cell r="I976">
            <v>60232432</v>
          </cell>
          <cell r="J976">
            <v>8</v>
          </cell>
          <cell r="K976" t="str">
            <v>-</v>
          </cell>
          <cell r="L976">
            <v>9730</v>
          </cell>
          <cell r="M976">
            <v>9730</v>
          </cell>
          <cell r="Q976">
            <v>9900</v>
          </cell>
          <cell r="R976">
            <v>92550574741</v>
          </cell>
          <cell r="X976" t="str">
            <v>힙스터 케이스</v>
          </cell>
          <cell r="Y976" t="str">
            <v>힙스터 비비드 케이스 아이폰15 플러스 블랙</v>
          </cell>
          <cell r="AB976" t="str">
            <v>coupang.com/vp/products/8783866866?itemId=25559251847&amp;vendorItemId=92550574741</v>
          </cell>
          <cell r="AC976">
            <v>518.18181818181813</v>
          </cell>
          <cell r="AD976">
            <v>51.818181818181813</v>
          </cell>
          <cell r="AE976">
            <v>570</v>
          </cell>
          <cell r="AG976">
            <v>5400</v>
          </cell>
          <cell r="AH976">
            <v>540</v>
          </cell>
          <cell r="AI976">
            <v>5940</v>
          </cell>
          <cell r="AK976">
            <v>4881.818181818182</v>
          </cell>
        </row>
        <row r="977">
          <cell r="H977">
            <v>92550574755</v>
          </cell>
          <cell r="I977">
            <v>60232433</v>
          </cell>
          <cell r="J977">
            <v>7</v>
          </cell>
          <cell r="K977" t="str">
            <v>-</v>
          </cell>
          <cell r="L977">
            <v>9730</v>
          </cell>
          <cell r="M977">
            <v>9730</v>
          </cell>
          <cell r="Q977">
            <v>9900</v>
          </cell>
          <cell r="R977">
            <v>92550574755</v>
          </cell>
          <cell r="X977" t="str">
            <v>힙스터 케이스</v>
          </cell>
          <cell r="Y977" t="str">
            <v>힙스터 비비드 케이스 아이폰15 플러스 옐로우</v>
          </cell>
          <cell r="AB977" t="str">
            <v>coupang.com/vp/products/8783866866?itemId=25559251850&amp;vendorItemId=92550574755</v>
          </cell>
          <cell r="AC977">
            <v>518.18181818181813</v>
          </cell>
          <cell r="AD977">
            <v>51.818181818181813</v>
          </cell>
          <cell r="AE977">
            <v>570</v>
          </cell>
          <cell r="AG977">
            <v>5400</v>
          </cell>
          <cell r="AH977">
            <v>540</v>
          </cell>
          <cell r="AI977">
            <v>5940</v>
          </cell>
          <cell r="AK977">
            <v>4881.818181818182</v>
          </cell>
        </row>
        <row r="978">
          <cell r="H978">
            <v>92550574763</v>
          </cell>
          <cell r="I978">
            <v>60232434</v>
          </cell>
          <cell r="J978">
            <v>496</v>
          </cell>
          <cell r="K978" t="str">
            <v>-</v>
          </cell>
          <cell r="L978">
            <v>9730</v>
          </cell>
          <cell r="M978">
            <v>9730</v>
          </cell>
          <cell r="Q978">
            <v>9900</v>
          </cell>
          <cell r="R978">
            <v>92550574763</v>
          </cell>
          <cell r="X978" t="str">
            <v>힙스터 케이스</v>
          </cell>
          <cell r="Y978" t="str">
            <v>힙스터 비비드 케이스 아이폰15 플러스 투명</v>
          </cell>
          <cell r="AB978" t="str">
            <v>coupang.com/vp/products/8790397201?itemId=25584676890&amp;vendorItemId=92550574763</v>
          </cell>
          <cell r="AC978">
            <v>518.18181818181813</v>
          </cell>
          <cell r="AD978">
            <v>51.818181818181813</v>
          </cell>
          <cell r="AE978">
            <v>570</v>
          </cell>
          <cell r="AG978">
            <v>5400</v>
          </cell>
          <cell r="AH978">
            <v>540</v>
          </cell>
          <cell r="AI978">
            <v>5940</v>
          </cell>
          <cell r="AK978">
            <v>4881.818181818182</v>
          </cell>
        </row>
        <row r="979">
          <cell r="H979">
            <v>92550574772</v>
          </cell>
          <cell r="I979">
            <v>60232435</v>
          </cell>
          <cell r="J979">
            <v>4</v>
          </cell>
          <cell r="K979" t="str">
            <v>-</v>
          </cell>
          <cell r="L979">
            <v>9730</v>
          </cell>
          <cell r="M979">
            <v>9730</v>
          </cell>
          <cell r="Q979">
            <v>9900</v>
          </cell>
          <cell r="R979">
            <v>92550574772</v>
          </cell>
          <cell r="X979" t="str">
            <v>힙스터 케이스</v>
          </cell>
          <cell r="Y979" t="str">
            <v>힙스터 비비드 케이스 아이폰15 플러스 핑크</v>
          </cell>
          <cell r="AB979" t="str">
            <v>coupang.com/vp/products/8783866866?itemId=25559251860&amp;vendorItemId=92550574772</v>
          </cell>
          <cell r="AC979">
            <v>518.18181818181813</v>
          </cell>
          <cell r="AD979">
            <v>51.818181818181813</v>
          </cell>
          <cell r="AE979">
            <v>570</v>
          </cell>
          <cell r="AG979">
            <v>5400</v>
          </cell>
          <cell r="AH979">
            <v>540</v>
          </cell>
          <cell r="AI979">
            <v>5940</v>
          </cell>
          <cell r="AK979">
            <v>4881.818181818182</v>
          </cell>
        </row>
        <row r="980">
          <cell r="H980">
            <v>92550574704</v>
          </cell>
          <cell r="I980">
            <v>60232428</v>
          </cell>
          <cell r="J980">
            <v>4</v>
          </cell>
          <cell r="K980" t="str">
            <v>-</v>
          </cell>
          <cell r="L980">
            <v>9730</v>
          </cell>
          <cell r="M980">
            <v>9730</v>
          </cell>
          <cell r="Q980">
            <v>9900</v>
          </cell>
          <cell r="R980">
            <v>92550574704</v>
          </cell>
          <cell r="X980" t="str">
            <v>힙스터 케이스</v>
          </cell>
          <cell r="Y980" t="str">
            <v>힙스터 비비드 케이스 아이폰15 핑크</v>
          </cell>
          <cell r="AB980" t="str">
            <v>coupang.com/vp/products/8783866866?itemId=25559251835&amp;vendorItemId=92550574704</v>
          </cell>
          <cell r="AC980">
            <v>518.18181818181813</v>
          </cell>
          <cell r="AD980">
            <v>51.818181818181813</v>
          </cell>
          <cell r="AE980">
            <v>570</v>
          </cell>
          <cell r="AG980">
            <v>5400</v>
          </cell>
          <cell r="AH980">
            <v>540</v>
          </cell>
          <cell r="AI980">
            <v>5940</v>
          </cell>
          <cell r="AK980">
            <v>4881.818181818182</v>
          </cell>
        </row>
        <row r="981">
          <cell r="H981">
            <v>92557301820</v>
          </cell>
          <cell r="I981">
            <v>60278250</v>
          </cell>
          <cell r="J981">
            <v>757</v>
          </cell>
          <cell r="K981" t="str">
            <v>-</v>
          </cell>
          <cell r="L981">
            <v>9740</v>
          </cell>
          <cell r="M981">
            <v>9740</v>
          </cell>
          <cell r="Q981">
            <v>9900</v>
          </cell>
          <cell r="R981">
            <v>92557301820</v>
          </cell>
          <cell r="X981" t="str">
            <v>힙스터 케이스</v>
          </cell>
          <cell r="Y981" t="str">
            <v>힙스터 비비드 케이스 아이폰15 스카이블루</v>
          </cell>
          <cell r="AB981" t="str">
            <v>coupang.com/vp/products/8785711283?itemId=25566098599&amp;vendorItemId=92557301820</v>
          </cell>
          <cell r="AC981">
            <v>518.18181818181813</v>
          </cell>
          <cell r="AD981">
            <v>51.818181818181813</v>
          </cell>
          <cell r="AE981">
            <v>570</v>
          </cell>
          <cell r="AG981">
            <v>5400</v>
          </cell>
          <cell r="AH981">
            <v>540</v>
          </cell>
          <cell r="AI981">
            <v>5940</v>
          </cell>
          <cell r="AK981">
            <v>4881.818181818182</v>
          </cell>
        </row>
        <row r="982">
          <cell r="H982">
            <v>92557301843</v>
          </cell>
          <cell r="I982">
            <v>60278251</v>
          </cell>
          <cell r="J982">
            <v>783</v>
          </cell>
          <cell r="K982" t="str">
            <v>-</v>
          </cell>
          <cell r="L982">
            <v>9740</v>
          </cell>
          <cell r="M982">
            <v>9740</v>
          </cell>
          <cell r="Q982">
            <v>9900</v>
          </cell>
          <cell r="R982">
            <v>92557301843</v>
          </cell>
          <cell r="X982" t="str">
            <v>힙스터 케이스</v>
          </cell>
          <cell r="Y982" t="str">
            <v>힙스터 비비드 케이스 아이폰15 플러스 스카이블루</v>
          </cell>
          <cell r="AB982" t="str">
            <v>coupang.com/vp/products/8785711283?itemId=25566098601&amp;vendorItemId=92557301843</v>
          </cell>
          <cell r="AC982">
            <v>518.18181818181813</v>
          </cell>
          <cell r="AD982">
            <v>51.818181818181813</v>
          </cell>
          <cell r="AE982">
            <v>570</v>
          </cell>
          <cell r="AG982">
            <v>5400</v>
          </cell>
          <cell r="AH982">
            <v>540</v>
          </cell>
          <cell r="AI982">
            <v>5940</v>
          </cell>
          <cell r="AK982">
            <v>4881.818181818182</v>
          </cell>
        </row>
        <row r="983">
          <cell r="H983">
            <v>92557301862</v>
          </cell>
          <cell r="I983">
            <v>60278252</v>
          </cell>
          <cell r="J983">
            <v>1131</v>
          </cell>
          <cell r="K983" t="str">
            <v>-</v>
          </cell>
          <cell r="L983">
            <v>9740</v>
          </cell>
          <cell r="M983">
            <v>9740</v>
          </cell>
          <cell r="Q983">
            <v>9900</v>
          </cell>
          <cell r="R983">
            <v>92557301862</v>
          </cell>
          <cell r="X983" t="str">
            <v>힙스터 케이스</v>
          </cell>
          <cell r="Y983" t="str">
            <v>힙스터 비비드 케이스 아이폰15 프로 스카이블루</v>
          </cell>
          <cell r="AB983" t="str">
            <v>coupang.com/vp/products/8785711283?itemId=25566098603&amp;vendorItemId=92557301862</v>
          </cell>
          <cell r="AC983">
            <v>518.18181818181813</v>
          </cell>
          <cell r="AD983">
            <v>51.818181818181813</v>
          </cell>
          <cell r="AE983">
            <v>570</v>
          </cell>
          <cell r="AG983">
            <v>5400</v>
          </cell>
          <cell r="AH983">
            <v>540</v>
          </cell>
          <cell r="AI983">
            <v>5940</v>
          </cell>
          <cell r="AK983">
            <v>4881.818181818182</v>
          </cell>
        </row>
        <row r="984">
          <cell r="H984">
            <v>92557301882</v>
          </cell>
          <cell r="I984">
            <v>60278253</v>
          </cell>
          <cell r="J984">
            <v>790</v>
          </cell>
          <cell r="K984" t="str">
            <v>-</v>
          </cell>
          <cell r="L984">
            <v>9740</v>
          </cell>
          <cell r="M984">
            <v>9740</v>
          </cell>
          <cell r="Q984">
            <v>9900</v>
          </cell>
          <cell r="R984">
            <v>92557301882</v>
          </cell>
          <cell r="X984" t="str">
            <v>힙스터 케이스</v>
          </cell>
          <cell r="Y984" t="str">
            <v>힙스터 비비드 케이스 아이폰15 프로맥스 스카이블루</v>
          </cell>
          <cell r="AB984" t="str">
            <v>coupang.com/vp/products/8785711283?itemId=25566098605&amp;vendorItemId=92557301882</v>
          </cell>
          <cell r="AC984">
            <v>518.18181818181813</v>
          </cell>
          <cell r="AD984">
            <v>51.818181818181813</v>
          </cell>
          <cell r="AE984">
            <v>570</v>
          </cell>
          <cell r="AG984">
            <v>5400</v>
          </cell>
          <cell r="AH984">
            <v>540</v>
          </cell>
          <cell r="AI984">
            <v>5940</v>
          </cell>
          <cell r="AK984">
            <v>4881.818181818182</v>
          </cell>
        </row>
        <row r="985">
          <cell r="H985">
            <v>85216203531</v>
          </cell>
          <cell r="I985">
            <v>33431966</v>
          </cell>
          <cell r="J985" t="str">
            <v/>
          </cell>
          <cell r="K985" t="str">
            <v>-</v>
          </cell>
          <cell r="L985">
            <v>23260</v>
          </cell>
          <cell r="M985">
            <v>23260</v>
          </cell>
          <cell r="Q985">
            <v>24810</v>
          </cell>
          <cell r="R985">
            <v>85216203531</v>
          </cell>
          <cell r="Y985" t="str">
            <v>뉴클 Z플립3 도어범퍼 케이스 나이트</v>
          </cell>
          <cell r="AC985">
            <v>7999.9999999999991</v>
          </cell>
          <cell r="AD985">
            <v>800</v>
          </cell>
          <cell r="AE985">
            <v>8800</v>
          </cell>
          <cell r="AG985">
            <v>12899.999999999998</v>
          </cell>
          <cell r="AH985">
            <v>1290.0000000000018</v>
          </cell>
          <cell r="AI985">
            <v>14190</v>
          </cell>
          <cell r="AK985">
            <v>4899.9999999999991</v>
          </cell>
        </row>
        <row r="986">
          <cell r="H986">
            <v>85216203570</v>
          </cell>
          <cell r="I986">
            <v>33431968</v>
          </cell>
          <cell r="J986" t="str">
            <v/>
          </cell>
          <cell r="K986" t="str">
            <v>-</v>
          </cell>
          <cell r="L986">
            <v>23260</v>
          </cell>
          <cell r="M986">
            <v>23260</v>
          </cell>
          <cell r="Q986">
            <v>24810</v>
          </cell>
          <cell r="R986">
            <v>85216203570</v>
          </cell>
          <cell r="Y986" t="str">
            <v>뉴클 Z플립3 도어범퍼 케이스 나이트레몬</v>
          </cell>
          <cell r="AC986">
            <v>7999.9999999999991</v>
          </cell>
          <cell r="AD986">
            <v>800</v>
          </cell>
          <cell r="AE986">
            <v>8800</v>
          </cell>
          <cell r="AG986">
            <v>12899.999999999998</v>
          </cell>
          <cell r="AH986">
            <v>1290.0000000000018</v>
          </cell>
          <cell r="AI986">
            <v>14190</v>
          </cell>
          <cell r="AK986">
            <v>4899.9999999999991</v>
          </cell>
        </row>
        <row r="987">
          <cell r="H987">
            <v>85216203552</v>
          </cell>
          <cell r="I987">
            <v>33431967</v>
          </cell>
          <cell r="J987" t="str">
            <v/>
          </cell>
          <cell r="K987" t="str">
            <v>-</v>
          </cell>
          <cell r="L987">
            <v>23260</v>
          </cell>
          <cell r="M987">
            <v>23260</v>
          </cell>
          <cell r="Q987">
            <v>24810</v>
          </cell>
          <cell r="R987">
            <v>85216203552</v>
          </cell>
          <cell r="Y987" t="str">
            <v>뉴클 Z플립3 도어범퍼 케이스 레몬</v>
          </cell>
          <cell r="AC987">
            <v>7999.9999999999991</v>
          </cell>
          <cell r="AD987">
            <v>800</v>
          </cell>
          <cell r="AE987">
            <v>8800</v>
          </cell>
          <cell r="AG987">
            <v>12899.999999999998</v>
          </cell>
          <cell r="AH987">
            <v>1290.0000000000018</v>
          </cell>
          <cell r="AI987">
            <v>14190</v>
          </cell>
          <cell r="AK987">
            <v>4899.9999999999991</v>
          </cell>
        </row>
        <row r="988">
          <cell r="H988">
            <v>85216203628</v>
          </cell>
          <cell r="I988">
            <v>33431971</v>
          </cell>
          <cell r="J988" t="str">
            <v/>
          </cell>
          <cell r="K988" t="str">
            <v>-</v>
          </cell>
          <cell r="L988">
            <v>23270</v>
          </cell>
          <cell r="M988">
            <v>23270</v>
          </cell>
          <cell r="Q988">
            <v>24810</v>
          </cell>
          <cell r="R988">
            <v>85216203628</v>
          </cell>
          <cell r="Y988" t="str">
            <v>뉴클 Z플립3 도어범퍼 케이스 레몬팝핑크</v>
          </cell>
          <cell r="AC988">
            <v>7999.9999999999991</v>
          </cell>
          <cell r="AD988">
            <v>800</v>
          </cell>
          <cell r="AE988">
            <v>8800</v>
          </cell>
          <cell r="AG988">
            <v>12899.999999999998</v>
          </cell>
          <cell r="AH988">
            <v>1290.0000000000018</v>
          </cell>
          <cell r="AI988">
            <v>14190</v>
          </cell>
          <cell r="AK988">
            <v>4899.9999999999991</v>
          </cell>
        </row>
        <row r="989">
          <cell r="H989">
            <v>85216203609</v>
          </cell>
          <cell r="I989">
            <v>33431970</v>
          </cell>
          <cell r="J989" t="str">
            <v/>
          </cell>
          <cell r="K989" t="str">
            <v>-</v>
          </cell>
          <cell r="L989">
            <v>23260</v>
          </cell>
          <cell r="M989">
            <v>23260</v>
          </cell>
          <cell r="Q989">
            <v>24810</v>
          </cell>
          <cell r="R989">
            <v>85216203609</v>
          </cell>
          <cell r="Y989" t="str">
            <v>뉴클 Z플립3 도어범퍼 케이스 민트</v>
          </cell>
          <cell r="AC989">
            <v>7999.9999999999991</v>
          </cell>
          <cell r="AD989">
            <v>800</v>
          </cell>
          <cell r="AE989">
            <v>8800</v>
          </cell>
          <cell r="AG989">
            <v>12899.999999999998</v>
          </cell>
          <cell r="AH989">
            <v>1290.0000000000018</v>
          </cell>
          <cell r="AI989">
            <v>14190</v>
          </cell>
          <cell r="AK989">
            <v>4899.9999999999991</v>
          </cell>
        </row>
        <row r="990">
          <cell r="H990">
            <v>85216203499</v>
          </cell>
          <cell r="I990">
            <v>33431964</v>
          </cell>
          <cell r="J990" t="str">
            <v/>
          </cell>
          <cell r="K990" t="str">
            <v>-</v>
          </cell>
          <cell r="L990">
            <v>23260</v>
          </cell>
          <cell r="M990">
            <v>23260</v>
          </cell>
          <cell r="Q990">
            <v>24810</v>
          </cell>
          <cell r="R990">
            <v>85216203499</v>
          </cell>
          <cell r="Y990" t="str">
            <v>뉴클 Z플립3 도어범퍼 케이스 민트크림</v>
          </cell>
          <cell r="AC990">
            <v>7999.9999999999991</v>
          </cell>
          <cell r="AD990">
            <v>800</v>
          </cell>
          <cell r="AE990">
            <v>8800</v>
          </cell>
          <cell r="AG990">
            <v>12899.999999999998</v>
          </cell>
          <cell r="AH990">
            <v>1290.0000000000018</v>
          </cell>
          <cell r="AI990">
            <v>14190</v>
          </cell>
          <cell r="AK990">
            <v>4899.9999999999991</v>
          </cell>
        </row>
        <row r="991">
          <cell r="H991">
            <v>85216203584</v>
          </cell>
          <cell r="I991">
            <v>33431969</v>
          </cell>
          <cell r="J991" t="str">
            <v/>
          </cell>
          <cell r="K991" t="str">
            <v>-</v>
          </cell>
          <cell r="L991">
            <v>23270</v>
          </cell>
          <cell r="M991">
            <v>23270</v>
          </cell>
          <cell r="Q991">
            <v>24810</v>
          </cell>
          <cell r="R991">
            <v>85216203584</v>
          </cell>
          <cell r="Y991" t="str">
            <v>뉴클 Z플립3 도어범퍼 케이스 오키드</v>
          </cell>
          <cell r="AC991">
            <v>7999.9999999999991</v>
          </cell>
          <cell r="AD991">
            <v>800</v>
          </cell>
          <cell r="AE991">
            <v>8800</v>
          </cell>
          <cell r="AG991">
            <v>12899.999999999998</v>
          </cell>
          <cell r="AH991">
            <v>1290.0000000000018</v>
          </cell>
          <cell r="AI991">
            <v>14190</v>
          </cell>
          <cell r="AK991">
            <v>4899.9999999999991</v>
          </cell>
        </row>
        <row r="992">
          <cell r="H992">
            <v>85216203651</v>
          </cell>
          <cell r="I992">
            <v>33431974</v>
          </cell>
          <cell r="J992" t="str">
            <v/>
          </cell>
          <cell r="K992" t="str">
            <v>-</v>
          </cell>
          <cell r="L992">
            <v>23270</v>
          </cell>
          <cell r="M992">
            <v>23270</v>
          </cell>
          <cell r="Q992">
            <v>24810</v>
          </cell>
          <cell r="R992">
            <v>85216203651</v>
          </cell>
          <cell r="Y992" t="str">
            <v>뉴클 Z플립3 도어범퍼 케이스 오키드팝핑크</v>
          </cell>
          <cell r="AC992">
            <v>7999.9999999999991</v>
          </cell>
          <cell r="AD992">
            <v>800</v>
          </cell>
          <cell r="AE992">
            <v>8800</v>
          </cell>
          <cell r="AG992">
            <v>12899.999999999998</v>
          </cell>
          <cell r="AH992">
            <v>1290.0000000000018</v>
          </cell>
          <cell r="AI992">
            <v>14190</v>
          </cell>
          <cell r="AK992">
            <v>4899.9999999999991</v>
          </cell>
        </row>
        <row r="993">
          <cell r="H993">
            <v>85216203513</v>
          </cell>
          <cell r="I993">
            <v>33431965</v>
          </cell>
          <cell r="J993" t="str">
            <v/>
          </cell>
          <cell r="K993" t="str">
            <v>-</v>
          </cell>
          <cell r="L993">
            <v>23270</v>
          </cell>
          <cell r="M993">
            <v>23270</v>
          </cell>
          <cell r="Q993">
            <v>24810</v>
          </cell>
          <cell r="R993">
            <v>85216203513</v>
          </cell>
          <cell r="Y993" t="str">
            <v>뉴클 Z플립3 도어범퍼 케이스 크림</v>
          </cell>
          <cell r="AC993">
            <v>7999.9999999999991</v>
          </cell>
          <cell r="AD993">
            <v>800</v>
          </cell>
          <cell r="AE993">
            <v>8800</v>
          </cell>
          <cell r="AG993">
            <v>12899.999999999998</v>
          </cell>
          <cell r="AH993">
            <v>1290.0000000000018</v>
          </cell>
          <cell r="AI993">
            <v>14190</v>
          </cell>
          <cell r="AK993">
            <v>4899.9999999999991</v>
          </cell>
        </row>
        <row r="994">
          <cell r="H994">
            <v>85216203658</v>
          </cell>
          <cell r="I994">
            <v>33431975</v>
          </cell>
          <cell r="J994" t="str">
            <v/>
          </cell>
          <cell r="K994" t="str">
            <v>-</v>
          </cell>
          <cell r="L994">
            <v>23260</v>
          </cell>
          <cell r="M994">
            <v>23260</v>
          </cell>
          <cell r="Q994">
            <v>24810</v>
          </cell>
          <cell r="R994">
            <v>85216203658</v>
          </cell>
          <cell r="Y994" t="str">
            <v>뉴클 Z플립3 도어범퍼 케이스 크림나이트</v>
          </cell>
          <cell r="AC994">
            <v>7999.9999999999991</v>
          </cell>
          <cell r="AD994">
            <v>800</v>
          </cell>
          <cell r="AE994">
            <v>8800</v>
          </cell>
          <cell r="AG994">
            <v>12899.999999999998</v>
          </cell>
          <cell r="AH994">
            <v>1290.0000000000018</v>
          </cell>
          <cell r="AI994">
            <v>14190</v>
          </cell>
          <cell r="AK994">
            <v>4899.9999999999991</v>
          </cell>
        </row>
        <row r="995">
          <cell r="H995">
            <v>85216203644</v>
          </cell>
          <cell r="I995">
            <v>33431973</v>
          </cell>
          <cell r="J995" t="str">
            <v/>
          </cell>
          <cell r="K995" t="str">
            <v>-</v>
          </cell>
          <cell r="L995">
            <v>23270</v>
          </cell>
          <cell r="M995">
            <v>23270</v>
          </cell>
          <cell r="Q995">
            <v>24810</v>
          </cell>
          <cell r="R995">
            <v>85216203644</v>
          </cell>
          <cell r="Y995" t="str">
            <v>뉴클 Z플립3 도어범퍼 케이스 팝핑크</v>
          </cell>
          <cell r="AC995">
            <v>7999.9999999999991</v>
          </cell>
          <cell r="AD995">
            <v>800</v>
          </cell>
          <cell r="AE995">
            <v>8800</v>
          </cell>
          <cell r="AG995">
            <v>12899.999999999998</v>
          </cell>
          <cell r="AH995">
            <v>1290.0000000000018</v>
          </cell>
          <cell r="AI995">
            <v>14190</v>
          </cell>
          <cell r="AK995">
            <v>4899.9999999999991</v>
          </cell>
        </row>
        <row r="996">
          <cell r="H996">
            <v>85216203637</v>
          </cell>
          <cell r="I996">
            <v>33431972</v>
          </cell>
          <cell r="J996" t="str">
            <v/>
          </cell>
          <cell r="K996" t="str">
            <v>-</v>
          </cell>
          <cell r="L996">
            <v>23260</v>
          </cell>
          <cell r="M996">
            <v>23260</v>
          </cell>
          <cell r="Q996">
            <v>24810</v>
          </cell>
          <cell r="R996">
            <v>85216203637</v>
          </cell>
          <cell r="Y996" t="str">
            <v>뉴클 Z플립3 도어범퍼 케이스 팝핑크크림</v>
          </cell>
          <cell r="AC996">
            <v>7999.9999999999991</v>
          </cell>
          <cell r="AD996">
            <v>800</v>
          </cell>
          <cell r="AE996">
            <v>8800</v>
          </cell>
          <cell r="AG996">
            <v>12899.999999999998</v>
          </cell>
          <cell r="AH996">
            <v>1290.0000000000018</v>
          </cell>
          <cell r="AI996">
            <v>14190</v>
          </cell>
          <cell r="AK996">
            <v>4899.9999999999991</v>
          </cell>
        </row>
        <row r="997">
          <cell r="H997">
            <v>91934292471</v>
          </cell>
          <cell r="I997">
            <v>56506514</v>
          </cell>
          <cell r="J997" t="str">
            <v/>
          </cell>
          <cell r="K997" t="str">
            <v>-</v>
          </cell>
          <cell r="L997">
            <v>14900</v>
          </cell>
          <cell r="M997">
            <v>14900</v>
          </cell>
          <cell r="Q997">
            <v>14900</v>
          </cell>
          <cell r="R997">
            <v>91934292471</v>
          </cell>
          <cell r="Y997" t="str">
            <v>글라스틱 (외부1매) + 우레탄 (내부1매) 갤럭시 Z 플립6</v>
          </cell>
          <cell r="AC997">
            <v>2818.181818181818</v>
          </cell>
          <cell r="AD997">
            <v>281.81818181818181</v>
          </cell>
          <cell r="AE997">
            <v>3100</v>
          </cell>
          <cell r="AG997">
            <v>7999.9999999999991</v>
          </cell>
          <cell r="AH997">
            <v>800.00000000000091</v>
          </cell>
          <cell r="AI997">
            <v>8800</v>
          </cell>
          <cell r="AK997">
            <v>5181.8181818181811</v>
          </cell>
        </row>
        <row r="998">
          <cell r="H998">
            <v>85132008140</v>
          </cell>
          <cell r="I998">
            <v>33140786</v>
          </cell>
          <cell r="J998" t="str">
            <v/>
          </cell>
          <cell r="K998" t="str">
            <v>-</v>
          </cell>
          <cell r="L998">
            <v>13900</v>
          </cell>
          <cell r="M998">
            <v>13900</v>
          </cell>
          <cell r="Q998">
            <v>13900</v>
          </cell>
          <cell r="R998">
            <v>85132008140</v>
          </cell>
          <cell r="Y998" t="str">
            <v>아이폰13프로 맥세이프 에어범퍼케이스</v>
          </cell>
          <cell r="AC998">
            <v>3636.363636363636</v>
          </cell>
          <cell r="AD998">
            <v>363.63636363636363</v>
          </cell>
          <cell r="AE998">
            <v>4000</v>
          </cell>
          <cell r="AG998">
            <v>6949.9999999999991</v>
          </cell>
          <cell r="AH998">
            <v>695.00000000000091</v>
          </cell>
          <cell r="AI998">
            <v>7645</v>
          </cell>
          <cell r="AK998">
            <v>3313.6363636363631</v>
          </cell>
        </row>
        <row r="999">
          <cell r="H999">
            <v>91646213709</v>
          </cell>
          <cell r="I999">
            <v>54673228</v>
          </cell>
          <cell r="J999" t="str">
            <v/>
          </cell>
          <cell r="K999" t="str">
            <v>-</v>
          </cell>
          <cell r="L999">
            <v>15900</v>
          </cell>
          <cell r="M999">
            <v>15900</v>
          </cell>
          <cell r="Q999">
            <v>15900</v>
          </cell>
          <cell r="R999">
            <v>91646213709</v>
          </cell>
          <cell r="Y999" t="str">
            <v>글라스틱 (외부) 2매 필름 갤럭시 Z 플립5</v>
          </cell>
          <cell r="AC999">
            <v>4271.8181818181811</v>
          </cell>
          <cell r="AD999">
            <v>427.18181818181813</v>
          </cell>
          <cell r="AE999">
            <v>4699</v>
          </cell>
          <cell r="AG999">
            <v>8545.4545454545441</v>
          </cell>
          <cell r="AH999">
            <v>854.54545454545587</v>
          </cell>
          <cell r="AI999">
            <v>9400</v>
          </cell>
          <cell r="AK999">
            <v>4273.6363636363631</v>
          </cell>
        </row>
        <row r="1000">
          <cell r="H1000">
            <v>91747939382</v>
          </cell>
          <cell r="I1000">
            <v>55488393</v>
          </cell>
          <cell r="J1000" t="str">
            <v/>
          </cell>
          <cell r="K1000" t="str">
            <v>-</v>
          </cell>
          <cell r="L1000">
            <v>14900</v>
          </cell>
          <cell r="M1000">
            <v>14900</v>
          </cell>
          <cell r="Q1000">
            <v>14900</v>
          </cell>
          <cell r="R1000">
            <v>91747939382</v>
          </cell>
          <cell r="Y1000" t="str">
            <v>글라스틱 (외부1매) + 우레탄 (내부1매) 필름 갤럭시 Z 플립5</v>
          </cell>
          <cell r="AC1000">
            <v>2818.181818181818</v>
          </cell>
          <cell r="AD1000">
            <v>281.81818181818181</v>
          </cell>
          <cell r="AE1000">
            <v>3100</v>
          </cell>
          <cell r="AG1000">
            <v>7999.9999999999991</v>
          </cell>
          <cell r="AH1000">
            <v>800.00000000000091</v>
          </cell>
          <cell r="AI1000">
            <v>8800</v>
          </cell>
          <cell r="AK1000">
            <v>5181.8181818181811</v>
          </cell>
        </row>
        <row r="1001">
          <cell r="H1001">
            <v>91747939394</v>
          </cell>
          <cell r="I1001">
            <v>55488392</v>
          </cell>
          <cell r="J1001">
            <v>1</v>
          </cell>
          <cell r="K1001" t="str">
            <v>-</v>
          </cell>
          <cell r="L1001">
            <v>14900</v>
          </cell>
          <cell r="M1001">
            <v>14900</v>
          </cell>
          <cell r="Q1001">
            <v>14900</v>
          </cell>
          <cell r="R1001">
            <v>91747939394</v>
          </cell>
          <cell r="Y1001" t="str">
            <v>글라스틱 (외부1매) + 종이질감 (내부1매) 필름 갤럭시 Z 플립5</v>
          </cell>
          <cell r="AC1001">
            <v>2954.5454545454545</v>
          </cell>
          <cell r="AD1001">
            <v>295.45454545454544</v>
          </cell>
          <cell r="AE1001">
            <v>3250</v>
          </cell>
          <cell r="AG1001">
            <v>7999.9999999999991</v>
          </cell>
          <cell r="AH1001">
            <v>800.00000000000091</v>
          </cell>
          <cell r="AI1001">
            <v>8800</v>
          </cell>
          <cell r="AK1001">
            <v>5045.4545454545441</v>
          </cell>
        </row>
        <row r="1002">
          <cell r="H1002">
            <v>91646213681</v>
          </cell>
          <cell r="I1002">
            <v>54673229</v>
          </cell>
          <cell r="J1002" t="str">
            <v/>
          </cell>
          <cell r="K1002" t="str">
            <v>-</v>
          </cell>
          <cell r="L1002">
            <v>10900</v>
          </cell>
          <cell r="M1002">
            <v>10900</v>
          </cell>
          <cell r="Q1002">
            <v>10900</v>
          </cell>
          <cell r="R1002">
            <v>91646213681</v>
          </cell>
          <cell r="Y1002" t="str">
            <v>우레탄 (내부) 3매 필름 갤럭시 Z 플립5</v>
          </cell>
          <cell r="AC1002">
            <v>2227.272727272727</v>
          </cell>
          <cell r="AD1002">
            <v>222.72727272727272</v>
          </cell>
          <cell r="AE1002">
            <v>2450</v>
          </cell>
          <cell r="AG1002">
            <v>5818.181818181818</v>
          </cell>
          <cell r="AH1002">
            <v>581.81818181818198</v>
          </cell>
          <cell r="AI1002">
            <v>6400</v>
          </cell>
          <cell r="AK1002">
            <v>3590.909090909091</v>
          </cell>
        </row>
        <row r="1003">
          <cell r="H1003">
            <v>91646213707</v>
          </cell>
          <cell r="I1003">
            <v>54673230</v>
          </cell>
          <cell r="J1003">
            <v>1</v>
          </cell>
          <cell r="K1003" t="str">
            <v>-</v>
          </cell>
          <cell r="L1003">
            <v>10900</v>
          </cell>
          <cell r="M1003">
            <v>10900</v>
          </cell>
          <cell r="Q1003">
            <v>10900</v>
          </cell>
          <cell r="R1003">
            <v>91646213707</v>
          </cell>
          <cell r="Y1003" t="str">
            <v>종이질감 (내부) 3매 필름 갤럭시 Z 플립5</v>
          </cell>
          <cell r="AC1003">
            <v>2227.272727272727</v>
          </cell>
          <cell r="AD1003">
            <v>222.72727272727272</v>
          </cell>
          <cell r="AE1003">
            <v>2450</v>
          </cell>
          <cell r="AG1003">
            <v>5818.181818181818</v>
          </cell>
          <cell r="AH1003">
            <v>581.81818181818198</v>
          </cell>
          <cell r="AI1003">
            <v>6400</v>
          </cell>
          <cell r="AK1003">
            <v>3590.909090909091</v>
          </cell>
        </row>
        <row r="1004">
          <cell r="H1004">
            <v>91934292467</v>
          </cell>
          <cell r="I1004">
            <v>56506513</v>
          </cell>
          <cell r="J1004" t="str">
            <v/>
          </cell>
          <cell r="K1004" t="str">
            <v>-</v>
          </cell>
          <cell r="L1004">
            <v>14900</v>
          </cell>
          <cell r="M1004">
            <v>14900</v>
          </cell>
          <cell r="Q1004">
            <v>14900</v>
          </cell>
          <cell r="R1004">
            <v>91934292467</v>
          </cell>
          <cell r="Y1004" t="str">
            <v>글라스틱 (외부1매) + 종이질감 (내부1매) 갤럭시 Z 플립6</v>
          </cell>
          <cell r="AC1004">
            <v>2949.9999999999995</v>
          </cell>
          <cell r="AD1004">
            <v>294.99999999999994</v>
          </cell>
          <cell r="AE1004">
            <v>3245</v>
          </cell>
          <cell r="AG1004">
            <v>7999.9999999999991</v>
          </cell>
          <cell r="AH1004">
            <v>800.00000000000091</v>
          </cell>
          <cell r="AI1004">
            <v>8800</v>
          </cell>
          <cell r="AK1004">
            <v>5050</v>
          </cell>
        </row>
        <row r="1005">
          <cell r="H1005">
            <v>91139972173</v>
          </cell>
          <cell r="I1005">
            <v>50743006</v>
          </cell>
          <cell r="J1005" t="str">
            <v/>
          </cell>
          <cell r="K1005" t="str">
            <v>-</v>
          </cell>
          <cell r="L1005">
            <v>9900</v>
          </cell>
          <cell r="M1005">
            <v>9900</v>
          </cell>
          <cell r="Q1005">
            <v>9900</v>
          </cell>
          <cell r="R1005">
            <v>91139972173</v>
          </cell>
          <cell r="Y1005" t="str">
            <v>글라스틱 강화 9H 고경도 필름 2매 아이폰16</v>
          </cell>
          <cell r="AC1005">
            <v>4285.454545454545</v>
          </cell>
          <cell r="AD1005">
            <v>428.5454545454545</v>
          </cell>
          <cell r="AE1005">
            <v>4714</v>
          </cell>
          <cell r="AG1005">
            <v>8545.4545454545441</v>
          </cell>
          <cell r="AH1005">
            <v>854.54545454545587</v>
          </cell>
          <cell r="AI1005">
            <v>9400</v>
          </cell>
          <cell r="AK1005">
            <v>4259.9999999999991</v>
          </cell>
        </row>
        <row r="1006">
          <cell r="H1006">
            <v>91139972184</v>
          </cell>
          <cell r="I1006">
            <v>50743008</v>
          </cell>
          <cell r="J1006" t="str">
            <v/>
          </cell>
          <cell r="K1006" t="str">
            <v>-</v>
          </cell>
          <cell r="L1006">
            <v>9900</v>
          </cell>
          <cell r="M1006">
            <v>9900</v>
          </cell>
          <cell r="Q1006">
            <v>9900</v>
          </cell>
          <cell r="R1006">
            <v>91139972184</v>
          </cell>
          <cell r="Y1006" t="str">
            <v>글라스틱 강화 9H 고경도 필름 2매 아이폰16 PRO</v>
          </cell>
          <cell r="AC1006">
            <v>4285.454545454545</v>
          </cell>
          <cell r="AD1006">
            <v>428.5454545454545</v>
          </cell>
          <cell r="AE1006">
            <v>4714</v>
          </cell>
          <cell r="AG1006">
            <v>8545.4545454545441</v>
          </cell>
          <cell r="AH1006">
            <v>854.54545454545587</v>
          </cell>
          <cell r="AI1006">
            <v>9400</v>
          </cell>
          <cell r="AK1006">
            <v>4259.9999999999991</v>
          </cell>
        </row>
        <row r="1007">
          <cell r="H1007">
            <v>91139972199</v>
          </cell>
          <cell r="I1007">
            <v>50743009</v>
          </cell>
          <cell r="J1007">
            <v>2</v>
          </cell>
          <cell r="K1007" t="str">
            <v>-</v>
          </cell>
          <cell r="L1007">
            <v>9900</v>
          </cell>
          <cell r="M1007">
            <v>9900</v>
          </cell>
          <cell r="Q1007">
            <v>9900</v>
          </cell>
          <cell r="R1007">
            <v>91139972199</v>
          </cell>
          <cell r="Y1007" t="str">
            <v>글라스틱 강화 9H 고경도 필름 2매 아이폰16 PRO MAX</v>
          </cell>
          <cell r="AC1007">
            <v>4285.454545454545</v>
          </cell>
          <cell r="AD1007">
            <v>428.5454545454545</v>
          </cell>
          <cell r="AE1007">
            <v>4714</v>
          </cell>
          <cell r="AG1007">
            <v>8545.4545454545441</v>
          </cell>
          <cell r="AH1007">
            <v>854.54545454545587</v>
          </cell>
          <cell r="AI1007">
            <v>9400</v>
          </cell>
          <cell r="AK1007">
            <v>4259.9999999999991</v>
          </cell>
        </row>
        <row r="1008">
          <cell r="H1008">
            <v>91139972212</v>
          </cell>
          <cell r="I1008">
            <v>50743010</v>
          </cell>
          <cell r="J1008">
            <v>3</v>
          </cell>
          <cell r="K1008" t="str">
            <v>-</v>
          </cell>
          <cell r="L1008">
            <v>9900</v>
          </cell>
          <cell r="M1008">
            <v>9900</v>
          </cell>
          <cell r="Q1008">
            <v>9900</v>
          </cell>
          <cell r="R1008">
            <v>91139972212</v>
          </cell>
          <cell r="Y1008" t="str">
            <v>글라스틱 강화 9H 고경도 필름 2매 아이폰16+</v>
          </cell>
          <cell r="AC1008">
            <v>4285.454545454545</v>
          </cell>
          <cell r="AD1008">
            <v>428.5454545454545</v>
          </cell>
          <cell r="AE1008">
            <v>4714</v>
          </cell>
          <cell r="AG1008">
            <v>8545.4545454545441</v>
          </cell>
          <cell r="AH1008">
            <v>854.54545454545587</v>
          </cell>
          <cell r="AI1008">
            <v>9400</v>
          </cell>
          <cell r="AK1008">
            <v>4259.9999999999991</v>
          </cell>
        </row>
        <row r="1009">
          <cell r="H1009">
            <v>91748005268</v>
          </cell>
          <cell r="I1009">
            <v>55474504</v>
          </cell>
          <cell r="J1009" t="str">
            <v/>
          </cell>
          <cell r="K1009" t="str">
            <v>-</v>
          </cell>
          <cell r="L1009">
            <v>15900</v>
          </cell>
          <cell r="M1009">
            <v>15900</v>
          </cell>
          <cell r="Q1009">
            <v>15900</v>
          </cell>
          <cell r="R1009">
            <v>91748005268</v>
          </cell>
          <cell r="Y1009" t="str">
            <v>글라스틱 외부 2p 세트 갤럭시 Z 플립6</v>
          </cell>
          <cell r="AC1009">
            <v>4271.8181818181811</v>
          </cell>
          <cell r="AD1009">
            <v>427.18181818181813</v>
          </cell>
          <cell r="AE1009">
            <v>4699</v>
          </cell>
          <cell r="AG1009">
            <v>8545.4545454545441</v>
          </cell>
          <cell r="AH1009">
            <v>854.54545454545587</v>
          </cell>
          <cell r="AI1009">
            <v>9400</v>
          </cell>
          <cell r="AK1009">
            <v>4273.6363636363631</v>
          </cell>
        </row>
        <row r="1010">
          <cell r="H1010">
            <v>88520630093</v>
          </cell>
          <cell r="I1010">
            <v>42231572</v>
          </cell>
          <cell r="J1010">
            <v>2</v>
          </cell>
          <cell r="K1010" t="str">
            <v>-</v>
          </cell>
          <cell r="L1010">
            <v>13880</v>
          </cell>
          <cell r="M1010">
            <v>13880</v>
          </cell>
          <cell r="Q1010">
            <v>14050</v>
          </cell>
          <cell r="R1010">
            <v>88520630093</v>
          </cell>
          <cell r="Y1010" t="str">
            <v>글라스틱 필름 2매 갤럭시 S24</v>
          </cell>
          <cell r="AC1010">
            <v>4285.454545454545</v>
          </cell>
          <cell r="AD1010">
            <v>428.5454545454545</v>
          </cell>
          <cell r="AE1010">
            <v>4714</v>
          </cell>
          <cell r="AG1010">
            <v>7227.272727272727</v>
          </cell>
          <cell r="AH1010">
            <v>722.72727272727298</v>
          </cell>
          <cell r="AI1010">
            <v>7950</v>
          </cell>
          <cell r="AK1010">
            <v>2941.818181818182</v>
          </cell>
        </row>
        <row r="1011">
          <cell r="H1011">
            <v>88520630076</v>
          </cell>
          <cell r="I1011">
            <v>42231571</v>
          </cell>
          <cell r="J1011" t="str">
            <v/>
          </cell>
          <cell r="K1011" t="str">
            <v>-</v>
          </cell>
          <cell r="L1011">
            <v>13880</v>
          </cell>
          <cell r="M1011">
            <v>13880</v>
          </cell>
          <cell r="Q1011">
            <v>14050</v>
          </cell>
          <cell r="R1011">
            <v>88520630076</v>
          </cell>
          <cell r="Y1011" t="str">
            <v>글라스틱 필름 2매 갤럭시 S24 울트라</v>
          </cell>
          <cell r="AC1011">
            <v>4285.454545454545</v>
          </cell>
          <cell r="AD1011">
            <v>428.5454545454545</v>
          </cell>
          <cell r="AE1011">
            <v>4714</v>
          </cell>
          <cell r="AG1011">
            <v>7227.272727272727</v>
          </cell>
          <cell r="AH1011">
            <v>722.72727272727298</v>
          </cell>
          <cell r="AI1011">
            <v>7950</v>
          </cell>
          <cell r="AK1011">
            <v>2941.818181818182</v>
          </cell>
        </row>
        <row r="1012">
          <cell r="H1012">
            <v>88520630106</v>
          </cell>
          <cell r="I1012">
            <v>42231573</v>
          </cell>
          <cell r="J1012" t="str">
            <v/>
          </cell>
          <cell r="K1012" t="str">
            <v>-</v>
          </cell>
          <cell r="L1012">
            <v>13880</v>
          </cell>
          <cell r="M1012">
            <v>13880</v>
          </cell>
          <cell r="Q1012">
            <v>14050</v>
          </cell>
          <cell r="R1012">
            <v>88520630106</v>
          </cell>
          <cell r="Y1012" t="str">
            <v>글라스틱 필름 2매 갤럭시 S24 플러스</v>
          </cell>
          <cell r="AC1012">
            <v>4285.454545454545</v>
          </cell>
          <cell r="AD1012">
            <v>428.5454545454545</v>
          </cell>
          <cell r="AE1012">
            <v>4714</v>
          </cell>
          <cell r="AG1012">
            <v>7227.272727272727</v>
          </cell>
          <cell r="AH1012">
            <v>722.72727272727298</v>
          </cell>
          <cell r="AI1012">
            <v>7950</v>
          </cell>
          <cell r="AK1012">
            <v>2941.818181818182</v>
          </cell>
        </row>
        <row r="1013">
          <cell r="H1013">
            <v>85487987458</v>
          </cell>
          <cell r="I1013">
            <v>34314386</v>
          </cell>
          <cell r="J1013" t="str">
            <v/>
          </cell>
          <cell r="K1013" t="str">
            <v>-</v>
          </cell>
          <cell r="L1013">
            <v>13880</v>
          </cell>
          <cell r="M1013">
            <v>13880</v>
          </cell>
          <cell r="Q1013">
            <v>14050</v>
          </cell>
          <cell r="R1013">
            <v>85487987458</v>
          </cell>
          <cell r="Y1013" t="str">
            <v>글라스틱 필름갤럭시S22</v>
          </cell>
          <cell r="AC1013">
            <v>4285.454545454545</v>
          </cell>
          <cell r="AD1013">
            <v>428.5454545454545</v>
          </cell>
          <cell r="AE1013">
            <v>4714</v>
          </cell>
          <cell r="AG1013">
            <v>7227.272727272727</v>
          </cell>
          <cell r="AH1013">
            <v>722.72727272727298</v>
          </cell>
          <cell r="AI1013">
            <v>7950</v>
          </cell>
          <cell r="AK1013">
            <v>2941.818181818182</v>
          </cell>
        </row>
        <row r="1014">
          <cell r="H1014">
            <v>85489100009</v>
          </cell>
          <cell r="I1014">
            <v>34322706</v>
          </cell>
          <cell r="J1014" t="str">
            <v/>
          </cell>
          <cell r="K1014" t="str">
            <v>-</v>
          </cell>
          <cell r="L1014">
            <v>13880</v>
          </cell>
          <cell r="M1014">
            <v>13880</v>
          </cell>
          <cell r="Q1014">
            <v>14050</v>
          </cell>
          <cell r="R1014">
            <v>85489100009</v>
          </cell>
          <cell r="Y1014" t="str">
            <v>글라스틱 필름갤럭시S22+</v>
          </cell>
          <cell r="AC1014">
            <v>4285.454545454545</v>
          </cell>
          <cell r="AD1014">
            <v>428.5454545454545</v>
          </cell>
          <cell r="AE1014">
            <v>4714</v>
          </cell>
          <cell r="AG1014">
            <v>7227.272727272727</v>
          </cell>
          <cell r="AH1014">
            <v>722.72727272727298</v>
          </cell>
          <cell r="AI1014">
            <v>7950</v>
          </cell>
          <cell r="AK1014">
            <v>2941.818181818182</v>
          </cell>
        </row>
        <row r="1015">
          <cell r="H1015">
            <v>85487987474</v>
          </cell>
          <cell r="I1015">
            <v>34314387</v>
          </cell>
          <cell r="J1015" t="str">
            <v/>
          </cell>
          <cell r="K1015" t="str">
            <v>-</v>
          </cell>
          <cell r="L1015">
            <v>13880</v>
          </cell>
          <cell r="M1015">
            <v>13880</v>
          </cell>
          <cell r="Q1015">
            <v>14050</v>
          </cell>
          <cell r="R1015">
            <v>85487987474</v>
          </cell>
          <cell r="Y1015" t="str">
            <v>글라스틱 필름갤럭시S22울트라</v>
          </cell>
          <cell r="AC1015">
            <v>4285.454545454545</v>
          </cell>
          <cell r="AD1015">
            <v>428.5454545454545</v>
          </cell>
          <cell r="AE1015">
            <v>4714</v>
          </cell>
          <cell r="AG1015">
            <v>7227.272727272727</v>
          </cell>
          <cell r="AH1015">
            <v>722.72727272727298</v>
          </cell>
          <cell r="AI1015">
            <v>7950</v>
          </cell>
          <cell r="AK1015">
            <v>2941.818181818182</v>
          </cell>
        </row>
        <row r="1016">
          <cell r="H1016">
            <v>85487987486</v>
          </cell>
          <cell r="I1016">
            <v>34314388</v>
          </cell>
          <cell r="J1016" t="str">
            <v/>
          </cell>
          <cell r="K1016" t="str">
            <v>-</v>
          </cell>
          <cell r="L1016">
            <v>13880</v>
          </cell>
          <cell r="M1016">
            <v>13880</v>
          </cell>
          <cell r="Q1016">
            <v>14050</v>
          </cell>
          <cell r="R1016">
            <v>85487987486</v>
          </cell>
          <cell r="Y1016" t="str">
            <v>글라스틱 필름갤럭시S23</v>
          </cell>
          <cell r="AC1016">
            <v>4285.454545454545</v>
          </cell>
          <cell r="AD1016">
            <v>428.5454545454545</v>
          </cell>
          <cell r="AE1016">
            <v>4714</v>
          </cell>
          <cell r="AG1016">
            <v>7227.272727272727</v>
          </cell>
          <cell r="AH1016">
            <v>722.72727272727298</v>
          </cell>
          <cell r="AI1016">
            <v>7950</v>
          </cell>
          <cell r="AK1016">
            <v>2941.818181818182</v>
          </cell>
        </row>
        <row r="1017">
          <cell r="H1017">
            <v>85489100045</v>
          </cell>
          <cell r="I1017">
            <v>34322709</v>
          </cell>
          <cell r="J1017" t="str">
            <v/>
          </cell>
          <cell r="K1017" t="str">
            <v>-</v>
          </cell>
          <cell r="L1017">
            <v>13880</v>
          </cell>
          <cell r="M1017">
            <v>13880</v>
          </cell>
          <cell r="Q1017">
            <v>14050</v>
          </cell>
          <cell r="R1017">
            <v>85489100045</v>
          </cell>
          <cell r="Y1017" t="str">
            <v>글라스틱 필름갤럭시S23+</v>
          </cell>
          <cell r="AC1017">
            <v>4285.454545454545</v>
          </cell>
          <cell r="AD1017">
            <v>428.5454545454545</v>
          </cell>
          <cell r="AE1017">
            <v>4714</v>
          </cell>
          <cell r="AG1017">
            <v>7227.272727272727</v>
          </cell>
          <cell r="AH1017">
            <v>722.72727272727298</v>
          </cell>
          <cell r="AI1017">
            <v>7950</v>
          </cell>
          <cell r="AK1017">
            <v>2941.818181818182</v>
          </cell>
        </row>
        <row r="1018">
          <cell r="H1018">
            <v>85489100065</v>
          </cell>
          <cell r="I1018">
            <v>34322710</v>
          </cell>
          <cell r="J1018" t="str">
            <v/>
          </cell>
          <cell r="K1018" t="str">
            <v>-</v>
          </cell>
          <cell r="L1018">
            <v>13880</v>
          </cell>
          <cell r="M1018">
            <v>13880</v>
          </cell>
          <cell r="Q1018">
            <v>14050</v>
          </cell>
          <cell r="R1018">
            <v>85489100065</v>
          </cell>
          <cell r="Y1018" t="str">
            <v>글라스틱 필름갤럭시S23울트라</v>
          </cell>
          <cell r="AC1018">
            <v>4285.454545454545</v>
          </cell>
          <cell r="AD1018">
            <v>428.5454545454545</v>
          </cell>
          <cell r="AE1018">
            <v>4714</v>
          </cell>
          <cell r="AG1018">
            <v>7227.272727272727</v>
          </cell>
          <cell r="AH1018">
            <v>722.72727272727298</v>
          </cell>
          <cell r="AI1018">
            <v>7950</v>
          </cell>
          <cell r="AK1018">
            <v>2941.818181818182</v>
          </cell>
        </row>
        <row r="1019">
          <cell r="H1019">
            <v>85489100154</v>
          </cell>
          <cell r="I1019">
            <v>34322717</v>
          </cell>
          <cell r="J1019" t="str">
            <v/>
          </cell>
          <cell r="K1019" t="str">
            <v>-</v>
          </cell>
          <cell r="L1019">
            <v>13880</v>
          </cell>
          <cell r="M1019">
            <v>13880</v>
          </cell>
          <cell r="Q1019">
            <v>14050</v>
          </cell>
          <cell r="R1019">
            <v>85489100154</v>
          </cell>
          <cell r="Y1019" t="str">
            <v>글라스틱 필름아이폰12</v>
          </cell>
          <cell r="AC1019">
            <v>4285.454545454545</v>
          </cell>
          <cell r="AD1019">
            <v>428.5454545454545</v>
          </cell>
          <cell r="AE1019">
            <v>4714</v>
          </cell>
          <cell r="AG1019">
            <v>7227.272727272727</v>
          </cell>
          <cell r="AH1019">
            <v>722.72727272727298</v>
          </cell>
          <cell r="AI1019">
            <v>7950</v>
          </cell>
          <cell r="AK1019">
            <v>2941.818181818182</v>
          </cell>
        </row>
        <row r="1020">
          <cell r="H1020">
            <v>85489100170</v>
          </cell>
          <cell r="I1020">
            <v>34322719</v>
          </cell>
          <cell r="J1020" t="str">
            <v/>
          </cell>
          <cell r="K1020" t="str">
            <v>-</v>
          </cell>
          <cell r="L1020">
            <v>13880</v>
          </cell>
          <cell r="M1020">
            <v>13880</v>
          </cell>
          <cell r="Q1020">
            <v>14050</v>
          </cell>
          <cell r="R1020">
            <v>85489100170</v>
          </cell>
          <cell r="Y1020" t="str">
            <v>글라스틱 필름아이폰12미니</v>
          </cell>
          <cell r="AC1020">
            <v>4285.454545454545</v>
          </cell>
          <cell r="AD1020">
            <v>428.5454545454545</v>
          </cell>
          <cell r="AE1020">
            <v>4714</v>
          </cell>
          <cell r="AG1020">
            <v>7227.272727272727</v>
          </cell>
          <cell r="AH1020">
            <v>722.72727272727298</v>
          </cell>
          <cell r="AI1020">
            <v>7950</v>
          </cell>
          <cell r="AK1020">
            <v>2941.818181818182</v>
          </cell>
        </row>
        <row r="1021">
          <cell r="H1021">
            <v>85489100130</v>
          </cell>
          <cell r="I1021">
            <v>34322715</v>
          </cell>
          <cell r="J1021" t="str">
            <v/>
          </cell>
          <cell r="K1021" t="str">
            <v>-</v>
          </cell>
          <cell r="L1021">
            <v>13880</v>
          </cell>
          <cell r="M1021">
            <v>13880</v>
          </cell>
          <cell r="Q1021">
            <v>14050</v>
          </cell>
          <cell r="R1021">
            <v>85489100130</v>
          </cell>
          <cell r="Y1021" t="str">
            <v>글라스틱 필름아이폰12프로</v>
          </cell>
          <cell r="AC1021">
            <v>4285.454545454545</v>
          </cell>
          <cell r="AD1021">
            <v>428.5454545454545</v>
          </cell>
          <cell r="AE1021">
            <v>4714</v>
          </cell>
          <cell r="AG1021">
            <v>7227.272727272727</v>
          </cell>
          <cell r="AH1021">
            <v>722.72727272727298</v>
          </cell>
          <cell r="AI1021">
            <v>7950</v>
          </cell>
          <cell r="AK1021">
            <v>2941.818181818182</v>
          </cell>
        </row>
        <row r="1022">
          <cell r="H1022">
            <v>85489100109</v>
          </cell>
          <cell r="I1022">
            <v>34322714</v>
          </cell>
          <cell r="J1022" t="str">
            <v/>
          </cell>
          <cell r="K1022" t="str">
            <v>-</v>
          </cell>
          <cell r="L1022">
            <v>13880</v>
          </cell>
          <cell r="M1022">
            <v>13880</v>
          </cell>
          <cell r="Q1022">
            <v>14050</v>
          </cell>
          <cell r="R1022">
            <v>85489100109</v>
          </cell>
          <cell r="Y1022" t="str">
            <v>글라스틱 필름아이폰12프로맥스</v>
          </cell>
          <cell r="AC1022">
            <v>4285.454545454545</v>
          </cell>
          <cell r="AD1022">
            <v>428.5454545454545</v>
          </cell>
          <cell r="AE1022">
            <v>4714</v>
          </cell>
          <cell r="AG1022">
            <v>7227.272727272727</v>
          </cell>
          <cell r="AH1022">
            <v>722.72727272727298</v>
          </cell>
          <cell r="AI1022">
            <v>7950</v>
          </cell>
          <cell r="AK1022">
            <v>2941.818181818182</v>
          </cell>
        </row>
        <row r="1023">
          <cell r="H1023">
            <v>85489100236</v>
          </cell>
          <cell r="I1023">
            <v>34322724</v>
          </cell>
          <cell r="J1023" t="str">
            <v/>
          </cell>
          <cell r="K1023" t="str">
            <v>-</v>
          </cell>
          <cell r="L1023">
            <v>13880</v>
          </cell>
          <cell r="M1023">
            <v>13880</v>
          </cell>
          <cell r="Q1023">
            <v>14050</v>
          </cell>
          <cell r="R1023">
            <v>85489100236</v>
          </cell>
          <cell r="Y1023" t="str">
            <v>글라스틱 필름아이폰13</v>
          </cell>
          <cell r="AC1023">
            <v>4285.454545454545</v>
          </cell>
          <cell r="AD1023">
            <v>428.5454545454545</v>
          </cell>
          <cell r="AE1023">
            <v>4714</v>
          </cell>
          <cell r="AG1023">
            <v>7227.272727272727</v>
          </cell>
          <cell r="AH1023">
            <v>722.72727272727298</v>
          </cell>
          <cell r="AI1023">
            <v>7950</v>
          </cell>
          <cell r="AK1023">
            <v>2941.818181818182</v>
          </cell>
        </row>
        <row r="1024">
          <cell r="H1024">
            <v>85489100259</v>
          </cell>
          <cell r="I1024">
            <v>34322726</v>
          </cell>
          <cell r="J1024" t="str">
            <v/>
          </cell>
          <cell r="K1024" t="str">
            <v>-</v>
          </cell>
          <cell r="L1024">
            <v>13880</v>
          </cell>
          <cell r="M1024">
            <v>13880</v>
          </cell>
          <cell r="Q1024">
            <v>14050</v>
          </cell>
          <cell r="R1024">
            <v>85489100259</v>
          </cell>
          <cell r="Y1024" t="str">
            <v>글라스틱 필름아이폰13미니</v>
          </cell>
          <cell r="AC1024">
            <v>4285.454545454545</v>
          </cell>
          <cell r="AD1024">
            <v>428.5454545454545</v>
          </cell>
          <cell r="AE1024">
            <v>4714</v>
          </cell>
          <cell r="AG1024">
            <v>7227.272727272727</v>
          </cell>
          <cell r="AH1024">
            <v>722.72727272727298</v>
          </cell>
          <cell r="AI1024">
            <v>7950</v>
          </cell>
          <cell r="AK1024">
            <v>2941.818181818182</v>
          </cell>
        </row>
        <row r="1025">
          <cell r="H1025">
            <v>85489100203</v>
          </cell>
          <cell r="I1025">
            <v>34322722</v>
          </cell>
          <cell r="J1025" t="str">
            <v/>
          </cell>
          <cell r="K1025" t="str">
            <v>-</v>
          </cell>
          <cell r="L1025">
            <v>13880</v>
          </cell>
          <cell r="M1025">
            <v>13880</v>
          </cell>
          <cell r="Q1025">
            <v>14050</v>
          </cell>
          <cell r="R1025">
            <v>85489100203</v>
          </cell>
          <cell r="Y1025" t="str">
            <v>글라스틱 필름아이폰13프로</v>
          </cell>
          <cell r="AC1025">
            <v>4285.454545454545</v>
          </cell>
          <cell r="AD1025">
            <v>428.5454545454545</v>
          </cell>
          <cell r="AE1025">
            <v>4714</v>
          </cell>
          <cell r="AG1025">
            <v>7227.272727272727</v>
          </cell>
          <cell r="AH1025">
            <v>722.72727272727298</v>
          </cell>
          <cell r="AI1025">
            <v>7950</v>
          </cell>
          <cell r="AK1025">
            <v>2941.818181818182</v>
          </cell>
        </row>
        <row r="1026">
          <cell r="H1026">
            <v>85487987502</v>
          </cell>
          <cell r="I1026">
            <v>34314389</v>
          </cell>
          <cell r="J1026" t="str">
            <v/>
          </cell>
          <cell r="K1026" t="str">
            <v>-</v>
          </cell>
          <cell r="L1026">
            <v>13880</v>
          </cell>
          <cell r="M1026">
            <v>13880</v>
          </cell>
          <cell r="Q1026">
            <v>14050</v>
          </cell>
          <cell r="R1026">
            <v>85487987502</v>
          </cell>
          <cell r="Y1026" t="str">
            <v>글라스틱 필름아이폰13프로맥스</v>
          </cell>
          <cell r="AC1026">
            <v>4285.454545454545</v>
          </cell>
          <cell r="AD1026">
            <v>428.5454545454545</v>
          </cell>
          <cell r="AE1026">
            <v>4714</v>
          </cell>
          <cell r="AG1026">
            <v>7227.272727272727</v>
          </cell>
          <cell r="AH1026">
            <v>722.72727272727298</v>
          </cell>
          <cell r="AI1026">
            <v>7950</v>
          </cell>
          <cell r="AK1026">
            <v>2941.818181818182</v>
          </cell>
        </row>
        <row r="1027">
          <cell r="H1027">
            <v>85489100028</v>
          </cell>
          <cell r="I1027">
            <v>34322707</v>
          </cell>
          <cell r="J1027" t="str">
            <v/>
          </cell>
          <cell r="K1027" t="str">
            <v>-</v>
          </cell>
          <cell r="L1027">
            <v>13880</v>
          </cell>
          <cell r="M1027">
            <v>13880</v>
          </cell>
          <cell r="Q1027">
            <v>14050</v>
          </cell>
          <cell r="R1027">
            <v>85489100028</v>
          </cell>
          <cell r="Y1027" t="str">
            <v>글라스틱 필름아이폰14</v>
          </cell>
          <cell r="AC1027">
            <v>4285.454545454545</v>
          </cell>
          <cell r="AD1027">
            <v>428.5454545454545</v>
          </cell>
          <cell r="AE1027">
            <v>4714</v>
          </cell>
          <cell r="AG1027">
            <v>7227.272727272727</v>
          </cell>
          <cell r="AH1027">
            <v>722.72727272727298</v>
          </cell>
          <cell r="AI1027">
            <v>7950</v>
          </cell>
          <cell r="AK1027">
            <v>2941.818181818182</v>
          </cell>
        </row>
        <row r="1028">
          <cell r="H1028">
            <v>85489100220</v>
          </cell>
          <cell r="I1028">
            <v>34322723</v>
          </cell>
          <cell r="J1028" t="str">
            <v/>
          </cell>
          <cell r="K1028" t="str">
            <v>-</v>
          </cell>
          <cell r="L1028">
            <v>13880</v>
          </cell>
          <cell r="M1028">
            <v>13880</v>
          </cell>
          <cell r="Q1028">
            <v>14050</v>
          </cell>
          <cell r="R1028">
            <v>85489100220</v>
          </cell>
          <cell r="Y1028" t="str">
            <v>글라스틱 필름아이폰14+</v>
          </cell>
          <cell r="AC1028">
            <v>4285.454545454545</v>
          </cell>
          <cell r="AD1028">
            <v>428.5454545454545</v>
          </cell>
          <cell r="AE1028">
            <v>4714</v>
          </cell>
          <cell r="AG1028">
            <v>7227.272727272727</v>
          </cell>
          <cell r="AH1028">
            <v>722.72727272727298</v>
          </cell>
          <cell r="AI1028">
            <v>7950</v>
          </cell>
          <cell r="AK1028">
            <v>2941.818181818182</v>
          </cell>
        </row>
        <row r="1029">
          <cell r="H1029">
            <v>85489100188</v>
          </cell>
          <cell r="I1029">
            <v>34322720</v>
          </cell>
          <cell r="J1029" t="str">
            <v/>
          </cell>
          <cell r="K1029" t="str">
            <v>-</v>
          </cell>
          <cell r="L1029">
            <v>13880</v>
          </cell>
          <cell r="M1029">
            <v>13880</v>
          </cell>
          <cell r="Q1029">
            <v>14050</v>
          </cell>
          <cell r="R1029">
            <v>85489100188</v>
          </cell>
          <cell r="Y1029" t="str">
            <v>글라스틱 필름아이폰14프로</v>
          </cell>
          <cell r="AC1029">
            <v>4285.454545454545</v>
          </cell>
          <cell r="AD1029">
            <v>428.5454545454545</v>
          </cell>
          <cell r="AE1029">
            <v>4714</v>
          </cell>
          <cell r="AG1029">
            <v>7227.272727272727</v>
          </cell>
          <cell r="AH1029">
            <v>722.72727272727298</v>
          </cell>
          <cell r="AI1029">
            <v>7950</v>
          </cell>
          <cell r="AK1029">
            <v>2941.818181818182</v>
          </cell>
        </row>
        <row r="1030">
          <cell r="H1030">
            <v>85489100087</v>
          </cell>
          <cell r="I1030">
            <v>34322712</v>
          </cell>
          <cell r="J1030" t="str">
            <v/>
          </cell>
          <cell r="K1030" t="str">
            <v>-</v>
          </cell>
          <cell r="L1030">
            <v>13880</v>
          </cell>
          <cell r="M1030">
            <v>13880</v>
          </cell>
          <cell r="Q1030">
            <v>14050</v>
          </cell>
          <cell r="R1030">
            <v>85489100087</v>
          </cell>
          <cell r="Y1030" t="str">
            <v>글라스틱 필름아이폰14프로맥스</v>
          </cell>
          <cell r="AC1030">
            <v>4285.454545454545</v>
          </cell>
          <cell r="AD1030">
            <v>428.5454545454545</v>
          </cell>
          <cell r="AE1030">
            <v>4714</v>
          </cell>
          <cell r="AG1030">
            <v>7227.272727272727</v>
          </cell>
          <cell r="AH1030">
            <v>722.72727272727298</v>
          </cell>
          <cell r="AI1030">
            <v>7950</v>
          </cell>
          <cell r="AK1030">
            <v>2941.818181818182</v>
          </cell>
        </row>
        <row r="1031">
          <cell r="H1031">
            <v>85132008178</v>
          </cell>
          <cell r="I1031">
            <v>33140790</v>
          </cell>
          <cell r="J1031" t="str">
            <v/>
          </cell>
          <cell r="K1031" t="str">
            <v>-</v>
          </cell>
          <cell r="L1031">
            <v>13900</v>
          </cell>
          <cell r="M1031">
            <v>13900</v>
          </cell>
          <cell r="Q1031">
            <v>13900</v>
          </cell>
          <cell r="R1031">
            <v>85132008178</v>
          </cell>
          <cell r="Y1031" t="str">
            <v>아이폰12 맥세이프 에어범퍼케이스</v>
          </cell>
          <cell r="AC1031">
            <v>3636.363636363636</v>
          </cell>
          <cell r="AD1031">
            <v>363.63636363636363</v>
          </cell>
          <cell r="AE1031">
            <v>4000</v>
          </cell>
          <cell r="AG1031">
            <v>6949.9999999999991</v>
          </cell>
          <cell r="AH1031">
            <v>695.00000000000091</v>
          </cell>
          <cell r="AI1031">
            <v>7645</v>
          </cell>
          <cell r="AK1031">
            <v>3313.6363636363631</v>
          </cell>
        </row>
        <row r="1032">
          <cell r="H1032">
            <v>85132008215</v>
          </cell>
          <cell r="I1032">
            <v>33140797</v>
          </cell>
          <cell r="J1032" t="str">
            <v/>
          </cell>
          <cell r="K1032" t="str">
            <v>-</v>
          </cell>
          <cell r="L1032">
            <v>13900</v>
          </cell>
          <cell r="M1032">
            <v>13900</v>
          </cell>
          <cell r="Q1032">
            <v>13900</v>
          </cell>
          <cell r="R1032">
            <v>85132008215</v>
          </cell>
          <cell r="Y1032" t="str">
            <v>아이폰12미니 맥세이프 에어범퍼케이스</v>
          </cell>
          <cell r="AC1032">
            <v>3637.272727272727</v>
          </cell>
          <cell r="AD1032">
            <v>363.72727272727275</v>
          </cell>
          <cell r="AE1032">
            <v>4001</v>
          </cell>
          <cell r="AG1032">
            <v>6949.9999999999991</v>
          </cell>
          <cell r="AH1032">
            <v>695.00000000000091</v>
          </cell>
          <cell r="AI1032">
            <v>7645</v>
          </cell>
          <cell r="AK1032">
            <v>3312.7272727272721</v>
          </cell>
        </row>
        <row r="1033">
          <cell r="H1033">
            <v>85132008195</v>
          </cell>
          <cell r="I1033">
            <v>33140793</v>
          </cell>
          <cell r="J1033" t="str">
            <v/>
          </cell>
          <cell r="K1033" t="str">
            <v>-</v>
          </cell>
          <cell r="L1033">
            <v>12530</v>
          </cell>
          <cell r="M1033">
            <v>12530</v>
          </cell>
          <cell r="Q1033">
            <v>13360</v>
          </cell>
          <cell r="R1033">
            <v>85132008195</v>
          </cell>
          <cell r="Y1033" t="str">
            <v>아이폰12프로맥스 맥세이프 에어범퍼케이스</v>
          </cell>
          <cell r="AC1033">
            <v>3636.363636363636</v>
          </cell>
          <cell r="AD1033">
            <v>363.63636363636363</v>
          </cell>
          <cell r="AE1033">
            <v>4000</v>
          </cell>
          <cell r="AG1033">
            <v>6949.9999999999991</v>
          </cell>
          <cell r="AH1033">
            <v>695.00000000000091</v>
          </cell>
          <cell r="AI1033">
            <v>7645</v>
          </cell>
          <cell r="AK1033">
            <v>3313.6363636363631</v>
          </cell>
        </row>
        <row r="1034">
          <cell r="H1034">
            <v>85132008132</v>
          </cell>
          <cell r="I1034">
            <v>33140784</v>
          </cell>
          <cell r="J1034" t="str">
            <v/>
          </cell>
          <cell r="K1034" t="str">
            <v>-</v>
          </cell>
          <cell r="L1034">
            <v>13900</v>
          </cell>
          <cell r="M1034">
            <v>13900</v>
          </cell>
          <cell r="Q1034">
            <v>13900</v>
          </cell>
          <cell r="R1034">
            <v>85132008132</v>
          </cell>
          <cell r="Y1034" t="str">
            <v>아이폰13 맥세이프 에어범퍼케이스</v>
          </cell>
          <cell r="AC1034">
            <v>3636.363636363636</v>
          </cell>
          <cell r="AD1034">
            <v>363.63636363636363</v>
          </cell>
          <cell r="AE1034">
            <v>4000</v>
          </cell>
          <cell r="AG1034">
            <v>6949.9999999999991</v>
          </cell>
          <cell r="AH1034">
            <v>695.00000000000091</v>
          </cell>
          <cell r="AI1034">
            <v>7645</v>
          </cell>
          <cell r="AK1034">
            <v>3313.6363636363631</v>
          </cell>
        </row>
        <row r="1035">
          <cell r="H1035">
            <v>85132008206</v>
          </cell>
          <cell r="I1035">
            <v>33140795</v>
          </cell>
          <cell r="J1035" t="str">
            <v/>
          </cell>
          <cell r="K1035" t="str">
            <v>-</v>
          </cell>
          <cell r="L1035">
            <v>13900</v>
          </cell>
          <cell r="M1035">
            <v>13900</v>
          </cell>
          <cell r="Q1035">
            <v>13900</v>
          </cell>
          <cell r="R1035">
            <v>85132008206</v>
          </cell>
          <cell r="Y1035" t="str">
            <v>아이폰13미니 맥세이프 에어범퍼케이스</v>
          </cell>
          <cell r="AC1035">
            <v>3636.363636363636</v>
          </cell>
          <cell r="AD1035">
            <v>363.63636363636363</v>
          </cell>
          <cell r="AE1035">
            <v>4000</v>
          </cell>
          <cell r="AG1035">
            <v>6949.9999999999991</v>
          </cell>
          <cell r="AH1035">
            <v>695.00000000000091</v>
          </cell>
          <cell r="AI1035">
            <v>7645</v>
          </cell>
          <cell r="AK1035">
            <v>3313.6363636363631</v>
          </cell>
        </row>
        <row r="1036">
          <cell r="H1036">
            <v>85132008152</v>
          </cell>
          <cell r="I1036">
            <v>33140787</v>
          </cell>
          <cell r="J1036" t="str">
            <v/>
          </cell>
          <cell r="K1036" t="str">
            <v>-</v>
          </cell>
          <cell r="L1036">
            <v>13900</v>
          </cell>
          <cell r="M1036">
            <v>13900</v>
          </cell>
          <cell r="Q1036">
            <v>13900</v>
          </cell>
          <cell r="R1036">
            <v>85132008152</v>
          </cell>
          <cell r="Y1036" t="str">
            <v>아이폰13프로맥스 맥세이프 에어범퍼케이스</v>
          </cell>
          <cell r="AC1036">
            <v>3637.272727272727</v>
          </cell>
          <cell r="AD1036">
            <v>363.72727272727275</v>
          </cell>
          <cell r="AE1036">
            <v>4001</v>
          </cell>
          <cell r="AG1036">
            <v>6949.9999999999991</v>
          </cell>
          <cell r="AH1036">
            <v>695.00000000000091</v>
          </cell>
          <cell r="AI1036">
            <v>7645</v>
          </cell>
          <cell r="AK1036">
            <v>3312.7272727272721</v>
          </cell>
        </row>
        <row r="1037">
          <cell r="H1037">
            <v>85132008162</v>
          </cell>
          <cell r="I1037">
            <v>33140788</v>
          </cell>
          <cell r="J1037" t="str">
            <v/>
          </cell>
          <cell r="K1037" t="str">
            <v>-</v>
          </cell>
          <cell r="L1037">
            <v>13900</v>
          </cell>
          <cell r="M1037">
            <v>13900</v>
          </cell>
          <cell r="Q1037">
            <v>13900</v>
          </cell>
          <cell r="R1037">
            <v>85132008162</v>
          </cell>
          <cell r="Y1037" t="str">
            <v>아이폰14 맥세이프 에어범퍼케이스</v>
          </cell>
          <cell r="AC1037">
            <v>3636.363636363636</v>
          </cell>
          <cell r="AD1037">
            <v>363.63636363636363</v>
          </cell>
          <cell r="AE1037">
            <v>4000</v>
          </cell>
          <cell r="AG1037">
            <v>6949.9999999999991</v>
          </cell>
          <cell r="AH1037">
            <v>695.00000000000091</v>
          </cell>
          <cell r="AI1037">
            <v>7645</v>
          </cell>
          <cell r="AK1037">
            <v>3313.6363636363631</v>
          </cell>
        </row>
        <row r="1038">
          <cell r="H1038">
            <v>85132008199</v>
          </cell>
          <cell r="I1038">
            <v>33140794</v>
          </cell>
          <cell r="J1038" t="str">
            <v/>
          </cell>
          <cell r="K1038" t="str">
            <v>-</v>
          </cell>
          <cell r="L1038">
            <v>13900</v>
          </cell>
          <cell r="M1038">
            <v>13900</v>
          </cell>
          <cell r="Q1038">
            <v>13900</v>
          </cell>
          <cell r="R1038">
            <v>85132008199</v>
          </cell>
          <cell r="Y1038" t="str">
            <v>아이폰14프로 맥세이프 에어범퍼케이스</v>
          </cell>
          <cell r="AC1038">
            <v>3636.363636363636</v>
          </cell>
          <cell r="AD1038">
            <v>363.63636363636363</v>
          </cell>
          <cell r="AE1038">
            <v>4000</v>
          </cell>
          <cell r="AG1038">
            <v>6949.9999999999991</v>
          </cell>
          <cell r="AH1038">
            <v>695.00000000000091</v>
          </cell>
          <cell r="AI1038">
            <v>7645</v>
          </cell>
          <cell r="AK1038">
            <v>3313.6363636363631</v>
          </cell>
        </row>
        <row r="1039">
          <cell r="H1039">
            <v>85132008184</v>
          </cell>
          <cell r="I1039">
            <v>33140791</v>
          </cell>
          <cell r="J1039" t="str">
            <v/>
          </cell>
          <cell r="K1039" t="str">
            <v>-</v>
          </cell>
          <cell r="L1039">
            <v>13900</v>
          </cell>
          <cell r="M1039">
            <v>13900</v>
          </cell>
          <cell r="Q1039">
            <v>13900</v>
          </cell>
          <cell r="R1039">
            <v>85132008184</v>
          </cell>
          <cell r="Y1039" t="str">
            <v>아이폰14프로맥스 맥세이프 에어범퍼케이스</v>
          </cell>
          <cell r="AC1039">
            <v>3636.363636363636</v>
          </cell>
          <cell r="AD1039">
            <v>363.63636363636363</v>
          </cell>
          <cell r="AE1039">
            <v>4000</v>
          </cell>
          <cell r="AG1039">
            <v>6949.9999999999991</v>
          </cell>
          <cell r="AH1039">
            <v>695.00000000000091</v>
          </cell>
          <cell r="AI1039">
            <v>7645</v>
          </cell>
          <cell r="AK1039">
            <v>3313.6363636363631</v>
          </cell>
        </row>
        <row r="1040">
          <cell r="H1040">
            <v>85132008171</v>
          </cell>
          <cell r="I1040">
            <v>33140789</v>
          </cell>
          <cell r="J1040" t="str">
            <v/>
          </cell>
          <cell r="K1040" t="str">
            <v>-</v>
          </cell>
          <cell r="L1040">
            <v>12530</v>
          </cell>
          <cell r="M1040">
            <v>12530</v>
          </cell>
          <cell r="Q1040">
            <v>13360</v>
          </cell>
          <cell r="R1040">
            <v>85132008171</v>
          </cell>
          <cell r="Y1040" t="str">
            <v>아이폰14플러스 맥세이프 에어범퍼케이스</v>
          </cell>
          <cell r="AC1040">
            <v>3636.363636363636</v>
          </cell>
          <cell r="AD1040">
            <v>363.63636363636363</v>
          </cell>
          <cell r="AE1040">
            <v>4000</v>
          </cell>
          <cell r="AG1040">
            <v>6949.9999999999991</v>
          </cell>
          <cell r="AH1040">
            <v>695.00000000000091</v>
          </cell>
          <cell r="AI1040">
            <v>7645</v>
          </cell>
          <cell r="AK1040">
            <v>3313.6363636363631</v>
          </cell>
        </row>
        <row r="1041">
          <cell r="H1041">
            <v>91067857560</v>
          </cell>
          <cell r="I1041">
            <v>50250355</v>
          </cell>
          <cell r="J1041">
            <v>1</v>
          </cell>
          <cell r="K1041" t="str">
            <v>-</v>
          </cell>
          <cell r="L1041">
            <v>10700</v>
          </cell>
          <cell r="M1041">
            <v>10700</v>
          </cell>
          <cell r="Q1041">
            <v>10700</v>
          </cell>
          <cell r="R1041">
            <v>91067857560</v>
          </cell>
          <cell r="Y1041" t="str">
            <v>아이폰15 PRO MAX 글라스틱 고경도 액정보호필름 2매</v>
          </cell>
          <cell r="AC1041">
            <v>4285.454545454545</v>
          </cell>
          <cell r="AD1041">
            <v>428.5454545454545</v>
          </cell>
          <cell r="AE1041">
            <v>4714</v>
          </cell>
          <cell r="AG1041">
            <v>8545.4545454545441</v>
          </cell>
          <cell r="AH1041">
            <v>854.54545454545587</v>
          </cell>
          <cell r="AI1041">
            <v>9400</v>
          </cell>
          <cell r="AK1041">
            <v>4259.9999999999991</v>
          </cell>
        </row>
        <row r="1042">
          <cell r="H1042">
            <v>91067857600</v>
          </cell>
          <cell r="I1042">
            <v>50250360</v>
          </cell>
          <cell r="J1042">
            <v>7</v>
          </cell>
          <cell r="K1042" t="str">
            <v>-</v>
          </cell>
          <cell r="L1042">
            <v>7600</v>
          </cell>
          <cell r="M1042">
            <v>7600</v>
          </cell>
          <cell r="Q1042">
            <v>7600</v>
          </cell>
          <cell r="R1042">
            <v>91067857600</v>
          </cell>
          <cell r="Y1042" t="str">
            <v>아이폰15 PRO MAX 자가복원 우레탄필름 3매</v>
          </cell>
          <cell r="AA1042" t="str">
            <v>https://smartstore.naver.com/psglobal1/products/10874496543</v>
          </cell>
          <cell r="AC1042">
            <v>2090.9090909090905</v>
          </cell>
          <cell r="AD1042">
            <v>209.09090909090907</v>
          </cell>
          <cell r="AE1042">
            <v>2300</v>
          </cell>
          <cell r="AG1042">
            <v>5818.181818181818</v>
          </cell>
          <cell r="AH1042">
            <v>581.81818181818198</v>
          </cell>
          <cell r="AI1042">
            <v>6400</v>
          </cell>
          <cell r="AK1042">
            <v>3727.2727272727275</v>
          </cell>
        </row>
        <row r="1043">
          <cell r="H1043">
            <v>91067857539</v>
          </cell>
          <cell r="I1043">
            <v>50250349</v>
          </cell>
          <cell r="J1043" t="str">
            <v/>
          </cell>
          <cell r="K1043" t="str">
            <v>-</v>
          </cell>
          <cell r="L1043">
            <v>10700</v>
          </cell>
          <cell r="M1043">
            <v>10700</v>
          </cell>
          <cell r="Q1043">
            <v>10700</v>
          </cell>
          <cell r="R1043">
            <v>91067857539</v>
          </cell>
          <cell r="Y1043" t="str">
            <v>아이폰15 PRO 글라스틱 고경도 액정보호필름 2매</v>
          </cell>
          <cell r="AC1043">
            <v>4285.454545454545</v>
          </cell>
          <cell r="AD1043">
            <v>428.5454545454545</v>
          </cell>
          <cell r="AE1043">
            <v>4714</v>
          </cell>
          <cell r="AG1043">
            <v>8545.4545454545441</v>
          </cell>
          <cell r="AH1043">
            <v>854.54545454545587</v>
          </cell>
          <cell r="AI1043">
            <v>9400</v>
          </cell>
          <cell r="AK1043">
            <v>4259.9999999999991</v>
          </cell>
        </row>
        <row r="1044">
          <cell r="H1044">
            <v>91067857588</v>
          </cell>
          <cell r="I1044">
            <v>50250352</v>
          </cell>
          <cell r="J1044">
            <v>-5</v>
          </cell>
          <cell r="K1044" t="str">
            <v>-</v>
          </cell>
          <cell r="L1044">
            <v>7600</v>
          </cell>
          <cell r="M1044">
            <v>7600</v>
          </cell>
          <cell r="Q1044">
            <v>7600</v>
          </cell>
          <cell r="R1044">
            <v>91067857588</v>
          </cell>
          <cell r="Y1044" t="str">
            <v>아이폰15 PRO 자가복원 우레탄필름 3매</v>
          </cell>
          <cell r="AA1044" t="str">
            <v>https://smartstore.naver.com/psglobal1/products/10874496543</v>
          </cell>
          <cell r="AC1044">
            <v>2090.9090909090905</v>
          </cell>
          <cell r="AD1044">
            <v>209.09090909090907</v>
          </cell>
          <cell r="AE1044">
            <v>2300</v>
          </cell>
          <cell r="AG1044">
            <v>5818.181818181818</v>
          </cell>
          <cell r="AH1044">
            <v>581.81818181818198</v>
          </cell>
          <cell r="AI1044">
            <v>6400</v>
          </cell>
          <cell r="AK1044">
            <v>3727.2727272727275</v>
          </cell>
        </row>
        <row r="1045">
          <cell r="H1045">
            <v>91067857325</v>
          </cell>
          <cell r="I1045">
            <v>50250346</v>
          </cell>
          <cell r="J1045">
            <v>1</v>
          </cell>
          <cell r="K1045" t="str">
            <v>-</v>
          </cell>
          <cell r="L1045">
            <v>7400</v>
          </cell>
          <cell r="M1045">
            <v>7400</v>
          </cell>
          <cell r="Q1045">
            <v>7400</v>
          </cell>
          <cell r="R1045">
            <v>91067857325</v>
          </cell>
          <cell r="Y1045" t="str">
            <v>아이폰15 PRO 종이질감 3매</v>
          </cell>
          <cell r="AA1045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5">
            <v>2227.272727272727</v>
          </cell>
          <cell r="AD1045">
            <v>222.72727272727272</v>
          </cell>
          <cell r="AE1045">
            <v>2450</v>
          </cell>
          <cell r="AG1045">
            <v>5818.181818181818</v>
          </cell>
          <cell r="AH1045">
            <v>581.81818181818198</v>
          </cell>
          <cell r="AI1045">
            <v>6400</v>
          </cell>
          <cell r="AK1045">
            <v>3590.909090909091</v>
          </cell>
        </row>
        <row r="1046">
          <cell r="H1046">
            <v>91067857552</v>
          </cell>
          <cell r="I1046">
            <v>50250350</v>
          </cell>
          <cell r="J1046">
            <v>3</v>
          </cell>
          <cell r="K1046" t="str">
            <v>-</v>
          </cell>
          <cell r="L1046">
            <v>10700</v>
          </cell>
          <cell r="M1046">
            <v>10700</v>
          </cell>
          <cell r="Q1046">
            <v>10700</v>
          </cell>
          <cell r="R1046">
            <v>91067857552</v>
          </cell>
          <cell r="Y1046" t="str">
            <v>아이폰15 글라스틱 고경도 액정보호필름 2매</v>
          </cell>
          <cell r="AA1046" t="str">
            <v>https://smartstore.naver.com/psglobal1/products/10874486906</v>
          </cell>
          <cell r="AC1046">
            <v>4285.454545454545</v>
          </cell>
          <cell r="AD1046">
            <v>428.5454545454545</v>
          </cell>
          <cell r="AE1046">
            <v>4714</v>
          </cell>
          <cell r="AG1046">
            <v>8545.4545454545441</v>
          </cell>
          <cell r="AH1046">
            <v>854.54545454545587</v>
          </cell>
          <cell r="AI1046">
            <v>9400</v>
          </cell>
          <cell r="AK1046">
            <v>4259.9999999999991</v>
          </cell>
        </row>
        <row r="1047">
          <cell r="H1047">
            <v>91067857609</v>
          </cell>
          <cell r="I1047">
            <v>50250362</v>
          </cell>
          <cell r="J1047">
            <v>2</v>
          </cell>
          <cell r="K1047" t="str">
            <v>-</v>
          </cell>
          <cell r="L1047">
            <v>7600</v>
          </cell>
          <cell r="M1047">
            <v>7600</v>
          </cell>
          <cell r="Q1047">
            <v>7600</v>
          </cell>
          <cell r="R1047">
            <v>91067857609</v>
          </cell>
          <cell r="Y1047" t="str">
            <v>아이폰15 자가복원 우레탄필름 3매</v>
          </cell>
          <cell r="AC1047">
            <v>2090.9090909090905</v>
          </cell>
          <cell r="AD1047">
            <v>209.09090909090907</v>
          </cell>
          <cell r="AE1047">
            <v>2300</v>
          </cell>
          <cell r="AG1047">
            <v>5818.181818181818</v>
          </cell>
          <cell r="AH1047">
            <v>581.81818181818198</v>
          </cell>
          <cell r="AI1047">
            <v>6400</v>
          </cell>
          <cell r="AK1047">
            <v>3727.2727272727275</v>
          </cell>
        </row>
        <row r="1048">
          <cell r="H1048">
            <v>91067857335</v>
          </cell>
          <cell r="I1048">
            <v>50250347</v>
          </cell>
          <cell r="J1048">
            <v>1</v>
          </cell>
          <cell r="K1048" t="str">
            <v>-</v>
          </cell>
          <cell r="L1048">
            <v>7400</v>
          </cell>
          <cell r="M1048">
            <v>7400</v>
          </cell>
          <cell r="Q1048">
            <v>7400</v>
          </cell>
          <cell r="R1048">
            <v>91067857335</v>
          </cell>
          <cell r="Y1048" t="str">
            <v>아이폰15 종이질감 3매</v>
          </cell>
          <cell r="AA1048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8">
            <v>2227.272727272727</v>
          </cell>
          <cell r="AD1048">
            <v>222.72727272727272</v>
          </cell>
          <cell r="AE1048">
            <v>2450</v>
          </cell>
          <cell r="AG1048">
            <v>5818.181818181818</v>
          </cell>
          <cell r="AH1048">
            <v>581.81818181818198</v>
          </cell>
          <cell r="AI1048">
            <v>6400</v>
          </cell>
          <cell r="AK1048">
            <v>3590.909090909091</v>
          </cell>
        </row>
        <row r="1049">
          <cell r="H1049">
            <v>91067857575</v>
          </cell>
          <cell r="I1049">
            <v>50250359</v>
          </cell>
          <cell r="J1049">
            <v>1</v>
          </cell>
          <cell r="K1049" t="str">
            <v>-</v>
          </cell>
          <cell r="L1049">
            <v>10700</v>
          </cell>
          <cell r="M1049">
            <v>10700</v>
          </cell>
          <cell r="Q1049">
            <v>10700</v>
          </cell>
          <cell r="R1049">
            <v>91067857575</v>
          </cell>
          <cell r="Y1049" t="str">
            <v>아이폰15+ 글라스틱 고경도 액정보호필름 2매</v>
          </cell>
          <cell r="AC1049">
            <v>4285.454545454545</v>
          </cell>
          <cell r="AD1049">
            <v>428.5454545454545</v>
          </cell>
          <cell r="AE1049">
            <v>4714</v>
          </cell>
          <cell r="AG1049">
            <v>8545.4545454545441</v>
          </cell>
          <cell r="AH1049">
            <v>854.54545454545587</v>
          </cell>
          <cell r="AI1049">
            <v>9400</v>
          </cell>
          <cell r="AK1049">
            <v>4259.9999999999991</v>
          </cell>
        </row>
        <row r="1050">
          <cell r="H1050">
            <v>91067857573</v>
          </cell>
          <cell r="I1050">
            <v>50250351</v>
          </cell>
          <cell r="J1050">
            <v>3</v>
          </cell>
          <cell r="K1050" t="str">
            <v>-</v>
          </cell>
          <cell r="L1050">
            <v>7600</v>
          </cell>
          <cell r="M1050">
            <v>7600</v>
          </cell>
          <cell r="Q1050">
            <v>7600</v>
          </cell>
          <cell r="R1050">
            <v>91067857573</v>
          </cell>
          <cell r="Y1050" t="str">
            <v>아이폰15+ 자가복원 우레탄필름 3매</v>
          </cell>
          <cell r="AB1050" t="str">
            <v>coupang.com/vp/products/7245347027?itemId=24047814393&amp;vendorItemId=91067857573</v>
          </cell>
          <cell r="AC1050">
            <v>2090.9090909090905</v>
          </cell>
          <cell r="AD1050">
            <v>209.09090909090907</v>
          </cell>
          <cell r="AE1050">
            <v>2300</v>
          </cell>
          <cell r="AG1050">
            <v>5818.181818181818</v>
          </cell>
          <cell r="AH1050">
            <v>581.81818181818198</v>
          </cell>
          <cell r="AI1050">
            <v>6400</v>
          </cell>
          <cell r="AK1050">
            <v>3727.2727272727275</v>
          </cell>
        </row>
        <row r="1051">
          <cell r="H1051">
            <v>91067857344</v>
          </cell>
          <cell r="I1051">
            <v>50250353</v>
          </cell>
          <cell r="J1051" t="str">
            <v/>
          </cell>
          <cell r="K1051" t="str">
            <v>-</v>
          </cell>
          <cell r="L1051">
            <v>7400</v>
          </cell>
          <cell r="M1051">
            <v>7400</v>
          </cell>
          <cell r="Q1051">
            <v>7400</v>
          </cell>
          <cell r="R1051">
            <v>91067857344</v>
          </cell>
          <cell r="Y1051" t="str">
            <v>아이폰15+ 종이질감 3매</v>
          </cell>
          <cell r="AC1051">
            <v>2227.272727272727</v>
          </cell>
          <cell r="AD1051">
            <v>222.72727272727272</v>
          </cell>
          <cell r="AE1051">
            <v>2450</v>
          </cell>
          <cell r="AG1051">
            <v>5818.181818181818</v>
          </cell>
          <cell r="AH1051">
            <v>581.81818181818198</v>
          </cell>
          <cell r="AI1051">
            <v>6400</v>
          </cell>
          <cell r="AK1051">
            <v>3590.909090909091</v>
          </cell>
        </row>
        <row r="1052">
          <cell r="H1052">
            <v>91748005266</v>
          </cell>
          <cell r="I1052">
            <v>55474505</v>
          </cell>
          <cell r="J1052" t="str">
            <v/>
          </cell>
          <cell r="K1052" t="str">
            <v>-</v>
          </cell>
          <cell r="L1052">
            <v>10900</v>
          </cell>
          <cell r="M1052">
            <v>10900</v>
          </cell>
          <cell r="Q1052">
            <v>10900</v>
          </cell>
          <cell r="R1052">
            <v>91748005266</v>
          </cell>
          <cell r="Y1052" t="str">
            <v>우레탄 내부 3p 세트 갤럭시 Z 플립6</v>
          </cell>
          <cell r="AC1052">
            <v>2100</v>
          </cell>
          <cell r="AD1052">
            <v>210</v>
          </cell>
          <cell r="AE1052">
            <v>2310</v>
          </cell>
          <cell r="AG1052">
            <v>5818.181818181818</v>
          </cell>
          <cell r="AH1052">
            <v>581.81818181818198</v>
          </cell>
          <cell r="AI1052">
            <v>6400</v>
          </cell>
          <cell r="AK1052">
            <v>3718.181818181818</v>
          </cell>
        </row>
        <row r="1053">
          <cell r="H1053">
            <v>88520646068</v>
          </cell>
          <cell r="I1053">
            <v>42231645</v>
          </cell>
          <cell r="J1053" t="str">
            <v/>
          </cell>
          <cell r="K1053" t="str">
            <v>-</v>
          </cell>
          <cell r="L1053">
            <v>13880</v>
          </cell>
          <cell r="M1053">
            <v>13880</v>
          </cell>
          <cell r="Q1053">
            <v>14050</v>
          </cell>
          <cell r="R1053">
            <v>88520646068</v>
          </cell>
          <cell r="Y1053" t="str">
            <v>사생활 필름 갤럭시 S24 2매 갤럭시 S24</v>
          </cell>
          <cell r="AC1053">
            <v>2250</v>
          </cell>
          <cell r="AD1053">
            <v>225</v>
          </cell>
          <cell r="AE1053">
            <v>2475</v>
          </cell>
          <cell r="AG1053">
            <v>7227.272727272727</v>
          </cell>
          <cell r="AH1053">
            <v>722.72727272727298</v>
          </cell>
          <cell r="AI1053">
            <v>7950</v>
          </cell>
          <cell r="AK1053">
            <v>4977.272727272727</v>
          </cell>
        </row>
        <row r="1054">
          <cell r="H1054">
            <v>88520646057</v>
          </cell>
          <cell r="I1054">
            <v>42231644</v>
          </cell>
          <cell r="J1054">
            <v>-1</v>
          </cell>
          <cell r="K1054" t="str">
            <v>-</v>
          </cell>
          <cell r="L1054">
            <v>13880</v>
          </cell>
          <cell r="M1054">
            <v>13880</v>
          </cell>
          <cell r="Q1054">
            <v>14050</v>
          </cell>
          <cell r="R1054">
            <v>88520646057</v>
          </cell>
          <cell r="Y1054" t="str">
            <v>사생활 필름 갤럭시 S24 2매 갤럭시 S24+플러스</v>
          </cell>
          <cell r="AC1054">
            <v>4272.7272727272721</v>
          </cell>
          <cell r="AD1054">
            <v>427.27272727272725</v>
          </cell>
          <cell r="AE1054">
            <v>4700</v>
          </cell>
          <cell r="AG1054">
            <v>7227.272727272727</v>
          </cell>
          <cell r="AH1054">
            <v>722.72727272727298</v>
          </cell>
          <cell r="AI1054">
            <v>7950</v>
          </cell>
          <cell r="AK1054">
            <v>2954.545454545455</v>
          </cell>
        </row>
        <row r="1055">
          <cell r="H1055">
            <v>88520646045</v>
          </cell>
          <cell r="I1055">
            <v>42231643</v>
          </cell>
          <cell r="J1055" t="str">
            <v/>
          </cell>
          <cell r="K1055" t="str">
            <v>-</v>
          </cell>
          <cell r="L1055">
            <v>13880</v>
          </cell>
          <cell r="M1055">
            <v>13880</v>
          </cell>
          <cell r="Q1055">
            <v>14050</v>
          </cell>
          <cell r="R1055">
            <v>88520646045</v>
          </cell>
          <cell r="Y1055" t="str">
            <v>사생활 필름 갤럭시 S24 2매 갤럭시S24 울트라</v>
          </cell>
          <cell r="AC1055">
            <v>4272.7272727272721</v>
          </cell>
          <cell r="AD1055">
            <v>427.27272727272725</v>
          </cell>
          <cell r="AE1055">
            <v>4700</v>
          </cell>
          <cell r="AG1055">
            <v>7227.272727272727</v>
          </cell>
          <cell r="AH1055">
            <v>722.72727272727298</v>
          </cell>
          <cell r="AI1055">
            <v>7950</v>
          </cell>
          <cell r="AK1055">
            <v>2954.545454545455</v>
          </cell>
        </row>
        <row r="1056">
          <cell r="H1056">
            <v>85552627744</v>
          </cell>
          <cell r="I1056">
            <v>34504753</v>
          </cell>
          <cell r="J1056" t="str">
            <v/>
          </cell>
          <cell r="K1056" t="str">
            <v>-</v>
          </cell>
          <cell r="L1056">
            <v>13880</v>
          </cell>
          <cell r="M1056">
            <v>13880</v>
          </cell>
          <cell r="Q1056">
            <v>14050</v>
          </cell>
          <cell r="R1056">
            <v>85552627744</v>
          </cell>
          <cell r="Y1056" t="str">
            <v>사생활 필름 2매 갤럭시S22</v>
          </cell>
          <cell r="AC1056">
            <v>4272.7272727272721</v>
          </cell>
          <cell r="AD1056">
            <v>427.27272727272725</v>
          </cell>
          <cell r="AE1056">
            <v>4700</v>
          </cell>
          <cell r="AG1056">
            <v>7227.272727272727</v>
          </cell>
          <cell r="AH1056">
            <v>722.72727272727298</v>
          </cell>
          <cell r="AI1056">
            <v>7950</v>
          </cell>
          <cell r="AK1056">
            <v>2954.545454545455</v>
          </cell>
        </row>
        <row r="1057">
          <cell r="H1057">
            <v>85552627749</v>
          </cell>
          <cell r="I1057">
            <v>34504754</v>
          </cell>
          <cell r="J1057" t="str">
            <v/>
          </cell>
          <cell r="K1057" t="str">
            <v>-</v>
          </cell>
          <cell r="L1057">
            <v>13880</v>
          </cell>
          <cell r="M1057">
            <v>13880</v>
          </cell>
          <cell r="Q1057">
            <v>14050</v>
          </cell>
          <cell r="R1057">
            <v>85552627749</v>
          </cell>
          <cell r="Y1057" t="str">
            <v>사생활 필름 2매 갤럭시S22+</v>
          </cell>
          <cell r="AC1057">
            <v>4272.7272727272721</v>
          </cell>
          <cell r="AD1057">
            <v>427.27272727272725</v>
          </cell>
          <cell r="AE1057">
            <v>4700</v>
          </cell>
          <cell r="AG1057">
            <v>7227.272727272727</v>
          </cell>
          <cell r="AH1057">
            <v>722.72727272727298</v>
          </cell>
          <cell r="AI1057">
            <v>7950</v>
          </cell>
          <cell r="AK1057">
            <v>2954.545454545455</v>
          </cell>
        </row>
        <row r="1058">
          <cell r="H1058">
            <v>85552627761</v>
          </cell>
          <cell r="I1058">
            <v>34504755</v>
          </cell>
          <cell r="J1058" t="str">
            <v/>
          </cell>
          <cell r="K1058" t="str">
            <v>-</v>
          </cell>
          <cell r="L1058">
            <v>13880</v>
          </cell>
          <cell r="M1058">
            <v>13880</v>
          </cell>
          <cell r="Q1058">
            <v>14050</v>
          </cell>
          <cell r="R1058">
            <v>85552627761</v>
          </cell>
          <cell r="Y1058" t="str">
            <v>사생활 필름 2매 갤럭시S22울트라</v>
          </cell>
          <cell r="AC1058">
            <v>4272.7272727272721</v>
          </cell>
          <cell r="AD1058">
            <v>427.27272727272725</v>
          </cell>
          <cell r="AE1058">
            <v>4700</v>
          </cell>
          <cell r="AG1058">
            <v>7227.272727272727</v>
          </cell>
          <cell r="AH1058">
            <v>722.72727272727298</v>
          </cell>
          <cell r="AI1058">
            <v>7950</v>
          </cell>
          <cell r="AK1058">
            <v>2954.545454545455</v>
          </cell>
        </row>
        <row r="1059">
          <cell r="H1059">
            <v>85552627773</v>
          </cell>
          <cell r="I1059">
            <v>34504756</v>
          </cell>
          <cell r="J1059" t="str">
            <v/>
          </cell>
          <cell r="K1059" t="str">
            <v>-</v>
          </cell>
          <cell r="L1059">
            <v>13880</v>
          </cell>
          <cell r="M1059">
            <v>13880</v>
          </cell>
          <cell r="Q1059">
            <v>14050</v>
          </cell>
          <cell r="R1059">
            <v>85552627773</v>
          </cell>
          <cell r="Y1059" t="str">
            <v>사생활 필름 2매 갤럭시S23</v>
          </cell>
          <cell r="AC1059">
            <v>4272.7272727272721</v>
          </cell>
          <cell r="AD1059">
            <v>427.27272727272725</v>
          </cell>
          <cell r="AE1059">
            <v>4700</v>
          </cell>
          <cell r="AG1059">
            <v>7227.272727272727</v>
          </cell>
          <cell r="AH1059">
            <v>722.72727272727298</v>
          </cell>
          <cell r="AI1059">
            <v>7950</v>
          </cell>
          <cell r="AK1059">
            <v>2954.545454545455</v>
          </cell>
        </row>
        <row r="1060">
          <cell r="H1060">
            <v>85552627780</v>
          </cell>
          <cell r="I1060">
            <v>34504757</v>
          </cell>
          <cell r="J1060">
            <v>-2</v>
          </cell>
          <cell r="K1060" t="str">
            <v>-</v>
          </cell>
          <cell r="L1060">
            <v>13880</v>
          </cell>
          <cell r="M1060">
            <v>13880</v>
          </cell>
          <cell r="Q1060">
            <v>14050</v>
          </cell>
          <cell r="R1060">
            <v>85552627780</v>
          </cell>
          <cell r="Y1060" t="str">
            <v>사생활 필름 2매 갤럭시S23울트라</v>
          </cell>
          <cell r="AC1060">
            <v>4272.7272727272721</v>
          </cell>
          <cell r="AD1060">
            <v>427.27272727272725</v>
          </cell>
          <cell r="AE1060">
            <v>4700</v>
          </cell>
          <cell r="AG1060">
            <v>7227.272727272727</v>
          </cell>
          <cell r="AH1060">
            <v>722.72727272727298</v>
          </cell>
          <cell r="AI1060">
            <v>7950</v>
          </cell>
          <cell r="AK1060">
            <v>2954.545454545455</v>
          </cell>
        </row>
        <row r="1061">
          <cell r="H1061">
            <v>85552627804</v>
          </cell>
          <cell r="I1061">
            <v>34504760</v>
          </cell>
          <cell r="J1061" t="str">
            <v/>
          </cell>
          <cell r="K1061" t="str">
            <v>-</v>
          </cell>
          <cell r="L1061">
            <v>13880</v>
          </cell>
          <cell r="M1061">
            <v>13880</v>
          </cell>
          <cell r="Q1061">
            <v>14050</v>
          </cell>
          <cell r="R1061">
            <v>85552627804</v>
          </cell>
          <cell r="Y1061" t="str">
            <v>사생활 필름 2매 아이폰12</v>
          </cell>
          <cell r="AC1061">
            <v>4272.7272727272721</v>
          </cell>
          <cell r="AD1061">
            <v>427.27272727272725</v>
          </cell>
          <cell r="AE1061">
            <v>4700</v>
          </cell>
          <cell r="AG1061">
            <v>7227.272727272727</v>
          </cell>
          <cell r="AH1061">
            <v>722.72727272727298</v>
          </cell>
          <cell r="AI1061">
            <v>7950</v>
          </cell>
          <cell r="AK1061">
            <v>2954.545454545455</v>
          </cell>
        </row>
        <row r="1062">
          <cell r="H1062">
            <v>85552627813</v>
          </cell>
          <cell r="I1062">
            <v>34504761</v>
          </cell>
          <cell r="J1062" t="str">
            <v/>
          </cell>
          <cell r="K1062" t="str">
            <v>-</v>
          </cell>
          <cell r="L1062">
            <v>13880</v>
          </cell>
          <cell r="M1062">
            <v>13880</v>
          </cell>
          <cell r="Q1062">
            <v>14050</v>
          </cell>
          <cell r="R1062">
            <v>85552627813</v>
          </cell>
          <cell r="Y1062" t="str">
            <v>사생활 필름 2매 아이폰12미니</v>
          </cell>
          <cell r="AC1062">
            <v>4272.7272727272721</v>
          </cell>
          <cell r="AD1062">
            <v>427.27272727272725</v>
          </cell>
          <cell r="AE1062">
            <v>4700</v>
          </cell>
          <cell r="AG1062">
            <v>7227.272727272727</v>
          </cell>
          <cell r="AH1062">
            <v>722.72727272727298</v>
          </cell>
          <cell r="AI1062">
            <v>7950</v>
          </cell>
          <cell r="AK1062">
            <v>2954.545454545455</v>
          </cell>
        </row>
        <row r="1063">
          <cell r="H1063">
            <v>85552627796</v>
          </cell>
          <cell r="I1063">
            <v>34504759</v>
          </cell>
          <cell r="J1063" t="str">
            <v/>
          </cell>
          <cell r="K1063" t="str">
            <v>-</v>
          </cell>
          <cell r="L1063">
            <v>13880</v>
          </cell>
          <cell r="M1063">
            <v>13880</v>
          </cell>
          <cell r="Q1063">
            <v>14050</v>
          </cell>
          <cell r="R1063">
            <v>85552627796</v>
          </cell>
          <cell r="Y1063" t="str">
            <v>사생활 필름 2매 아이폰12프로</v>
          </cell>
          <cell r="AC1063">
            <v>4272.7272727272721</v>
          </cell>
          <cell r="AD1063">
            <v>427.27272727272725</v>
          </cell>
          <cell r="AE1063">
            <v>4700</v>
          </cell>
          <cell r="AG1063">
            <v>7227.272727272727</v>
          </cell>
          <cell r="AH1063">
            <v>722.72727272727298</v>
          </cell>
          <cell r="AI1063">
            <v>7950</v>
          </cell>
          <cell r="AK1063">
            <v>2954.545454545455</v>
          </cell>
        </row>
        <row r="1064">
          <cell r="H1064">
            <v>85552627789</v>
          </cell>
          <cell r="I1064">
            <v>34504758</v>
          </cell>
          <cell r="J1064" t="str">
            <v/>
          </cell>
          <cell r="K1064" t="str">
            <v>-</v>
          </cell>
          <cell r="L1064">
            <v>13880</v>
          </cell>
          <cell r="M1064">
            <v>13880</v>
          </cell>
          <cell r="Q1064">
            <v>14050</v>
          </cell>
          <cell r="R1064">
            <v>85552627789</v>
          </cell>
          <cell r="Y1064" t="str">
            <v>사생활 필름 2매 아이폰12프로맥스</v>
          </cell>
          <cell r="AC1064">
            <v>4272.7272727272721</v>
          </cell>
          <cell r="AD1064">
            <v>427.27272727272725</v>
          </cell>
          <cell r="AE1064">
            <v>4700</v>
          </cell>
          <cell r="AG1064">
            <v>7227.272727272727</v>
          </cell>
          <cell r="AH1064">
            <v>722.72727272727298</v>
          </cell>
          <cell r="AI1064">
            <v>7950</v>
          </cell>
          <cell r="AK1064">
            <v>2954.545454545455</v>
          </cell>
        </row>
        <row r="1065">
          <cell r="H1065">
            <v>85552627859</v>
          </cell>
          <cell r="I1065">
            <v>34504768</v>
          </cell>
          <cell r="J1065" t="str">
            <v/>
          </cell>
          <cell r="K1065" t="str">
            <v>-</v>
          </cell>
          <cell r="L1065">
            <v>13880</v>
          </cell>
          <cell r="M1065">
            <v>13880</v>
          </cell>
          <cell r="Q1065">
            <v>14050</v>
          </cell>
          <cell r="R1065">
            <v>85552627859</v>
          </cell>
          <cell r="Y1065" t="str">
            <v>사생활 필름 2매 아이폰13미니</v>
          </cell>
          <cell r="AC1065">
            <v>4272.7272727272721</v>
          </cell>
          <cell r="AD1065">
            <v>427.27272727272725</v>
          </cell>
          <cell r="AE1065">
            <v>4700</v>
          </cell>
          <cell r="AG1065">
            <v>7227.272727272727</v>
          </cell>
          <cell r="AH1065">
            <v>722.72727272727298</v>
          </cell>
          <cell r="AI1065">
            <v>7950</v>
          </cell>
          <cell r="AK1065">
            <v>2954.545454545455</v>
          </cell>
        </row>
        <row r="1066">
          <cell r="H1066">
            <v>85552627852</v>
          </cell>
          <cell r="I1066">
            <v>34504766</v>
          </cell>
          <cell r="J1066" t="str">
            <v/>
          </cell>
          <cell r="K1066" t="str">
            <v>-</v>
          </cell>
          <cell r="L1066">
            <v>13880</v>
          </cell>
          <cell r="M1066">
            <v>13880</v>
          </cell>
          <cell r="Q1066">
            <v>14050</v>
          </cell>
          <cell r="R1066">
            <v>85552627852</v>
          </cell>
          <cell r="Y1066" t="str">
            <v>사생활 필름 2매 아이폰13프로</v>
          </cell>
          <cell r="AC1066">
            <v>4272.7272727272721</v>
          </cell>
          <cell r="AD1066">
            <v>427.27272727272725</v>
          </cell>
          <cell r="AE1066">
            <v>4700</v>
          </cell>
          <cell r="AG1066">
            <v>7227.272727272727</v>
          </cell>
          <cell r="AH1066">
            <v>722.72727272727298</v>
          </cell>
          <cell r="AI1066">
            <v>7950</v>
          </cell>
          <cell r="AK1066">
            <v>2954.545454545455</v>
          </cell>
        </row>
        <row r="1067">
          <cell r="H1067">
            <v>85552627820</v>
          </cell>
          <cell r="I1067">
            <v>34504762</v>
          </cell>
          <cell r="J1067" t="str">
            <v/>
          </cell>
          <cell r="K1067" t="str">
            <v>-</v>
          </cell>
          <cell r="L1067">
            <v>13880</v>
          </cell>
          <cell r="M1067">
            <v>13880</v>
          </cell>
          <cell r="Q1067">
            <v>14050</v>
          </cell>
          <cell r="R1067">
            <v>85552627820</v>
          </cell>
          <cell r="Y1067" t="str">
            <v>사생활 필름 2매 아이폰13프로맥스</v>
          </cell>
          <cell r="AC1067">
            <v>4272.7272727272721</v>
          </cell>
          <cell r="AD1067">
            <v>427.27272727272725</v>
          </cell>
          <cell r="AE1067">
            <v>4700</v>
          </cell>
          <cell r="AG1067">
            <v>7227.272727272727</v>
          </cell>
          <cell r="AH1067">
            <v>722.72727272727298</v>
          </cell>
          <cell r="AI1067">
            <v>7950</v>
          </cell>
          <cell r="AK1067">
            <v>2954.545454545455</v>
          </cell>
        </row>
        <row r="1068">
          <cell r="H1068">
            <v>85552627843</v>
          </cell>
          <cell r="I1068">
            <v>34504764</v>
          </cell>
          <cell r="J1068" t="str">
            <v/>
          </cell>
          <cell r="K1068" t="str">
            <v>-</v>
          </cell>
          <cell r="L1068">
            <v>13880</v>
          </cell>
          <cell r="M1068">
            <v>13880</v>
          </cell>
          <cell r="Q1068">
            <v>14050</v>
          </cell>
          <cell r="R1068">
            <v>85552627843</v>
          </cell>
          <cell r="Y1068" t="str">
            <v>사생활 필름 2매 아이폰14+</v>
          </cell>
          <cell r="AC1068">
            <v>4272.7272727272721</v>
          </cell>
          <cell r="AD1068">
            <v>427.27272727272725</v>
          </cell>
          <cell r="AE1068">
            <v>4700</v>
          </cell>
          <cell r="AG1068">
            <v>7227.272727272727</v>
          </cell>
          <cell r="AH1068">
            <v>722.72727272727298</v>
          </cell>
          <cell r="AI1068">
            <v>7950</v>
          </cell>
          <cell r="AK1068">
            <v>2954.545454545455</v>
          </cell>
        </row>
        <row r="1069">
          <cell r="H1069">
            <v>85552627829</v>
          </cell>
          <cell r="I1069">
            <v>34504763</v>
          </cell>
          <cell r="J1069" t="str">
            <v/>
          </cell>
          <cell r="K1069" t="str">
            <v>-</v>
          </cell>
          <cell r="L1069">
            <v>13880</v>
          </cell>
          <cell r="M1069">
            <v>13880</v>
          </cell>
          <cell r="Q1069">
            <v>14050</v>
          </cell>
          <cell r="R1069">
            <v>85552627829</v>
          </cell>
          <cell r="Y1069" t="str">
            <v>사생활 필름 2매 아이폰14프로</v>
          </cell>
          <cell r="AC1069">
            <v>4272.7272727272721</v>
          </cell>
          <cell r="AD1069">
            <v>427.27272727272725</v>
          </cell>
          <cell r="AE1069">
            <v>4700</v>
          </cell>
          <cell r="AG1069">
            <v>7227.272727272727</v>
          </cell>
          <cell r="AH1069">
            <v>722.72727272727298</v>
          </cell>
          <cell r="AI1069">
            <v>7950</v>
          </cell>
          <cell r="AK1069">
            <v>2954.545454545455</v>
          </cell>
        </row>
        <row r="1070">
          <cell r="H1070">
            <v>91139972177</v>
          </cell>
          <cell r="I1070">
            <v>50743021</v>
          </cell>
          <cell r="J1070" t="str">
            <v/>
          </cell>
          <cell r="K1070" t="str">
            <v>-</v>
          </cell>
          <cell r="L1070">
            <v>9900</v>
          </cell>
          <cell r="M1070">
            <v>9900</v>
          </cell>
          <cell r="Q1070">
            <v>9900</v>
          </cell>
          <cell r="R1070">
            <v>91139972177</v>
          </cell>
          <cell r="Y1070" t="str">
            <v>사생활 필름 2매 아이폰16</v>
          </cell>
          <cell r="AC1070">
            <v>4272.7272727272721</v>
          </cell>
          <cell r="AD1070">
            <v>427.27272727272725</v>
          </cell>
          <cell r="AE1070">
            <v>4700</v>
          </cell>
          <cell r="AG1070">
            <v>8545.4545454545441</v>
          </cell>
          <cell r="AH1070">
            <v>854.54545454545587</v>
          </cell>
          <cell r="AI1070">
            <v>9400</v>
          </cell>
          <cell r="AK1070">
            <v>4272.7272727272721</v>
          </cell>
        </row>
        <row r="1071">
          <cell r="H1071">
            <v>91139972189</v>
          </cell>
          <cell r="I1071">
            <v>50743022</v>
          </cell>
          <cell r="J1071">
            <v>2</v>
          </cell>
          <cell r="K1071" t="str">
            <v>-</v>
          </cell>
          <cell r="L1071">
            <v>9900</v>
          </cell>
          <cell r="M1071">
            <v>9900</v>
          </cell>
          <cell r="Q1071">
            <v>9900</v>
          </cell>
          <cell r="R1071">
            <v>91139972189</v>
          </cell>
          <cell r="Y1071" t="str">
            <v>사생활 필름 2매 아이폰16+</v>
          </cell>
          <cell r="AC1071">
            <v>4272.7272727272721</v>
          </cell>
          <cell r="AD1071">
            <v>427.27272727272725</v>
          </cell>
          <cell r="AE1071">
            <v>4700</v>
          </cell>
          <cell r="AG1071">
            <v>8545.4545454545441</v>
          </cell>
          <cell r="AH1071">
            <v>854.54545454545587</v>
          </cell>
          <cell r="AI1071">
            <v>9400</v>
          </cell>
          <cell r="AK1071">
            <v>4272.7272727272721</v>
          </cell>
        </row>
        <row r="1072">
          <cell r="H1072">
            <v>91139972202</v>
          </cell>
          <cell r="I1072">
            <v>50743023</v>
          </cell>
          <cell r="J1072" t="str">
            <v/>
          </cell>
          <cell r="K1072" t="str">
            <v>-</v>
          </cell>
          <cell r="L1072">
            <v>9900</v>
          </cell>
          <cell r="M1072">
            <v>9900</v>
          </cell>
          <cell r="Q1072">
            <v>9900</v>
          </cell>
          <cell r="R1072">
            <v>91139972202</v>
          </cell>
          <cell r="Y1072" t="str">
            <v>사생활 필름 2매 아이폰16프로</v>
          </cell>
          <cell r="AC1072">
            <v>4272.7272727272721</v>
          </cell>
          <cell r="AD1072">
            <v>427.27272727272725</v>
          </cell>
          <cell r="AE1072">
            <v>4700</v>
          </cell>
          <cell r="AG1072">
            <v>8545.4545454545441</v>
          </cell>
          <cell r="AH1072">
            <v>854.54545454545587</v>
          </cell>
          <cell r="AI1072">
            <v>9400</v>
          </cell>
          <cell r="AK1072">
            <v>4272.7272727272721</v>
          </cell>
        </row>
        <row r="1073">
          <cell r="H1073">
            <v>91139972220</v>
          </cell>
          <cell r="I1073">
            <v>50743024</v>
          </cell>
          <cell r="J1073">
            <v>11</v>
          </cell>
          <cell r="K1073" t="str">
            <v>-</v>
          </cell>
          <cell r="L1073">
            <v>9900</v>
          </cell>
          <cell r="M1073">
            <v>9900</v>
          </cell>
          <cell r="Q1073">
            <v>9900</v>
          </cell>
          <cell r="R1073">
            <v>91139972220</v>
          </cell>
          <cell r="Y1073" t="str">
            <v>사생활 필름 2매 아이폰16프로맥스</v>
          </cell>
          <cell r="AC1073">
            <v>4272.7272727272721</v>
          </cell>
          <cell r="AD1073">
            <v>427.27272727272725</v>
          </cell>
          <cell r="AE1073">
            <v>4700</v>
          </cell>
          <cell r="AG1073">
            <v>8545.4545454545441</v>
          </cell>
          <cell r="AH1073">
            <v>854.54545454545587</v>
          </cell>
          <cell r="AI1073">
            <v>9400</v>
          </cell>
          <cell r="AK1073">
            <v>4272.7272727272721</v>
          </cell>
        </row>
        <row r="1074">
          <cell r="H1074">
            <v>91172441088</v>
          </cell>
          <cell r="I1074">
            <v>50843248</v>
          </cell>
          <cell r="J1074" t="str">
            <v/>
          </cell>
          <cell r="K1074" t="str">
            <v>-</v>
          </cell>
          <cell r="L1074">
            <v>15900</v>
          </cell>
          <cell r="M1074">
            <v>15900</v>
          </cell>
          <cell r="Q1074">
            <v>15900</v>
          </cell>
          <cell r="R1074">
            <v>91172441088</v>
          </cell>
          <cell r="Y1074" t="str">
            <v>사생활 필름 2매입 세트 아이폰15</v>
          </cell>
          <cell r="AC1074">
            <v>4272.7272727272721</v>
          </cell>
          <cell r="AD1074">
            <v>427.27272727272725</v>
          </cell>
          <cell r="AE1074">
            <v>4700</v>
          </cell>
          <cell r="AG1074">
            <v>8545.4545454545441</v>
          </cell>
          <cell r="AH1074">
            <v>854.54545454545587</v>
          </cell>
          <cell r="AI1074">
            <v>9400</v>
          </cell>
          <cell r="AK1074">
            <v>4272.7272727272721</v>
          </cell>
        </row>
        <row r="1075">
          <cell r="H1075">
            <v>91172441093</v>
          </cell>
          <cell r="I1075">
            <v>50843249</v>
          </cell>
          <cell r="J1075" t="str">
            <v/>
          </cell>
          <cell r="K1075" t="str">
            <v>-</v>
          </cell>
          <cell r="L1075">
            <v>15900</v>
          </cell>
          <cell r="M1075">
            <v>15900</v>
          </cell>
          <cell r="Q1075">
            <v>15900</v>
          </cell>
          <cell r="R1075">
            <v>91172441093</v>
          </cell>
          <cell r="Y1075" t="str">
            <v>사생활 필름 2매입 세트 아이폰15 PLUS</v>
          </cell>
          <cell r="AC1075">
            <v>4272.7272727272721</v>
          </cell>
          <cell r="AD1075">
            <v>427.27272727272725</v>
          </cell>
          <cell r="AE1075">
            <v>4700</v>
          </cell>
          <cell r="AG1075">
            <v>8545.4545454545441</v>
          </cell>
          <cell r="AH1075">
            <v>854.54545454545587</v>
          </cell>
          <cell r="AI1075">
            <v>9400</v>
          </cell>
          <cell r="AK1075">
            <v>4272.7272727272721</v>
          </cell>
        </row>
        <row r="1076">
          <cell r="H1076">
            <v>91172441102</v>
          </cell>
          <cell r="I1076">
            <v>50843250</v>
          </cell>
          <cell r="J1076" t="str">
            <v/>
          </cell>
          <cell r="K1076" t="str">
            <v>-</v>
          </cell>
          <cell r="L1076">
            <v>15900</v>
          </cell>
          <cell r="M1076">
            <v>15900</v>
          </cell>
          <cell r="Q1076">
            <v>15900</v>
          </cell>
          <cell r="R1076">
            <v>91172441102</v>
          </cell>
          <cell r="Y1076" t="str">
            <v>사생활 필름 2매입 세트 아이폰15프로</v>
          </cell>
          <cell r="AC1076">
            <v>4272.7272727272721</v>
          </cell>
          <cell r="AD1076">
            <v>427.27272727272725</v>
          </cell>
          <cell r="AE1076">
            <v>4700</v>
          </cell>
          <cell r="AG1076">
            <v>8545.4545454545441</v>
          </cell>
          <cell r="AH1076">
            <v>854.54545454545587</v>
          </cell>
          <cell r="AI1076">
            <v>9400</v>
          </cell>
          <cell r="AK1076">
            <v>4272.7272727272721</v>
          </cell>
        </row>
        <row r="1077">
          <cell r="H1077">
            <v>91172441112</v>
          </cell>
          <cell r="I1077">
            <v>50843251</v>
          </cell>
          <cell r="J1077" t="str">
            <v/>
          </cell>
          <cell r="K1077" t="str">
            <v>-</v>
          </cell>
          <cell r="L1077">
            <v>15900</v>
          </cell>
          <cell r="M1077">
            <v>15900</v>
          </cell>
          <cell r="Q1077">
            <v>15900</v>
          </cell>
          <cell r="R1077">
            <v>91172441112</v>
          </cell>
          <cell r="Y1077" t="str">
            <v>사생활 필름 2매입 세트 아이폰15프로맥스</v>
          </cell>
          <cell r="AC1077">
            <v>4272.7272727272721</v>
          </cell>
          <cell r="AD1077">
            <v>427.27272727272725</v>
          </cell>
          <cell r="AE1077">
            <v>4700</v>
          </cell>
          <cell r="AG1077">
            <v>8545.4545454545441</v>
          </cell>
          <cell r="AH1077">
            <v>854.54545454545587</v>
          </cell>
          <cell r="AI1077">
            <v>9400</v>
          </cell>
          <cell r="AK1077">
            <v>4272.7272727272721</v>
          </cell>
        </row>
        <row r="1078">
          <cell r="H1078">
            <v>88520639270</v>
          </cell>
          <cell r="I1078">
            <v>42231615</v>
          </cell>
          <cell r="J1078" t="str">
            <v/>
          </cell>
          <cell r="K1078" t="str">
            <v>-</v>
          </cell>
          <cell r="L1078">
            <v>9510</v>
          </cell>
          <cell r="M1078">
            <v>9510</v>
          </cell>
          <cell r="Q1078">
            <v>9630</v>
          </cell>
          <cell r="R1078">
            <v>88520639270</v>
          </cell>
          <cell r="Y1078" t="str">
            <v>우레탄 필름 3매 갤럭시 S24</v>
          </cell>
          <cell r="AC1078">
            <v>2090.9090909090905</v>
          </cell>
          <cell r="AD1078">
            <v>209.09090909090907</v>
          </cell>
          <cell r="AE1078">
            <v>2300</v>
          </cell>
          <cell r="AG1078">
            <v>4954.545454545454</v>
          </cell>
          <cell r="AH1078">
            <v>495.45454545454595</v>
          </cell>
          <cell r="AI1078">
            <v>5450</v>
          </cell>
          <cell r="AK1078">
            <v>2863.6363636363635</v>
          </cell>
        </row>
        <row r="1079">
          <cell r="H1079">
            <v>88520639301</v>
          </cell>
          <cell r="I1079">
            <v>42231618</v>
          </cell>
          <cell r="J1079" t="str">
            <v/>
          </cell>
          <cell r="K1079" t="str">
            <v>-</v>
          </cell>
          <cell r="L1079">
            <v>9510</v>
          </cell>
          <cell r="M1079">
            <v>9510</v>
          </cell>
          <cell r="Q1079">
            <v>9630</v>
          </cell>
          <cell r="R1079">
            <v>88520639301</v>
          </cell>
          <cell r="Y1079" t="str">
            <v>우레탄 필름 3매 갤럭시 S24 울트라</v>
          </cell>
          <cell r="AC1079">
            <v>2090.9090909090905</v>
          </cell>
          <cell r="AD1079">
            <v>209.09090909090907</v>
          </cell>
          <cell r="AE1079">
            <v>2300</v>
          </cell>
          <cell r="AG1079">
            <v>4954.545454545454</v>
          </cell>
          <cell r="AH1079">
            <v>495.45454545454595</v>
          </cell>
          <cell r="AI1079">
            <v>5450</v>
          </cell>
          <cell r="AK1079">
            <v>2863.6363636363635</v>
          </cell>
        </row>
        <row r="1080">
          <cell r="H1080">
            <v>88520639280</v>
          </cell>
          <cell r="I1080">
            <v>42231616</v>
          </cell>
          <cell r="J1080" t="str">
            <v/>
          </cell>
          <cell r="K1080" t="str">
            <v>-</v>
          </cell>
          <cell r="L1080">
            <v>9510</v>
          </cell>
          <cell r="M1080">
            <v>9510</v>
          </cell>
          <cell r="Q1080">
            <v>9630</v>
          </cell>
          <cell r="R1080">
            <v>88520639280</v>
          </cell>
          <cell r="Y1080" t="str">
            <v>우레탄 필름 3매 갤럭시 S24+플러스</v>
          </cell>
          <cell r="AC1080">
            <v>2090.9090909090905</v>
          </cell>
          <cell r="AD1080">
            <v>209.09090909090907</v>
          </cell>
          <cell r="AE1080">
            <v>2300</v>
          </cell>
          <cell r="AG1080">
            <v>4954.545454545454</v>
          </cell>
          <cell r="AH1080">
            <v>495.45454545454595</v>
          </cell>
          <cell r="AI1080">
            <v>5450</v>
          </cell>
          <cell r="AK1080">
            <v>2863.6363636363635</v>
          </cell>
        </row>
        <row r="1081">
          <cell r="H1081">
            <v>85560796435</v>
          </cell>
          <cell r="I1081">
            <v>34517792</v>
          </cell>
          <cell r="J1081" t="str">
            <v/>
          </cell>
          <cell r="K1081" t="str">
            <v>-</v>
          </cell>
          <cell r="L1081">
            <v>9510</v>
          </cell>
          <cell r="M1081">
            <v>9510</v>
          </cell>
          <cell r="Q1081">
            <v>9630</v>
          </cell>
          <cell r="R1081">
            <v>85560796435</v>
          </cell>
          <cell r="Y1081" t="str">
            <v>우레탄 필름 3매 갤럭시S22</v>
          </cell>
          <cell r="AC1081">
            <v>2090.9090909090905</v>
          </cell>
          <cell r="AD1081">
            <v>209.09090909090907</v>
          </cell>
          <cell r="AE1081">
            <v>2300</v>
          </cell>
          <cell r="AG1081">
            <v>4954.545454545454</v>
          </cell>
          <cell r="AH1081">
            <v>495.45454545454595</v>
          </cell>
          <cell r="AI1081">
            <v>5450</v>
          </cell>
          <cell r="AK1081">
            <v>2863.6363636363635</v>
          </cell>
        </row>
        <row r="1082">
          <cell r="H1082">
            <v>85560796451</v>
          </cell>
          <cell r="I1082">
            <v>34517793</v>
          </cell>
          <cell r="J1082" t="str">
            <v/>
          </cell>
          <cell r="K1082" t="str">
            <v>-</v>
          </cell>
          <cell r="L1082">
            <v>9510</v>
          </cell>
          <cell r="M1082">
            <v>9510</v>
          </cell>
          <cell r="Q1082">
            <v>9630</v>
          </cell>
          <cell r="R1082">
            <v>85560796451</v>
          </cell>
          <cell r="Y1082" t="str">
            <v>우레탄 필름 3매 갤럭시S22+</v>
          </cell>
          <cell r="AC1082">
            <v>2090.9090909090905</v>
          </cell>
          <cell r="AD1082">
            <v>209.09090909090907</v>
          </cell>
          <cell r="AE1082">
            <v>2300</v>
          </cell>
          <cell r="AG1082">
            <v>4954.545454545454</v>
          </cell>
          <cell r="AH1082">
            <v>495.45454545454595</v>
          </cell>
          <cell r="AI1082">
            <v>5450</v>
          </cell>
          <cell r="AK1082">
            <v>2863.6363636363635</v>
          </cell>
        </row>
        <row r="1083">
          <cell r="H1083">
            <v>85560796467</v>
          </cell>
          <cell r="I1083">
            <v>34517794</v>
          </cell>
          <cell r="J1083">
            <v>-1</v>
          </cell>
          <cell r="K1083" t="str">
            <v>-</v>
          </cell>
          <cell r="L1083">
            <v>9510</v>
          </cell>
          <cell r="M1083">
            <v>9510</v>
          </cell>
          <cell r="Q1083">
            <v>9630</v>
          </cell>
          <cell r="R1083">
            <v>85560796467</v>
          </cell>
          <cell r="Y1083" t="str">
            <v>우레탄 필름 3매 갤럭시S22울트라</v>
          </cell>
          <cell r="AC1083">
            <v>2090.9090909090905</v>
          </cell>
          <cell r="AD1083">
            <v>209.09090909090907</v>
          </cell>
          <cell r="AE1083">
            <v>2300</v>
          </cell>
          <cell r="AG1083">
            <v>4954.545454545454</v>
          </cell>
          <cell r="AH1083">
            <v>495.45454545454595</v>
          </cell>
          <cell r="AI1083">
            <v>5450</v>
          </cell>
          <cell r="AK1083">
            <v>2863.6363636363635</v>
          </cell>
        </row>
        <row r="1084">
          <cell r="H1084">
            <v>85560796501</v>
          </cell>
          <cell r="I1084">
            <v>34517796</v>
          </cell>
          <cell r="J1084">
            <v>-2</v>
          </cell>
          <cell r="K1084" t="str">
            <v>-</v>
          </cell>
          <cell r="L1084">
            <v>9510</v>
          </cell>
          <cell r="M1084">
            <v>9510</v>
          </cell>
          <cell r="Q1084">
            <v>9630</v>
          </cell>
          <cell r="R1084">
            <v>85560796501</v>
          </cell>
          <cell r="Y1084" t="str">
            <v>우레탄 필름 3매 갤럭시S23</v>
          </cell>
          <cell r="AC1084">
            <v>2090.9090909090905</v>
          </cell>
          <cell r="AD1084">
            <v>209.09090909090907</v>
          </cell>
          <cell r="AE1084">
            <v>2300</v>
          </cell>
          <cell r="AG1084">
            <v>4954.545454545454</v>
          </cell>
          <cell r="AH1084">
            <v>495.45454545454595</v>
          </cell>
          <cell r="AI1084">
            <v>5450</v>
          </cell>
          <cell r="AK1084">
            <v>2863.6363636363635</v>
          </cell>
        </row>
        <row r="1085">
          <cell r="H1085">
            <v>85560796510</v>
          </cell>
          <cell r="I1085">
            <v>34517797</v>
          </cell>
          <cell r="J1085" t="str">
            <v/>
          </cell>
          <cell r="K1085" t="str">
            <v>-</v>
          </cell>
          <cell r="L1085">
            <v>9510</v>
          </cell>
          <cell r="M1085">
            <v>9510</v>
          </cell>
          <cell r="Q1085">
            <v>9630</v>
          </cell>
          <cell r="R1085">
            <v>85560796510</v>
          </cell>
          <cell r="Y1085" t="str">
            <v>우레탄 필름 3매 갤럭시S23+</v>
          </cell>
          <cell r="AC1085">
            <v>2090.9090909090905</v>
          </cell>
          <cell r="AD1085">
            <v>209.09090909090907</v>
          </cell>
          <cell r="AE1085">
            <v>2300</v>
          </cell>
          <cell r="AG1085">
            <v>4954.545454545454</v>
          </cell>
          <cell r="AH1085">
            <v>495.45454545454595</v>
          </cell>
          <cell r="AI1085">
            <v>5450</v>
          </cell>
          <cell r="AK1085">
            <v>2863.6363636363635</v>
          </cell>
        </row>
        <row r="1086">
          <cell r="H1086">
            <v>85560796522</v>
          </cell>
          <cell r="I1086">
            <v>34517798</v>
          </cell>
          <cell r="J1086">
            <v>-2</v>
          </cell>
          <cell r="K1086" t="str">
            <v>-</v>
          </cell>
          <cell r="L1086">
            <v>9510</v>
          </cell>
          <cell r="M1086">
            <v>9510</v>
          </cell>
          <cell r="Q1086">
            <v>9630</v>
          </cell>
          <cell r="R1086">
            <v>85560796522</v>
          </cell>
          <cell r="Y1086" t="str">
            <v>우레탄 필름 3매 갤럭시S23울트라</v>
          </cell>
          <cell r="AC1086">
            <v>2090.9090909090905</v>
          </cell>
          <cell r="AD1086">
            <v>209.09090909090907</v>
          </cell>
          <cell r="AE1086">
            <v>2300</v>
          </cell>
          <cell r="AG1086">
            <v>4954.545454545454</v>
          </cell>
          <cell r="AH1086">
            <v>495.45454545454595</v>
          </cell>
          <cell r="AI1086">
            <v>5450</v>
          </cell>
          <cell r="AK1086">
            <v>2863.6363636363635</v>
          </cell>
        </row>
        <row r="1087">
          <cell r="H1087">
            <v>85560796572</v>
          </cell>
          <cell r="I1087">
            <v>34517802</v>
          </cell>
          <cell r="J1087" t="str">
            <v/>
          </cell>
          <cell r="K1087" t="str">
            <v>-</v>
          </cell>
          <cell r="L1087">
            <v>9510</v>
          </cell>
          <cell r="M1087">
            <v>9510</v>
          </cell>
          <cell r="Q1087">
            <v>9630</v>
          </cell>
          <cell r="R1087">
            <v>85560796572</v>
          </cell>
          <cell r="Y1087" t="str">
            <v>우레탄 필름 3매 아이폰12</v>
          </cell>
          <cell r="AC1087">
            <v>2090.9090909090905</v>
          </cell>
          <cell r="AD1087">
            <v>209.09090909090907</v>
          </cell>
          <cell r="AE1087">
            <v>2300</v>
          </cell>
          <cell r="AG1087">
            <v>4954.545454545454</v>
          </cell>
          <cell r="AH1087">
            <v>495.45454545454595</v>
          </cell>
          <cell r="AI1087">
            <v>5450</v>
          </cell>
          <cell r="AK1087">
            <v>2863.6363636363635</v>
          </cell>
        </row>
        <row r="1088">
          <cell r="H1088">
            <v>85560796583</v>
          </cell>
          <cell r="I1088">
            <v>34517803</v>
          </cell>
          <cell r="J1088" t="str">
            <v/>
          </cell>
          <cell r="K1088" t="str">
            <v>-</v>
          </cell>
          <cell r="L1088">
            <v>9510</v>
          </cell>
          <cell r="M1088">
            <v>9510</v>
          </cell>
          <cell r="Q1088">
            <v>9630</v>
          </cell>
          <cell r="R1088">
            <v>85560796583</v>
          </cell>
          <cell r="Y1088" t="str">
            <v>우레탄 필름 3매 아이폰12미니</v>
          </cell>
          <cell r="AC1088">
            <v>2090.9090909090905</v>
          </cell>
          <cell r="AD1088">
            <v>209.09090909090907</v>
          </cell>
          <cell r="AE1088">
            <v>2300</v>
          </cell>
          <cell r="AG1088">
            <v>4954.545454545454</v>
          </cell>
          <cell r="AH1088">
            <v>495.45454545454595</v>
          </cell>
          <cell r="AI1088">
            <v>5450</v>
          </cell>
          <cell r="AK1088">
            <v>2863.6363636363635</v>
          </cell>
        </row>
        <row r="1089">
          <cell r="H1089">
            <v>85560796546</v>
          </cell>
          <cell r="I1089">
            <v>34517801</v>
          </cell>
          <cell r="J1089" t="str">
            <v/>
          </cell>
          <cell r="K1089" t="str">
            <v>-</v>
          </cell>
          <cell r="L1089">
            <v>9510</v>
          </cell>
          <cell r="M1089">
            <v>9510</v>
          </cell>
          <cell r="Q1089">
            <v>9630</v>
          </cell>
          <cell r="R1089">
            <v>85560796546</v>
          </cell>
          <cell r="Y1089" t="str">
            <v>우레탄 필름 3매 아이폰12프로</v>
          </cell>
          <cell r="AC1089">
            <v>2090.9090909090905</v>
          </cell>
          <cell r="AD1089">
            <v>209.09090909090907</v>
          </cell>
          <cell r="AE1089">
            <v>2300</v>
          </cell>
          <cell r="AG1089">
            <v>4954.545454545454</v>
          </cell>
          <cell r="AH1089">
            <v>495.45454545454595</v>
          </cell>
          <cell r="AI1089">
            <v>5450</v>
          </cell>
          <cell r="AK1089">
            <v>2863.6363636363635</v>
          </cell>
        </row>
        <row r="1090">
          <cell r="H1090">
            <v>85560796538</v>
          </cell>
          <cell r="I1090">
            <v>34517800</v>
          </cell>
          <cell r="J1090" t="str">
            <v/>
          </cell>
          <cell r="K1090" t="str">
            <v>-</v>
          </cell>
          <cell r="L1090">
            <v>9510</v>
          </cell>
          <cell r="M1090">
            <v>9510</v>
          </cell>
          <cell r="Q1090">
            <v>9630</v>
          </cell>
          <cell r="R1090">
            <v>85560796538</v>
          </cell>
          <cell r="Y1090" t="str">
            <v>우레탄 필름 3매 아이폰12프로맥스</v>
          </cell>
          <cell r="AC1090">
            <v>2090.9090909090905</v>
          </cell>
          <cell r="AD1090">
            <v>209.09090909090907</v>
          </cell>
          <cell r="AE1090">
            <v>2300</v>
          </cell>
          <cell r="AG1090">
            <v>4954.545454545454</v>
          </cell>
          <cell r="AH1090">
            <v>495.45454545454595</v>
          </cell>
          <cell r="AI1090">
            <v>5450</v>
          </cell>
          <cell r="AK1090">
            <v>2863.6363636363635</v>
          </cell>
        </row>
        <row r="1091">
          <cell r="H1091">
            <v>85560796638</v>
          </cell>
          <cell r="I1091">
            <v>34517808</v>
          </cell>
          <cell r="J1091">
            <v>-3</v>
          </cell>
          <cell r="K1091" t="str">
            <v>-</v>
          </cell>
          <cell r="L1091">
            <v>9510</v>
          </cell>
          <cell r="M1091">
            <v>9510</v>
          </cell>
          <cell r="Q1091">
            <v>9630</v>
          </cell>
          <cell r="R1091">
            <v>85560796638</v>
          </cell>
          <cell r="Y1091" t="str">
            <v>우레탄 필름 3매 아이폰13</v>
          </cell>
          <cell r="AC1091">
            <v>2090.9090909090905</v>
          </cell>
          <cell r="AD1091">
            <v>209.09090909090907</v>
          </cell>
          <cell r="AE1091">
            <v>2300</v>
          </cell>
          <cell r="AG1091">
            <v>4954.545454545454</v>
          </cell>
          <cell r="AH1091">
            <v>495.45454545454595</v>
          </cell>
          <cell r="AI1091">
            <v>5450</v>
          </cell>
          <cell r="AK1091">
            <v>2863.6363636363635</v>
          </cell>
        </row>
        <row r="1092">
          <cell r="H1092">
            <v>85560796651</v>
          </cell>
          <cell r="I1092">
            <v>34517809</v>
          </cell>
          <cell r="J1092" t="str">
            <v/>
          </cell>
          <cell r="K1092" t="str">
            <v>-</v>
          </cell>
          <cell r="L1092">
            <v>9510</v>
          </cell>
          <cell r="M1092">
            <v>9510</v>
          </cell>
          <cell r="Q1092">
            <v>9630</v>
          </cell>
          <cell r="R1092">
            <v>85560796651</v>
          </cell>
          <cell r="Y1092" t="str">
            <v>우레탄 필름 3매 아이폰13미니</v>
          </cell>
          <cell r="AC1092">
            <v>2090.9090909090905</v>
          </cell>
          <cell r="AD1092">
            <v>209.09090909090907</v>
          </cell>
          <cell r="AE1092">
            <v>2300</v>
          </cell>
          <cell r="AG1092">
            <v>4954.545454545454</v>
          </cell>
          <cell r="AH1092">
            <v>495.45454545454595</v>
          </cell>
          <cell r="AI1092">
            <v>5450</v>
          </cell>
          <cell r="AK1092">
            <v>2863.6363636363635</v>
          </cell>
        </row>
        <row r="1093">
          <cell r="H1093">
            <v>85560796628</v>
          </cell>
          <cell r="I1093">
            <v>34517807</v>
          </cell>
          <cell r="J1093" t="str">
            <v/>
          </cell>
          <cell r="K1093" t="str">
            <v>-</v>
          </cell>
          <cell r="L1093">
            <v>9510</v>
          </cell>
          <cell r="M1093">
            <v>9510</v>
          </cell>
          <cell r="Q1093">
            <v>9630</v>
          </cell>
          <cell r="R1093">
            <v>85560796628</v>
          </cell>
          <cell r="Y1093" t="str">
            <v>우레탄 필름 3매 아이폰13프로</v>
          </cell>
          <cell r="AC1093">
            <v>2090.9090909090905</v>
          </cell>
          <cell r="AD1093">
            <v>209.09090909090907</v>
          </cell>
          <cell r="AE1093">
            <v>2300</v>
          </cell>
          <cell r="AG1093">
            <v>4954.545454545454</v>
          </cell>
          <cell r="AH1093">
            <v>495.45454545454595</v>
          </cell>
          <cell r="AI1093">
            <v>5450</v>
          </cell>
          <cell r="AK1093">
            <v>2863.6363636363635</v>
          </cell>
        </row>
        <row r="1094">
          <cell r="H1094">
            <v>85560796591</v>
          </cell>
          <cell r="I1094">
            <v>34517804</v>
          </cell>
          <cell r="J1094" t="str">
            <v/>
          </cell>
          <cell r="K1094" t="str">
            <v>-</v>
          </cell>
          <cell r="L1094">
            <v>9510</v>
          </cell>
          <cell r="M1094">
            <v>9510</v>
          </cell>
          <cell r="Q1094">
            <v>9630</v>
          </cell>
          <cell r="R1094">
            <v>85560796591</v>
          </cell>
          <cell r="Y1094" t="str">
            <v>우레탄 필름 3매 아이폰13프로맥스</v>
          </cell>
          <cell r="AC1094">
            <v>2090.9090909090905</v>
          </cell>
          <cell r="AD1094">
            <v>209.09090909090907</v>
          </cell>
          <cell r="AE1094">
            <v>2300</v>
          </cell>
          <cell r="AG1094">
            <v>4954.545454545454</v>
          </cell>
          <cell r="AH1094">
            <v>495.45454545454595</v>
          </cell>
          <cell r="AI1094">
            <v>5450</v>
          </cell>
          <cell r="AK1094">
            <v>2863.6363636363635</v>
          </cell>
        </row>
        <row r="1095">
          <cell r="H1095">
            <v>85560796486</v>
          </cell>
          <cell r="I1095">
            <v>34517795</v>
          </cell>
          <cell r="J1095">
            <v>1</v>
          </cell>
          <cell r="K1095" t="str">
            <v>-</v>
          </cell>
          <cell r="L1095">
            <v>9510</v>
          </cell>
          <cell r="M1095">
            <v>9510</v>
          </cell>
          <cell r="Q1095">
            <v>9630</v>
          </cell>
          <cell r="R1095">
            <v>85560796486</v>
          </cell>
          <cell r="Y1095" t="str">
            <v>우레탄 필름 3매 아이폰14</v>
          </cell>
          <cell r="AC1095">
            <v>2090.9090909090905</v>
          </cell>
          <cell r="AD1095">
            <v>209.09090909090907</v>
          </cell>
          <cell r="AE1095">
            <v>2300</v>
          </cell>
          <cell r="AG1095">
            <v>4954.545454545454</v>
          </cell>
          <cell r="AH1095">
            <v>495.45454545454595</v>
          </cell>
          <cell r="AI1095">
            <v>5450</v>
          </cell>
          <cell r="AK1095">
            <v>2863.6363636363635</v>
          </cell>
        </row>
        <row r="1096">
          <cell r="H1096">
            <v>85560796618</v>
          </cell>
          <cell r="I1096">
            <v>34517806</v>
          </cell>
          <cell r="J1096" t="str">
            <v/>
          </cell>
          <cell r="K1096" t="str">
            <v>-</v>
          </cell>
          <cell r="L1096">
            <v>9510</v>
          </cell>
          <cell r="M1096">
            <v>9510</v>
          </cell>
          <cell r="Q1096">
            <v>9630</v>
          </cell>
          <cell r="R1096">
            <v>85560796618</v>
          </cell>
          <cell r="Y1096" t="str">
            <v>우레탄 필름 3매 아이폰14+</v>
          </cell>
          <cell r="AC1096">
            <v>2090.9090909090905</v>
          </cell>
          <cell r="AD1096">
            <v>209.09090909090907</v>
          </cell>
          <cell r="AE1096">
            <v>2300</v>
          </cell>
          <cell r="AG1096">
            <v>4954.545454545454</v>
          </cell>
          <cell r="AH1096">
            <v>495.45454545454595</v>
          </cell>
          <cell r="AI1096">
            <v>5450</v>
          </cell>
          <cell r="AK1096">
            <v>2863.6363636363635</v>
          </cell>
        </row>
        <row r="1097">
          <cell r="H1097">
            <v>85560796607</v>
          </cell>
          <cell r="I1097">
            <v>34517805</v>
          </cell>
          <cell r="J1097" t="str">
            <v/>
          </cell>
          <cell r="K1097" t="str">
            <v>-</v>
          </cell>
          <cell r="L1097">
            <v>9510</v>
          </cell>
          <cell r="M1097">
            <v>9510</v>
          </cell>
          <cell r="Q1097">
            <v>9630</v>
          </cell>
          <cell r="R1097">
            <v>85560796607</v>
          </cell>
          <cell r="Y1097" t="str">
            <v>우레탄 필름 3매 아이폰14프로</v>
          </cell>
          <cell r="AC1097">
            <v>2090.9090909090905</v>
          </cell>
          <cell r="AD1097">
            <v>209.09090909090907</v>
          </cell>
          <cell r="AE1097">
            <v>2300</v>
          </cell>
          <cell r="AG1097">
            <v>4954.545454545454</v>
          </cell>
          <cell r="AH1097">
            <v>495.45454545454595</v>
          </cell>
          <cell r="AI1097">
            <v>5450</v>
          </cell>
          <cell r="AK1097">
            <v>2863.6363636363635</v>
          </cell>
        </row>
        <row r="1098">
          <cell r="H1098">
            <v>85560796528</v>
          </cell>
          <cell r="I1098">
            <v>34517799</v>
          </cell>
          <cell r="J1098" t="str">
            <v/>
          </cell>
          <cell r="K1098" t="str">
            <v>-</v>
          </cell>
          <cell r="L1098">
            <v>9510</v>
          </cell>
          <cell r="M1098">
            <v>9510</v>
          </cell>
          <cell r="Q1098">
            <v>9630</v>
          </cell>
          <cell r="R1098">
            <v>85560796528</v>
          </cell>
          <cell r="Y1098" t="str">
            <v>우레탄 필름 3매 아이폰14프로맥스</v>
          </cell>
          <cell r="AC1098">
            <v>1900.9090909090908</v>
          </cell>
          <cell r="AD1098">
            <v>190.09090909090909</v>
          </cell>
          <cell r="AE1098">
            <v>2091</v>
          </cell>
          <cell r="AG1098">
            <v>4954.545454545454</v>
          </cell>
          <cell r="AH1098">
            <v>495.45454545454595</v>
          </cell>
          <cell r="AI1098">
            <v>5450</v>
          </cell>
          <cell r="AK1098">
            <v>3053.6363636363631</v>
          </cell>
        </row>
        <row r="1099">
          <cell r="H1099">
            <v>91139972181</v>
          </cell>
          <cell r="I1099">
            <v>50743011</v>
          </cell>
          <cell r="J1099" t="str">
            <v/>
          </cell>
          <cell r="K1099" t="str">
            <v>-</v>
          </cell>
          <cell r="L1099">
            <v>9900</v>
          </cell>
          <cell r="M1099">
            <v>9900</v>
          </cell>
          <cell r="Q1099">
            <v>9900</v>
          </cell>
          <cell r="R1099">
            <v>91139972181</v>
          </cell>
          <cell r="Y1099" t="str">
            <v>우레탄 필름 3매 아이폰16</v>
          </cell>
          <cell r="AC1099">
            <v>2090.9090909090905</v>
          </cell>
          <cell r="AD1099">
            <v>209.09090909090907</v>
          </cell>
          <cell r="AE1099">
            <v>2300</v>
          </cell>
          <cell r="AG1099">
            <v>5818.181818181818</v>
          </cell>
          <cell r="AH1099">
            <v>581.81818181818198</v>
          </cell>
          <cell r="AI1099">
            <v>6400</v>
          </cell>
          <cell r="AK1099">
            <v>3727.2727272727275</v>
          </cell>
        </row>
        <row r="1100">
          <cell r="H1100">
            <v>91139972193</v>
          </cell>
          <cell r="I1100">
            <v>50743013</v>
          </cell>
          <cell r="J1100" t="str">
            <v/>
          </cell>
          <cell r="K1100" t="str">
            <v>-</v>
          </cell>
          <cell r="L1100">
            <v>9900</v>
          </cell>
          <cell r="M1100">
            <v>9900</v>
          </cell>
          <cell r="Q1100">
            <v>9900</v>
          </cell>
          <cell r="R1100">
            <v>91139972193</v>
          </cell>
          <cell r="Y1100" t="str">
            <v>우레탄 필름 3매 아이폰16 PRO</v>
          </cell>
          <cell r="AC1100">
            <v>2090.9090909090905</v>
          </cell>
          <cell r="AD1100">
            <v>209.09090909090907</v>
          </cell>
          <cell r="AE1100">
            <v>2300</v>
          </cell>
          <cell r="AG1100">
            <v>5818.181818181818</v>
          </cell>
          <cell r="AH1100">
            <v>581.81818181818198</v>
          </cell>
          <cell r="AI1100">
            <v>6400</v>
          </cell>
          <cell r="AK1100">
            <v>3727.2727272727275</v>
          </cell>
        </row>
        <row r="1101">
          <cell r="H1101">
            <v>91139972209</v>
          </cell>
          <cell r="I1101">
            <v>50743014</v>
          </cell>
          <cell r="J1101">
            <v>1</v>
          </cell>
          <cell r="K1101" t="str">
            <v>-</v>
          </cell>
          <cell r="L1101">
            <v>9900</v>
          </cell>
          <cell r="M1101">
            <v>9900</v>
          </cell>
          <cell r="Q1101">
            <v>9900</v>
          </cell>
          <cell r="R1101">
            <v>91139972209</v>
          </cell>
          <cell r="Y1101" t="str">
            <v>우레탄 필름 3매 아이폰16 PRO MAX</v>
          </cell>
          <cell r="AC1101">
            <v>2090.9090909090905</v>
          </cell>
          <cell r="AD1101">
            <v>209.09090909090907</v>
          </cell>
          <cell r="AE1101">
            <v>2300</v>
          </cell>
          <cell r="AG1101">
            <v>5818.181818181818</v>
          </cell>
          <cell r="AH1101">
            <v>581.81818181818198</v>
          </cell>
          <cell r="AI1101">
            <v>6400</v>
          </cell>
          <cell r="AK1101">
            <v>3727.2727272727275</v>
          </cell>
        </row>
        <row r="1102">
          <cell r="H1102">
            <v>91139972222</v>
          </cell>
          <cell r="I1102">
            <v>50743015</v>
          </cell>
          <cell r="J1102">
            <v>1</v>
          </cell>
          <cell r="K1102" t="str">
            <v>-</v>
          </cell>
          <cell r="L1102">
            <v>9900</v>
          </cell>
          <cell r="M1102">
            <v>9900</v>
          </cell>
          <cell r="Q1102">
            <v>9900</v>
          </cell>
          <cell r="R1102">
            <v>91139972222</v>
          </cell>
          <cell r="Y1102" t="str">
            <v>우레탄 필름 3매 아이폰16+</v>
          </cell>
          <cell r="AC1102">
            <v>2090.9090909090905</v>
          </cell>
          <cell r="AD1102">
            <v>209.09090909090907</v>
          </cell>
          <cell r="AE1102">
            <v>2300</v>
          </cell>
          <cell r="AG1102">
            <v>5818.181818181818</v>
          </cell>
          <cell r="AH1102">
            <v>581.81818181818198</v>
          </cell>
          <cell r="AI1102">
            <v>6400</v>
          </cell>
          <cell r="AK1102">
            <v>3727.2727272727275</v>
          </cell>
        </row>
        <row r="1103">
          <cell r="H1103">
            <v>91139972172</v>
          </cell>
          <cell r="I1103">
            <v>50743016</v>
          </cell>
          <cell r="J1103" t="str">
            <v/>
          </cell>
          <cell r="K1103" t="str">
            <v>-</v>
          </cell>
          <cell r="L1103">
            <v>9900</v>
          </cell>
          <cell r="M1103">
            <v>9900</v>
          </cell>
          <cell r="Q1103">
            <v>9900</v>
          </cell>
          <cell r="R1103">
            <v>91139972172</v>
          </cell>
          <cell r="Y1103" t="str">
            <v>종이질감 필름 3매 아이폰16</v>
          </cell>
          <cell r="AC1103">
            <v>2227.272727272727</v>
          </cell>
          <cell r="AD1103">
            <v>222.72727272727272</v>
          </cell>
          <cell r="AE1103">
            <v>2450</v>
          </cell>
          <cell r="AG1103">
            <v>5818.181818181818</v>
          </cell>
          <cell r="AH1103">
            <v>581.81818181818198</v>
          </cell>
          <cell r="AI1103">
            <v>6400</v>
          </cell>
          <cell r="AK1103">
            <v>3590.909090909091</v>
          </cell>
        </row>
        <row r="1104">
          <cell r="H1104">
            <v>91139972180</v>
          </cell>
          <cell r="I1104">
            <v>50743017</v>
          </cell>
          <cell r="J1104" t="str">
            <v/>
          </cell>
          <cell r="K1104" t="str">
            <v>-</v>
          </cell>
          <cell r="L1104">
            <v>9900</v>
          </cell>
          <cell r="M1104">
            <v>9900</v>
          </cell>
          <cell r="Q1104">
            <v>9900</v>
          </cell>
          <cell r="R1104">
            <v>91139972180</v>
          </cell>
          <cell r="Y1104" t="str">
            <v>종이질감 필름 3매 아이폰16 PRO</v>
          </cell>
          <cell r="AC1104">
            <v>2227.272727272727</v>
          </cell>
          <cell r="AD1104">
            <v>222.72727272727272</v>
          </cell>
          <cell r="AE1104">
            <v>2450</v>
          </cell>
          <cell r="AG1104">
            <v>5818.181818181818</v>
          </cell>
          <cell r="AH1104">
            <v>581.81818181818198</v>
          </cell>
          <cell r="AI1104">
            <v>6400</v>
          </cell>
          <cell r="AK1104">
            <v>3590.909090909091</v>
          </cell>
        </row>
        <row r="1105">
          <cell r="H1105">
            <v>91139972194</v>
          </cell>
          <cell r="I1105">
            <v>50743018</v>
          </cell>
          <cell r="J1105">
            <v>2</v>
          </cell>
          <cell r="K1105" t="str">
            <v>-</v>
          </cell>
          <cell r="L1105">
            <v>9900</v>
          </cell>
          <cell r="M1105">
            <v>9900</v>
          </cell>
          <cell r="Q1105">
            <v>9900</v>
          </cell>
          <cell r="R1105">
            <v>91139972194</v>
          </cell>
          <cell r="Y1105" t="str">
            <v>종이질감 필름 3매 아이폰16 PRO MAX</v>
          </cell>
          <cell r="AC1105">
            <v>2227.272727272727</v>
          </cell>
          <cell r="AD1105">
            <v>222.72727272727272</v>
          </cell>
          <cell r="AE1105">
            <v>2450</v>
          </cell>
          <cell r="AG1105">
            <v>5818.181818181818</v>
          </cell>
          <cell r="AH1105">
            <v>581.81818181818198</v>
          </cell>
          <cell r="AI1105">
            <v>6400</v>
          </cell>
          <cell r="AK1105">
            <v>3590.909090909091</v>
          </cell>
        </row>
        <row r="1106">
          <cell r="H1106">
            <v>91139972210</v>
          </cell>
          <cell r="I1106">
            <v>50743020</v>
          </cell>
          <cell r="J1106">
            <v>3</v>
          </cell>
          <cell r="K1106" t="str">
            <v>-</v>
          </cell>
          <cell r="L1106">
            <v>9900</v>
          </cell>
          <cell r="M1106">
            <v>9900</v>
          </cell>
          <cell r="Q1106">
            <v>9900</v>
          </cell>
          <cell r="R1106">
            <v>91139972210</v>
          </cell>
          <cell r="Y1106" t="str">
            <v>종이질감 필름 3매 아이폰16+</v>
          </cell>
          <cell r="AC1106">
            <v>2227.272727272727</v>
          </cell>
          <cell r="AD1106">
            <v>222.72727272727272</v>
          </cell>
          <cell r="AE1106">
            <v>2450</v>
          </cell>
          <cell r="AG1106">
            <v>5818.181818181818</v>
          </cell>
          <cell r="AH1106">
            <v>581.81818181818198</v>
          </cell>
          <cell r="AI1106">
            <v>6400</v>
          </cell>
          <cell r="AK1106">
            <v>3590.909090909091</v>
          </cell>
        </row>
        <row r="1107">
          <cell r="H1107">
            <v>91748005256</v>
          </cell>
          <cell r="I1107">
            <v>55474506</v>
          </cell>
          <cell r="J1107">
            <v>1</v>
          </cell>
          <cell r="K1107" t="str">
            <v>-</v>
          </cell>
          <cell r="L1107">
            <v>10900</v>
          </cell>
          <cell r="M1107">
            <v>10900</v>
          </cell>
          <cell r="Q1107">
            <v>10900</v>
          </cell>
          <cell r="R1107">
            <v>91748005256</v>
          </cell>
          <cell r="Y1107" t="str">
            <v>종이질감 내부 3p 세트 갤럭시 Z 플립6</v>
          </cell>
          <cell r="AC1107">
            <v>2227.272727272727</v>
          </cell>
          <cell r="AD1107">
            <v>222.72727272727272</v>
          </cell>
          <cell r="AE1107">
            <v>2450</v>
          </cell>
          <cell r="AG1107">
            <v>5818.181818181818</v>
          </cell>
          <cell r="AH1107">
            <v>581.81818181818198</v>
          </cell>
          <cell r="AI1107">
            <v>6400</v>
          </cell>
          <cell r="AK1107">
            <v>3590.909090909091</v>
          </cell>
        </row>
        <row r="1108">
          <cell r="H1108">
            <v>84338778503</v>
          </cell>
          <cell r="I1108">
            <v>31171681</v>
          </cell>
          <cell r="J1108" t="str">
            <v/>
          </cell>
          <cell r="K1108" t="str">
            <v>-</v>
          </cell>
          <cell r="L1108">
            <v>8840</v>
          </cell>
          <cell r="M1108">
            <v>8840</v>
          </cell>
          <cell r="Q1108">
            <v>9430</v>
          </cell>
          <cell r="R1108">
            <v>84338778503</v>
          </cell>
          <cell r="Y1108" t="str">
            <v>컬러젤리 케이스 14프로맥스 그레이</v>
          </cell>
          <cell r="AC1108">
            <v>2272.7272727272725</v>
          </cell>
          <cell r="AD1108">
            <v>227.27272727272725</v>
          </cell>
          <cell r="AE1108">
            <v>2500</v>
          </cell>
          <cell r="AG1108">
            <v>5450.9090909090901</v>
          </cell>
          <cell r="AH1108">
            <v>545.09090909090992</v>
          </cell>
          <cell r="AI1108">
            <v>5996</v>
          </cell>
          <cell r="AK1108">
            <v>3178.1818181818176</v>
          </cell>
        </row>
        <row r="1109">
          <cell r="H1109">
            <v>84338776336</v>
          </cell>
          <cell r="I1109">
            <v>31171583</v>
          </cell>
          <cell r="J1109" t="str">
            <v/>
          </cell>
          <cell r="K1109" t="str">
            <v>-</v>
          </cell>
          <cell r="L1109">
            <v>8840</v>
          </cell>
          <cell r="M1109">
            <v>8840</v>
          </cell>
          <cell r="Q1109">
            <v>9430</v>
          </cell>
          <cell r="R1109">
            <v>84338776336</v>
          </cell>
          <cell r="Y1109" t="str">
            <v>컬러젤리 케이스 14프로맥스 그린</v>
          </cell>
          <cell r="AC1109">
            <v>2272.7272727272725</v>
          </cell>
          <cell r="AD1109">
            <v>227.27272727272725</v>
          </cell>
          <cell r="AE1109">
            <v>2500</v>
          </cell>
          <cell r="AG1109">
            <v>5450.9090909090901</v>
          </cell>
          <cell r="AH1109">
            <v>545.09090909090992</v>
          </cell>
          <cell r="AI1109">
            <v>5996</v>
          </cell>
          <cell r="AK1109">
            <v>3178.1818181818176</v>
          </cell>
        </row>
        <row r="1110">
          <cell r="H1110">
            <v>84338777613</v>
          </cell>
          <cell r="I1110">
            <v>31171640</v>
          </cell>
          <cell r="J1110" t="str">
            <v/>
          </cell>
          <cell r="K1110" t="str">
            <v>-</v>
          </cell>
          <cell r="L1110">
            <v>8840</v>
          </cell>
          <cell r="M1110">
            <v>8840</v>
          </cell>
          <cell r="Q1110">
            <v>9430</v>
          </cell>
          <cell r="R1110">
            <v>84338777613</v>
          </cell>
          <cell r="Y1110" t="str">
            <v>컬러젤리 케이스 14프로맥스 네이비</v>
          </cell>
          <cell r="AC1110">
            <v>2272.7272727272725</v>
          </cell>
          <cell r="AD1110">
            <v>227.27272727272725</v>
          </cell>
          <cell r="AE1110">
            <v>2500</v>
          </cell>
          <cell r="AG1110">
            <v>5450.9090909090901</v>
          </cell>
          <cell r="AH1110">
            <v>545.09090909090992</v>
          </cell>
          <cell r="AI1110">
            <v>5996</v>
          </cell>
          <cell r="AK1110">
            <v>3178.1818181818176</v>
          </cell>
        </row>
        <row r="1111">
          <cell r="H1111">
            <v>84338777535</v>
          </cell>
          <cell r="I1111">
            <v>31171636</v>
          </cell>
          <cell r="J1111" t="str">
            <v/>
          </cell>
          <cell r="K1111" t="str">
            <v>-</v>
          </cell>
          <cell r="L1111">
            <v>8840</v>
          </cell>
          <cell r="M1111">
            <v>8840</v>
          </cell>
          <cell r="Q1111">
            <v>9430</v>
          </cell>
          <cell r="R1111">
            <v>84338777535</v>
          </cell>
          <cell r="Y1111" t="str">
            <v>컬러젤리 케이스 14프로맥스 레드</v>
          </cell>
          <cell r="AC1111">
            <v>2272.7272727272725</v>
          </cell>
          <cell r="AD1111">
            <v>227.27272727272725</v>
          </cell>
          <cell r="AE1111">
            <v>2500</v>
          </cell>
          <cell r="AG1111">
            <v>5450.9090909090901</v>
          </cell>
          <cell r="AH1111">
            <v>545.09090909090992</v>
          </cell>
          <cell r="AI1111">
            <v>5996</v>
          </cell>
          <cell r="AK1111">
            <v>3178.1818181818176</v>
          </cell>
        </row>
        <row r="1112">
          <cell r="H1112">
            <v>84338776357</v>
          </cell>
          <cell r="I1112">
            <v>31171584</v>
          </cell>
          <cell r="J1112" t="str">
            <v/>
          </cell>
          <cell r="K1112" t="str">
            <v>-</v>
          </cell>
          <cell r="L1112">
            <v>8840</v>
          </cell>
          <cell r="M1112">
            <v>8840</v>
          </cell>
          <cell r="Q1112">
            <v>9430</v>
          </cell>
          <cell r="R1112">
            <v>84338776357</v>
          </cell>
          <cell r="Y1112" t="str">
            <v>컬러젤리 케이스 14프로맥스 블랙</v>
          </cell>
          <cell r="AC1112">
            <v>2272.7272727272725</v>
          </cell>
          <cell r="AD1112">
            <v>227.27272727272725</v>
          </cell>
          <cell r="AE1112">
            <v>2500</v>
          </cell>
          <cell r="AG1112">
            <v>5450.9090909090901</v>
          </cell>
          <cell r="AH1112">
            <v>545.09090909090992</v>
          </cell>
          <cell r="AI1112">
            <v>5996</v>
          </cell>
          <cell r="AK1112">
            <v>3178.1818181818176</v>
          </cell>
        </row>
        <row r="1113">
          <cell r="H1113">
            <v>84338776984</v>
          </cell>
          <cell r="I1113">
            <v>31171613</v>
          </cell>
          <cell r="J1113">
            <v>1</v>
          </cell>
          <cell r="K1113" t="str">
            <v>-</v>
          </cell>
          <cell r="L1113">
            <v>8840</v>
          </cell>
          <cell r="M1113">
            <v>8840</v>
          </cell>
          <cell r="Q1113">
            <v>9430</v>
          </cell>
          <cell r="R1113">
            <v>84338776984</v>
          </cell>
          <cell r="Y1113" t="str">
            <v>컬러젤리 케이스 14프로맥스 옐로우</v>
          </cell>
          <cell r="AC1113">
            <v>2272.7272727272725</v>
          </cell>
          <cell r="AD1113">
            <v>227.27272727272725</v>
          </cell>
          <cell r="AE1113">
            <v>2500</v>
          </cell>
          <cell r="AG1113">
            <v>5450.9090909090901</v>
          </cell>
          <cell r="AH1113">
            <v>545.09090909090992</v>
          </cell>
          <cell r="AI1113">
            <v>5996</v>
          </cell>
          <cell r="AK1113">
            <v>3178.1818181818176</v>
          </cell>
        </row>
        <row r="1114">
          <cell r="H1114">
            <v>84338775715</v>
          </cell>
          <cell r="I1114">
            <v>31171552</v>
          </cell>
          <cell r="J1114" t="str">
            <v/>
          </cell>
          <cell r="K1114" t="str">
            <v>-</v>
          </cell>
          <cell r="L1114">
            <v>8840</v>
          </cell>
          <cell r="M1114">
            <v>8840</v>
          </cell>
          <cell r="Q1114">
            <v>9430</v>
          </cell>
          <cell r="R1114">
            <v>84338775715</v>
          </cell>
          <cell r="Y1114" t="str">
            <v>컬러젤리 케이스 14프로맥스 핑크</v>
          </cell>
          <cell r="AC1114">
            <v>2272.7272727272725</v>
          </cell>
          <cell r="AD1114">
            <v>227.27272727272725</v>
          </cell>
          <cell r="AE1114">
            <v>2500</v>
          </cell>
          <cell r="AG1114">
            <v>5450.9090909090901</v>
          </cell>
          <cell r="AH1114">
            <v>545.09090909090992</v>
          </cell>
          <cell r="AI1114">
            <v>5996</v>
          </cell>
          <cell r="AK1114">
            <v>3178.1818181818176</v>
          </cell>
        </row>
        <row r="1115">
          <cell r="H1115">
            <v>84338778521</v>
          </cell>
          <cell r="I1115">
            <v>31171683</v>
          </cell>
          <cell r="J1115" t="str">
            <v/>
          </cell>
          <cell r="K1115" t="str">
            <v>-</v>
          </cell>
          <cell r="L1115">
            <v>8840</v>
          </cell>
          <cell r="M1115">
            <v>8840</v>
          </cell>
          <cell r="Q1115">
            <v>9430</v>
          </cell>
          <cell r="R1115">
            <v>84338778521</v>
          </cell>
          <cell r="Y1115" t="str">
            <v>컬러젤리 케이스 14플러스 그레이</v>
          </cell>
          <cell r="AC1115">
            <v>2272.7272727272725</v>
          </cell>
          <cell r="AD1115">
            <v>227.27272727272725</v>
          </cell>
          <cell r="AE1115">
            <v>2500</v>
          </cell>
          <cell r="AG1115">
            <v>5450.9090909090901</v>
          </cell>
          <cell r="AH1115">
            <v>545.09090909090992</v>
          </cell>
          <cell r="AI1115">
            <v>5996</v>
          </cell>
          <cell r="AK1115">
            <v>3178.1818181818176</v>
          </cell>
        </row>
        <row r="1116">
          <cell r="H1116">
            <v>84338778564</v>
          </cell>
          <cell r="I1116">
            <v>31171686</v>
          </cell>
          <cell r="J1116" t="str">
            <v/>
          </cell>
          <cell r="K1116" t="str">
            <v>-</v>
          </cell>
          <cell r="L1116">
            <v>8840</v>
          </cell>
          <cell r="M1116">
            <v>8840</v>
          </cell>
          <cell r="Q1116">
            <v>9430</v>
          </cell>
          <cell r="R1116">
            <v>84338778564</v>
          </cell>
          <cell r="Y1116" t="str">
            <v>컬러젤리 케이스 14플러스 그린</v>
          </cell>
          <cell r="AC1116">
            <v>2272.7272727272725</v>
          </cell>
          <cell r="AD1116">
            <v>227.27272727272725</v>
          </cell>
          <cell r="AE1116">
            <v>2500</v>
          </cell>
          <cell r="AG1116">
            <v>5450.9090909090901</v>
          </cell>
          <cell r="AH1116">
            <v>545.09090909090992</v>
          </cell>
          <cell r="AI1116">
            <v>5996</v>
          </cell>
          <cell r="AK1116">
            <v>3178.1818181818176</v>
          </cell>
        </row>
        <row r="1117">
          <cell r="H1117">
            <v>84338777668</v>
          </cell>
          <cell r="I1117">
            <v>31171642</v>
          </cell>
          <cell r="J1117" t="str">
            <v/>
          </cell>
          <cell r="K1117" t="str">
            <v>-</v>
          </cell>
          <cell r="L1117">
            <v>8840</v>
          </cell>
          <cell r="M1117">
            <v>8840</v>
          </cell>
          <cell r="Q1117">
            <v>9430</v>
          </cell>
          <cell r="R1117">
            <v>84338777668</v>
          </cell>
          <cell r="Y1117" t="str">
            <v>컬러젤리 케이스 14플러스 네이비</v>
          </cell>
          <cell r="AC1117">
            <v>2272.7272727272725</v>
          </cell>
          <cell r="AD1117">
            <v>227.27272727272725</v>
          </cell>
          <cell r="AE1117">
            <v>2500</v>
          </cell>
          <cell r="AG1117">
            <v>5450.9090909090901</v>
          </cell>
          <cell r="AH1117">
            <v>545.09090909090992</v>
          </cell>
          <cell r="AI1117">
            <v>5996</v>
          </cell>
          <cell r="AK1117">
            <v>3178.1818181818176</v>
          </cell>
        </row>
        <row r="1118">
          <cell r="H1118">
            <v>84338777552</v>
          </cell>
          <cell r="I1118">
            <v>31171637</v>
          </cell>
          <cell r="J1118" t="str">
            <v/>
          </cell>
          <cell r="K1118" t="str">
            <v>-</v>
          </cell>
          <cell r="L1118">
            <v>8840</v>
          </cell>
          <cell r="M1118">
            <v>8840</v>
          </cell>
          <cell r="Q1118">
            <v>9430</v>
          </cell>
          <cell r="R1118">
            <v>84338777552</v>
          </cell>
          <cell r="Y1118" t="str">
            <v>컬러젤리 케이스 14플러스 레드</v>
          </cell>
          <cell r="AC1118">
            <v>2272.7272727272725</v>
          </cell>
          <cell r="AD1118">
            <v>227.27272727272725</v>
          </cell>
          <cell r="AE1118">
            <v>2500</v>
          </cell>
          <cell r="AG1118">
            <v>5450.9090909090901</v>
          </cell>
          <cell r="AH1118">
            <v>545.09090909090992</v>
          </cell>
          <cell r="AI1118">
            <v>5996</v>
          </cell>
          <cell r="AK1118">
            <v>3178.1818181818176</v>
          </cell>
        </row>
        <row r="1119">
          <cell r="H1119">
            <v>84338776382</v>
          </cell>
          <cell r="I1119">
            <v>31171585</v>
          </cell>
          <cell r="J1119" t="str">
            <v/>
          </cell>
          <cell r="K1119" t="str">
            <v>-</v>
          </cell>
          <cell r="L1119">
            <v>8840</v>
          </cell>
          <cell r="M1119">
            <v>8840</v>
          </cell>
          <cell r="Q1119">
            <v>9430</v>
          </cell>
          <cell r="R1119">
            <v>84338776382</v>
          </cell>
          <cell r="Y1119" t="str">
            <v>컬러젤리 케이스 14플러스 블랙</v>
          </cell>
          <cell r="AC1119">
            <v>2272.7272727272725</v>
          </cell>
          <cell r="AD1119">
            <v>227.27272727272725</v>
          </cell>
          <cell r="AE1119">
            <v>2500</v>
          </cell>
          <cell r="AG1119">
            <v>5450.9090909090901</v>
          </cell>
          <cell r="AH1119">
            <v>545.09090909090992</v>
          </cell>
          <cell r="AI1119">
            <v>5996</v>
          </cell>
          <cell r="AK1119">
            <v>3178.1818181818176</v>
          </cell>
        </row>
        <row r="1120">
          <cell r="H1120">
            <v>84338777018</v>
          </cell>
          <cell r="I1120">
            <v>31171615</v>
          </cell>
          <cell r="J1120" t="str">
            <v/>
          </cell>
          <cell r="K1120" t="str">
            <v>-</v>
          </cell>
          <cell r="L1120">
            <v>8840</v>
          </cell>
          <cell r="M1120">
            <v>8840</v>
          </cell>
          <cell r="Q1120">
            <v>9430</v>
          </cell>
          <cell r="R1120">
            <v>84338777018</v>
          </cell>
          <cell r="Y1120" t="str">
            <v>컬러젤리 케이스 14플러스 옐로우</v>
          </cell>
          <cell r="AC1120">
            <v>2272.7272727272725</v>
          </cell>
          <cell r="AD1120">
            <v>227.27272727272725</v>
          </cell>
          <cell r="AE1120">
            <v>2500</v>
          </cell>
          <cell r="AG1120">
            <v>5450.9090909090901</v>
          </cell>
          <cell r="AH1120">
            <v>545.09090909090992</v>
          </cell>
          <cell r="AI1120">
            <v>5996</v>
          </cell>
          <cell r="AK1120">
            <v>3178.1818181818176</v>
          </cell>
        </row>
        <row r="1121">
          <cell r="H1121">
            <v>84338775729</v>
          </cell>
          <cell r="I1121">
            <v>31171553</v>
          </cell>
          <cell r="J1121" t="str">
            <v/>
          </cell>
          <cell r="K1121" t="str">
            <v>-</v>
          </cell>
          <cell r="L1121">
            <v>8840</v>
          </cell>
          <cell r="M1121">
            <v>8840</v>
          </cell>
          <cell r="Q1121">
            <v>9430</v>
          </cell>
          <cell r="R1121">
            <v>84338775729</v>
          </cell>
          <cell r="Y1121" t="str">
            <v>컬러젤리 케이스 14플러스 핑크</v>
          </cell>
          <cell r="AC1121">
            <v>2272.7272727272725</v>
          </cell>
          <cell r="AD1121">
            <v>227.27272727272725</v>
          </cell>
          <cell r="AE1121">
            <v>2500</v>
          </cell>
          <cell r="AG1121">
            <v>5450.9090909090901</v>
          </cell>
          <cell r="AH1121">
            <v>545.09090909090992</v>
          </cell>
          <cell r="AI1121">
            <v>5996</v>
          </cell>
          <cell r="AK1121">
            <v>3178.1818181818176</v>
          </cell>
        </row>
        <row r="1122">
          <cell r="H1122">
            <v>84338778550</v>
          </cell>
          <cell r="I1122">
            <v>31171685</v>
          </cell>
          <cell r="J1122" t="str">
            <v/>
          </cell>
          <cell r="K1122" t="str">
            <v>-</v>
          </cell>
          <cell r="L1122">
            <v>8840</v>
          </cell>
          <cell r="M1122">
            <v>8840</v>
          </cell>
          <cell r="Q1122">
            <v>9430</v>
          </cell>
          <cell r="R1122">
            <v>84338778550</v>
          </cell>
          <cell r="Y1122" t="str">
            <v>컬러젤리 케이스 갤럭시S21 그레이</v>
          </cell>
          <cell r="AC1122">
            <v>2272.7272727272725</v>
          </cell>
          <cell r="AD1122">
            <v>227.27272727272725</v>
          </cell>
          <cell r="AE1122">
            <v>2500</v>
          </cell>
          <cell r="AG1122">
            <v>5450.9090909090901</v>
          </cell>
          <cell r="AH1122">
            <v>545.09090909090992</v>
          </cell>
          <cell r="AI1122">
            <v>5996</v>
          </cell>
          <cell r="AK1122">
            <v>3178.1818181818176</v>
          </cell>
        </row>
        <row r="1123">
          <cell r="H1123">
            <v>84338776527</v>
          </cell>
          <cell r="I1123">
            <v>31171591</v>
          </cell>
          <cell r="J1123" t="str">
            <v/>
          </cell>
          <cell r="K1123" t="str">
            <v>-</v>
          </cell>
          <cell r="L1123">
            <v>10500</v>
          </cell>
          <cell r="M1123">
            <v>10500</v>
          </cell>
          <cell r="Q1123">
            <v>10500</v>
          </cell>
          <cell r="R1123">
            <v>84338776527</v>
          </cell>
          <cell r="Y1123" t="str">
            <v>컬러젤리 케이스 갤럭시S21 그린</v>
          </cell>
          <cell r="AC1123">
            <v>2272.7272727272725</v>
          </cell>
          <cell r="AD1123">
            <v>227.27272727272725</v>
          </cell>
          <cell r="AE1123">
            <v>2500</v>
          </cell>
          <cell r="AG1123">
            <v>5450.9090909090901</v>
          </cell>
          <cell r="AH1123">
            <v>545.09090909090992</v>
          </cell>
          <cell r="AI1123">
            <v>5996</v>
          </cell>
          <cell r="AK1123">
            <v>3178.1818181818176</v>
          </cell>
        </row>
        <row r="1124">
          <cell r="H1124">
            <v>84338777568</v>
          </cell>
          <cell r="I1124">
            <v>31171638</v>
          </cell>
          <cell r="J1124" t="str">
            <v/>
          </cell>
          <cell r="K1124" t="str">
            <v>-</v>
          </cell>
          <cell r="L1124">
            <v>8840</v>
          </cell>
          <cell r="M1124">
            <v>8840</v>
          </cell>
          <cell r="Q1124">
            <v>9430</v>
          </cell>
          <cell r="R1124">
            <v>84338777568</v>
          </cell>
          <cell r="Y1124" t="str">
            <v>컬러젤리 케이스 갤럭시S21 네이비</v>
          </cell>
          <cell r="AC1124">
            <v>2272.7272727272725</v>
          </cell>
          <cell r="AD1124">
            <v>227.27272727272725</v>
          </cell>
          <cell r="AE1124">
            <v>2500</v>
          </cell>
          <cell r="AG1124">
            <v>5450.9090909090901</v>
          </cell>
          <cell r="AH1124">
            <v>545.09090909090992</v>
          </cell>
          <cell r="AI1124">
            <v>5996</v>
          </cell>
          <cell r="AK1124">
            <v>3178.1818181818176</v>
          </cell>
        </row>
        <row r="1125">
          <cell r="H1125">
            <v>84338777635</v>
          </cell>
          <cell r="I1125">
            <v>31171641</v>
          </cell>
          <cell r="J1125" t="str">
            <v/>
          </cell>
          <cell r="K1125" t="str">
            <v>-</v>
          </cell>
          <cell r="L1125">
            <v>9710</v>
          </cell>
          <cell r="M1125">
            <v>9710</v>
          </cell>
          <cell r="Q1125">
            <v>9710</v>
          </cell>
          <cell r="R1125">
            <v>84338777635</v>
          </cell>
          <cell r="Y1125" t="str">
            <v>컬러젤리 케이스 갤럭시S21 레드</v>
          </cell>
          <cell r="AC1125">
            <v>2272.7272727272725</v>
          </cell>
          <cell r="AD1125">
            <v>227.27272727272725</v>
          </cell>
          <cell r="AE1125">
            <v>2500</v>
          </cell>
          <cell r="AG1125">
            <v>5450.9090909090901</v>
          </cell>
          <cell r="AH1125">
            <v>545.09090909090992</v>
          </cell>
          <cell r="AI1125">
            <v>5996</v>
          </cell>
          <cell r="AK1125">
            <v>3178.1818181818176</v>
          </cell>
        </row>
        <row r="1126">
          <cell r="H1126">
            <v>84338776482</v>
          </cell>
          <cell r="I1126">
            <v>31171589</v>
          </cell>
          <cell r="J1126" t="str">
            <v/>
          </cell>
          <cell r="K1126" t="str">
            <v>-</v>
          </cell>
          <cell r="L1126">
            <v>6650</v>
          </cell>
          <cell r="M1126">
            <v>6650</v>
          </cell>
          <cell r="Q1126">
            <v>6650</v>
          </cell>
          <cell r="R1126">
            <v>84338776482</v>
          </cell>
          <cell r="Y1126" t="str">
            <v>컬러젤리 케이스 갤럭시S21 블랙</v>
          </cell>
          <cell r="AC1126">
            <v>2272.7272727272725</v>
          </cell>
          <cell r="AD1126">
            <v>227.27272727272725</v>
          </cell>
          <cell r="AE1126">
            <v>2500</v>
          </cell>
          <cell r="AG1126">
            <v>4905.454545454545</v>
          </cell>
          <cell r="AH1126">
            <v>490.54545454545496</v>
          </cell>
          <cell r="AI1126">
            <v>5396</v>
          </cell>
          <cell r="AK1126">
            <v>2632.7272727272725</v>
          </cell>
        </row>
        <row r="1127">
          <cell r="H1127">
            <v>84338777063</v>
          </cell>
          <cell r="I1127">
            <v>31171617</v>
          </cell>
          <cell r="J1127" t="str">
            <v/>
          </cell>
          <cell r="K1127" t="str">
            <v>-</v>
          </cell>
          <cell r="L1127">
            <v>9560</v>
          </cell>
          <cell r="M1127">
            <v>9560</v>
          </cell>
          <cell r="Q1127">
            <v>9560</v>
          </cell>
          <cell r="R1127">
            <v>84338777063</v>
          </cell>
          <cell r="Y1127" t="str">
            <v>컬러젤리 케이스 갤럭시S21 옐로우</v>
          </cell>
          <cell r="AC1127">
            <v>2272.7272727272725</v>
          </cell>
          <cell r="AD1127">
            <v>227.27272727272725</v>
          </cell>
          <cell r="AE1127">
            <v>2500</v>
          </cell>
          <cell r="AG1127">
            <v>5450.9090909090901</v>
          </cell>
          <cell r="AH1127">
            <v>545.09090909090992</v>
          </cell>
          <cell r="AI1127">
            <v>5996</v>
          </cell>
          <cell r="AK1127">
            <v>3178.1818181818176</v>
          </cell>
        </row>
        <row r="1128">
          <cell r="H1128">
            <v>84338775754</v>
          </cell>
          <cell r="I1128">
            <v>31171555</v>
          </cell>
          <cell r="J1128" t="str">
            <v/>
          </cell>
          <cell r="K1128" t="str">
            <v>-</v>
          </cell>
          <cell r="L1128">
            <v>9660</v>
          </cell>
          <cell r="M1128">
            <v>9660</v>
          </cell>
          <cell r="Q1128">
            <v>9660</v>
          </cell>
          <cell r="R1128">
            <v>84338775754</v>
          </cell>
          <cell r="Y1128" t="str">
            <v>컬러젤리 케이스 갤럭시S21 핑크</v>
          </cell>
          <cell r="AC1128">
            <v>2272.7272727272725</v>
          </cell>
          <cell r="AD1128">
            <v>227.27272727272725</v>
          </cell>
          <cell r="AE1128">
            <v>2500</v>
          </cell>
          <cell r="AG1128">
            <v>4905.454545454545</v>
          </cell>
          <cell r="AH1128">
            <v>490.54545454545496</v>
          </cell>
          <cell r="AI1128">
            <v>5396</v>
          </cell>
          <cell r="AK1128">
            <v>2632.7272727272725</v>
          </cell>
        </row>
        <row r="1129">
          <cell r="H1129">
            <v>84338778624</v>
          </cell>
          <cell r="I1129">
            <v>31171689</v>
          </cell>
          <cell r="J1129" t="str">
            <v/>
          </cell>
          <cell r="K1129" t="str">
            <v>-</v>
          </cell>
          <cell r="L1129">
            <v>8840</v>
          </cell>
          <cell r="M1129">
            <v>8840</v>
          </cell>
          <cell r="Q1129">
            <v>9430</v>
          </cell>
          <cell r="R1129">
            <v>84338778624</v>
          </cell>
          <cell r="Y1129" t="str">
            <v>컬러젤리 케이스 갤럭시S21울트라 그레이</v>
          </cell>
          <cell r="AC1129">
            <v>2272.7272727272725</v>
          </cell>
          <cell r="AD1129">
            <v>227.27272727272725</v>
          </cell>
          <cell r="AE1129">
            <v>2500</v>
          </cell>
          <cell r="AG1129">
            <v>5450.9090909090901</v>
          </cell>
          <cell r="AH1129">
            <v>545.09090909090992</v>
          </cell>
          <cell r="AI1129">
            <v>5996</v>
          </cell>
          <cell r="AK1129">
            <v>3178.1818181818176</v>
          </cell>
        </row>
        <row r="1130">
          <cell r="H1130">
            <v>84338776623</v>
          </cell>
          <cell r="I1130">
            <v>31171595</v>
          </cell>
          <cell r="J1130" t="str">
            <v/>
          </cell>
          <cell r="K1130" t="str">
            <v>-</v>
          </cell>
          <cell r="L1130">
            <v>8840</v>
          </cell>
          <cell r="M1130">
            <v>8840</v>
          </cell>
          <cell r="Q1130">
            <v>9430</v>
          </cell>
          <cell r="R1130">
            <v>84338776623</v>
          </cell>
          <cell r="Y1130" t="str">
            <v>컬러젤리 케이스 갤럭시S21울트라 그린</v>
          </cell>
          <cell r="AC1130">
            <v>2272.7272727272725</v>
          </cell>
          <cell r="AD1130">
            <v>227.27272727272725</v>
          </cell>
          <cell r="AE1130">
            <v>2500</v>
          </cell>
          <cell r="AG1130">
            <v>5450.9090909090901</v>
          </cell>
          <cell r="AH1130">
            <v>545.09090909090992</v>
          </cell>
          <cell r="AI1130">
            <v>5996</v>
          </cell>
          <cell r="AK1130">
            <v>3178.1818181818176</v>
          </cell>
        </row>
        <row r="1131">
          <cell r="H1131">
            <v>84338778387</v>
          </cell>
          <cell r="I1131">
            <v>31171676</v>
          </cell>
          <cell r="J1131" t="str">
            <v/>
          </cell>
          <cell r="K1131" t="str">
            <v>-</v>
          </cell>
          <cell r="L1131">
            <v>9660</v>
          </cell>
          <cell r="M1131">
            <v>9660</v>
          </cell>
          <cell r="Q1131">
            <v>9660</v>
          </cell>
          <cell r="R1131">
            <v>84338778387</v>
          </cell>
          <cell r="Y1131" t="str">
            <v>컬러젤리 케이스 갤럭시S21울트라 네이비</v>
          </cell>
          <cell r="AC1131">
            <v>2272.7272727272725</v>
          </cell>
          <cell r="AD1131">
            <v>227.27272727272725</v>
          </cell>
          <cell r="AE1131">
            <v>2500</v>
          </cell>
          <cell r="AG1131">
            <v>5450.9090909090901</v>
          </cell>
          <cell r="AH1131">
            <v>545.09090909090992</v>
          </cell>
          <cell r="AI1131">
            <v>5996</v>
          </cell>
          <cell r="AK1131">
            <v>3178.1818181818176</v>
          </cell>
        </row>
        <row r="1132">
          <cell r="H1132">
            <v>84338777736</v>
          </cell>
          <cell r="I1132">
            <v>31171645</v>
          </cell>
          <cell r="J1132" t="str">
            <v/>
          </cell>
          <cell r="K1132" t="str">
            <v>-</v>
          </cell>
          <cell r="L1132">
            <v>8840</v>
          </cell>
          <cell r="M1132">
            <v>8840</v>
          </cell>
          <cell r="Q1132">
            <v>9430</v>
          </cell>
          <cell r="R1132">
            <v>84338777736</v>
          </cell>
          <cell r="Y1132" t="str">
            <v>컬러젤리 케이스 갤럭시S21울트라 레드</v>
          </cell>
          <cell r="AC1132">
            <v>2272.7272727272725</v>
          </cell>
          <cell r="AD1132">
            <v>227.27272727272725</v>
          </cell>
          <cell r="AE1132">
            <v>2500</v>
          </cell>
          <cell r="AG1132">
            <v>5450.9090909090901</v>
          </cell>
          <cell r="AH1132">
            <v>545.09090909090992</v>
          </cell>
          <cell r="AI1132">
            <v>5996</v>
          </cell>
          <cell r="AK1132">
            <v>3178.1818181818176</v>
          </cell>
        </row>
        <row r="1133">
          <cell r="H1133">
            <v>84338776812</v>
          </cell>
          <cell r="I1133">
            <v>31171603</v>
          </cell>
          <cell r="J1133" t="str">
            <v/>
          </cell>
          <cell r="K1133" t="str">
            <v>-</v>
          </cell>
          <cell r="L1133">
            <v>8840</v>
          </cell>
          <cell r="M1133">
            <v>8840</v>
          </cell>
          <cell r="Q1133">
            <v>9430</v>
          </cell>
          <cell r="R1133">
            <v>84338776812</v>
          </cell>
          <cell r="Y1133" t="str">
            <v>컬러젤리 케이스 갤럭시S21울트라 블랙</v>
          </cell>
          <cell r="AC1133">
            <v>2272.7272727272725</v>
          </cell>
          <cell r="AD1133">
            <v>227.27272727272725</v>
          </cell>
          <cell r="AE1133">
            <v>2500</v>
          </cell>
          <cell r="AG1133">
            <v>5450.9090909090901</v>
          </cell>
          <cell r="AH1133">
            <v>545.09090909090992</v>
          </cell>
          <cell r="AI1133">
            <v>5996</v>
          </cell>
          <cell r="AK1133">
            <v>3178.1818181818176</v>
          </cell>
        </row>
        <row r="1134">
          <cell r="H1134">
            <v>84338777134</v>
          </cell>
          <cell r="I1134">
            <v>31171619</v>
          </cell>
          <cell r="J1134" t="str">
            <v/>
          </cell>
          <cell r="K1134" t="str">
            <v>-</v>
          </cell>
          <cell r="L1134">
            <v>8840</v>
          </cell>
          <cell r="M1134">
            <v>8840</v>
          </cell>
          <cell r="Q1134">
            <v>9430</v>
          </cell>
          <cell r="R1134">
            <v>84338777134</v>
          </cell>
          <cell r="Y1134" t="str">
            <v>컬러젤리 케이스 갤럭시S21울트라 옐로우</v>
          </cell>
          <cell r="AC1134">
            <v>2272.7272727272725</v>
          </cell>
          <cell r="AD1134">
            <v>227.27272727272725</v>
          </cell>
          <cell r="AE1134">
            <v>2500</v>
          </cell>
          <cell r="AG1134">
            <v>5450.9090909090901</v>
          </cell>
          <cell r="AH1134">
            <v>545.09090909090992</v>
          </cell>
          <cell r="AI1134">
            <v>5996</v>
          </cell>
          <cell r="AK1134">
            <v>3178.1818181818176</v>
          </cell>
        </row>
        <row r="1135">
          <cell r="H1135">
            <v>84338775770</v>
          </cell>
          <cell r="I1135">
            <v>31171556</v>
          </cell>
          <cell r="J1135" t="str">
            <v/>
          </cell>
          <cell r="K1135" t="str">
            <v>-</v>
          </cell>
          <cell r="L1135">
            <v>8840</v>
          </cell>
          <cell r="M1135">
            <v>8840</v>
          </cell>
          <cell r="Q1135">
            <v>9430</v>
          </cell>
          <cell r="R1135">
            <v>84338775770</v>
          </cell>
          <cell r="Y1135" t="str">
            <v>컬러젤리 케이스 갤럭시S21울트라 핑크</v>
          </cell>
          <cell r="AC1135">
            <v>2272.7272727272725</v>
          </cell>
          <cell r="AD1135">
            <v>227.27272727272725</v>
          </cell>
          <cell r="AE1135">
            <v>2500</v>
          </cell>
          <cell r="AG1135">
            <v>5450.9090909090901</v>
          </cell>
          <cell r="AH1135">
            <v>545.09090909090992</v>
          </cell>
          <cell r="AI1135">
            <v>5996</v>
          </cell>
          <cell r="AK1135">
            <v>3178.1818181818176</v>
          </cell>
        </row>
        <row r="1136">
          <cell r="H1136">
            <v>84338778537</v>
          </cell>
          <cell r="I1136">
            <v>31171684</v>
          </cell>
          <cell r="J1136" t="str">
            <v/>
          </cell>
          <cell r="K1136" t="str">
            <v>-</v>
          </cell>
          <cell r="L1136">
            <v>8840</v>
          </cell>
          <cell r="M1136">
            <v>8840</v>
          </cell>
          <cell r="Q1136">
            <v>9430</v>
          </cell>
          <cell r="R1136">
            <v>84338778537</v>
          </cell>
          <cell r="Y1136" t="str">
            <v>컬러젤리 케이스 갤럭시S21플러스 그레이</v>
          </cell>
          <cell r="AC1136">
            <v>2272.7272727272725</v>
          </cell>
          <cell r="AD1136">
            <v>227.27272727272725</v>
          </cell>
          <cell r="AE1136">
            <v>2500</v>
          </cell>
          <cell r="AG1136">
            <v>5450.9090909090901</v>
          </cell>
          <cell r="AH1136">
            <v>545.09090909090992</v>
          </cell>
          <cell r="AI1136">
            <v>5996</v>
          </cell>
          <cell r="AK1136">
            <v>3178.1818181818176</v>
          </cell>
        </row>
        <row r="1137">
          <cell r="H1137">
            <v>84338776437</v>
          </cell>
          <cell r="I1137">
            <v>31171587</v>
          </cell>
          <cell r="J1137" t="str">
            <v/>
          </cell>
          <cell r="K1137" t="str">
            <v>-</v>
          </cell>
          <cell r="L1137">
            <v>8840</v>
          </cell>
          <cell r="M1137">
            <v>8840</v>
          </cell>
          <cell r="Q1137">
            <v>9430</v>
          </cell>
          <cell r="R1137">
            <v>84338776437</v>
          </cell>
          <cell r="Y1137" t="str">
            <v>컬러젤리 케이스 갤럭시S21플러스 그린</v>
          </cell>
          <cell r="AC1137">
            <v>2272.7272727272725</v>
          </cell>
          <cell r="AD1137">
            <v>227.27272727272725</v>
          </cell>
          <cell r="AE1137">
            <v>2500</v>
          </cell>
          <cell r="AG1137">
            <v>5450.9090909090901</v>
          </cell>
          <cell r="AH1137">
            <v>545.09090909090992</v>
          </cell>
          <cell r="AI1137">
            <v>5996</v>
          </cell>
          <cell r="AK1137">
            <v>3178.1818181818176</v>
          </cell>
        </row>
        <row r="1138">
          <cell r="H1138">
            <v>84338778407</v>
          </cell>
          <cell r="I1138">
            <v>31171677</v>
          </cell>
          <cell r="J1138" t="str">
            <v/>
          </cell>
          <cell r="K1138" t="str">
            <v>-</v>
          </cell>
          <cell r="L1138">
            <v>8840</v>
          </cell>
          <cell r="M1138">
            <v>8840</v>
          </cell>
          <cell r="Q1138">
            <v>9430</v>
          </cell>
          <cell r="R1138">
            <v>84338778407</v>
          </cell>
          <cell r="Y1138" t="str">
            <v>컬러젤리 케이스 갤럭시S21플러스 네이비</v>
          </cell>
          <cell r="AC1138">
            <v>2272.7272727272725</v>
          </cell>
          <cell r="AD1138">
            <v>227.27272727272725</v>
          </cell>
          <cell r="AE1138">
            <v>2500</v>
          </cell>
          <cell r="AG1138">
            <v>5450.9090909090901</v>
          </cell>
          <cell r="AH1138">
            <v>545.09090909090992</v>
          </cell>
          <cell r="AI1138">
            <v>5996</v>
          </cell>
          <cell r="AK1138">
            <v>3178.1818181818176</v>
          </cell>
        </row>
        <row r="1139">
          <cell r="H1139">
            <v>84338777591</v>
          </cell>
          <cell r="I1139">
            <v>31171639</v>
          </cell>
          <cell r="J1139" t="str">
            <v/>
          </cell>
          <cell r="K1139" t="str">
            <v>-</v>
          </cell>
          <cell r="L1139">
            <v>8840</v>
          </cell>
          <cell r="M1139">
            <v>8840</v>
          </cell>
          <cell r="Q1139">
            <v>9430</v>
          </cell>
          <cell r="R1139">
            <v>84338777591</v>
          </cell>
          <cell r="Y1139" t="str">
            <v>컬러젤리 케이스 갤럭시S21플러스 레드</v>
          </cell>
          <cell r="AC1139">
            <v>2272.7272727272725</v>
          </cell>
          <cell r="AD1139">
            <v>227.27272727272725</v>
          </cell>
          <cell r="AE1139">
            <v>2500</v>
          </cell>
          <cell r="AG1139">
            <v>5450.9090909090901</v>
          </cell>
          <cell r="AH1139">
            <v>545.09090909090992</v>
          </cell>
          <cell r="AI1139">
            <v>5996</v>
          </cell>
          <cell r="AK1139">
            <v>3178.1818181818176</v>
          </cell>
        </row>
        <row r="1140">
          <cell r="H1140">
            <v>84338776832</v>
          </cell>
          <cell r="I1140">
            <v>31171605</v>
          </cell>
          <cell r="J1140" t="str">
            <v/>
          </cell>
          <cell r="K1140" t="str">
            <v>-</v>
          </cell>
          <cell r="L1140">
            <v>8840</v>
          </cell>
          <cell r="M1140">
            <v>8840</v>
          </cell>
          <cell r="Q1140">
            <v>9430</v>
          </cell>
          <cell r="R1140">
            <v>84338776832</v>
          </cell>
          <cell r="Y1140" t="str">
            <v>컬러젤리 케이스 갤럭시S21플러스 블랙</v>
          </cell>
          <cell r="AC1140">
            <v>2272.7272727272725</v>
          </cell>
          <cell r="AD1140">
            <v>227.27272727272725</v>
          </cell>
          <cell r="AE1140">
            <v>2500</v>
          </cell>
          <cell r="AG1140">
            <v>5450.9090909090901</v>
          </cell>
          <cell r="AH1140">
            <v>545.09090909090992</v>
          </cell>
          <cell r="AI1140">
            <v>5996</v>
          </cell>
          <cell r="AK1140">
            <v>3178.1818181818176</v>
          </cell>
        </row>
        <row r="1141">
          <cell r="H1141">
            <v>84338777179</v>
          </cell>
          <cell r="I1141">
            <v>31171621</v>
          </cell>
          <cell r="J1141" t="str">
            <v/>
          </cell>
          <cell r="K1141" t="str">
            <v>-</v>
          </cell>
          <cell r="L1141">
            <v>11650</v>
          </cell>
          <cell r="M1141">
            <v>11650</v>
          </cell>
          <cell r="Q1141">
            <v>11650</v>
          </cell>
          <cell r="R1141">
            <v>84338777179</v>
          </cell>
          <cell r="Y1141" t="str">
            <v>컬러젤리 케이스 갤럭시S21플러스 옐로우</v>
          </cell>
          <cell r="AC1141">
            <v>2272.7272727272725</v>
          </cell>
          <cell r="AD1141">
            <v>227.27272727272725</v>
          </cell>
          <cell r="AE1141">
            <v>2500</v>
          </cell>
          <cell r="AG1141">
            <v>4905.454545454545</v>
          </cell>
          <cell r="AH1141">
            <v>490.54545454545496</v>
          </cell>
          <cell r="AI1141">
            <v>5396</v>
          </cell>
          <cell r="AK1141">
            <v>2632.7272727272725</v>
          </cell>
        </row>
        <row r="1142">
          <cell r="H1142">
            <v>84338775741</v>
          </cell>
          <cell r="I1142">
            <v>31171554</v>
          </cell>
          <cell r="J1142" t="str">
            <v/>
          </cell>
          <cell r="K1142" t="str">
            <v>-</v>
          </cell>
          <cell r="L1142">
            <v>8840</v>
          </cell>
          <cell r="M1142">
            <v>8840</v>
          </cell>
          <cell r="Q1142">
            <v>9430</v>
          </cell>
          <cell r="R1142">
            <v>84338775741</v>
          </cell>
          <cell r="Y1142" t="str">
            <v>컬러젤리 케이스 갤럭시S21플러스 핑크</v>
          </cell>
          <cell r="AC1142">
            <v>2272.7272727272725</v>
          </cell>
          <cell r="AD1142">
            <v>227.27272727272725</v>
          </cell>
          <cell r="AE1142">
            <v>2500</v>
          </cell>
          <cell r="AG1142">
            <v>5450.9090909090901</v>
          </cell>
          <cell r="AH1142">
            <v>545.09090909090992</v>
          </cell>
          <cell r="AI1142">
            <v>5996</v>
          </cell>
          <cell r="AK1142">
            <v>3178.1818181818176</v>
          </cell>
        </row>
        <row r="1143">
          <cell r="H1143">
            <v>84338778604</v>
          </cell>
          <cell r="I1143">
            <v>31171688</v>
          </cell>
          <cell r="J1143" t="str">
            <v/>
          </cell>
          <cell r="K1143" t="str">
            <v>-</v>
          </cell>
          <cell r="L1143">
            <v>8840</v>
          </cell>
          <cell r="M1143">
            <v>8840</v>
          </cell>
          <cell r="Q1143">
            <v>9430</v>
          </cell>
          <cell r="R1143">
            <v>84338778604</v>
          </cell>
          <cell r="Y1143" t="str">
            <v>컬러젤리 케이스 갤럭시S22 그레이</v>
          </cell>
          <cell r="AC1143">
            <v>2272.7272727272725</v>
          </cell>
          <cell r="AD1143">
            <v>227.27272727272725</v>
          </cell>
          <cell r="AE1143">
            <v>2500</v>
          </cell>
          <cell r="AG1143">
            <v>5450.9090909090901</v>
          </cell>
          <cell r="AH1143">
            <v>545.09090909090992</v>
          </cell>
          <cell r="AI1143">
            <v>5996</v>
          </cell>
          <cell r="AK1143">
            <v>3178.1818181818176</v>
          </cell>
        </row>
        <row r="1144">
          <cell r="H1144">
            <v>84338776549</v>
          </cell>
          <cell r="I1144">
            <v>31171592</v>
          </cell>
          <cell r="J1144" t="str">
            <v/>
          </cell>
          <cell r="K1144" t="str">
            <v>-</v>
          </cell>
          <cell r="L1144">
            <v>8840</v>
          </cell>
          <cell r="M1144">
            <v>8840</v>
          </cell>
          <cell r="Q1144">
            <v>9430</v>
          </cell>
          <cell r="R1144">
            <v>84338776549</v>
          </cell>
          <cell r="Y1144" t="str">
            <v>컬러젤리 케이스 갤럭시S22 그린</v>
          </cell>
          <cell r="AC1144">
            <v>2272.7272727272725</v>
          </cell>
          <cell r="AD1144">
            <v>227.27272727272725</v>
          </cell>
          <cell r="AE1144">
            <v>2500</v>
          </cell>
          <cell r="AG1144">
            <v>4905.454545454545</v>
          </cell>
          <cell r="AH1144">
            <v>490.54545454545496</v>
          </cell>
          <cell r="AI1144">
            <v>5396</v>
          </cell>
          <cell r="AK1144">
            <v>2632.7272727272725</v>
          </cell>
        </row>
        <row r="1145">
          <cell r="H1145">
            <v>84338778364</v>
          </cell>
          <cell r="I1145">
            <v>31171675</v>
          </cell>
          <cell r="J1145" t="str">
            <v/>
          </cell>
          <cell r="K1145" t="str">
            <v>-</v>
          </cell>
          <cell r="L1145">
            <v>8840</v>
          </cell>
          <cell r="M1145">
            <v>8840</v>
          </cell>
          <cell r="Q1145">
            <v>9430</v>
          </cell>
          <cell r="R1145">
            <v>84338778364</v>
          </cell>
          <cell r="Y1145" t="str">
            <v>컬러젤리 케이스 갤럭시S22 네이비</v>
          </cell>
          <cell r="AC1145">
            <v>2272.7272727272725</v>
          </cell>
          <cell r="AD1145">
            <v>227.27272727272725</v>
          </cell>
          <cell r="AE1145">
            <v>2500</v>
          </cell>
          <cell r="AG1145">
            <v>4905.454545454545</v>
          </cell>
          <cell r="AH1145">
            <v>490.54545454545496</v>
          </cell>
          <cell r="AI1145">
            <v>5396</v>
          </cell>
          <cell r="AK1145">
            <v>2632.7272727272725</v>
          </cell>
        </row>
        <row r="1146">
          <cell r="H1146">
            <v>84338777715</v>
          </cell>
          <cell r="I1146">
            <v>31171644</v>
          </cell>
          <cell r="J1146" t="str">
            <v/>
          </cell>
          <cell r="K1146" t="str">
            <v>-</v>
          </cell>
          <cell r="L1146">
            <v>8840</v>
          </cell>
          <cell r="M1146">
            <v>8840</v>
          </cell>
          <cell r="Q1146">
            <v>9430</v>
          </cell>
          <cell r="R1146">
            <v>84338777715</v>
          </cell>
          <cell r="Y1146" t="str">
            <v>컬러젤리 케이스 갤럭시S22 레드</v>
          </cell>
          <cell r="AC1146">
            <v>2272.7272727272725</v>
          </cell>
          <cell r="AD1146">
            <v>227.27272727272725</v>
          </cell>
          <cell r="AE1146">
            <v>2500</v>
          </cell>
          <cell r="AG1146">
            <v>4905.454545454545</v>
          </cell>
          <cell r="AH1146">
            <v>490.54545454545496</v>
          </cell>
          <cell r="AI1146">
            <v>5396</v>
          </cell>
          <cell r="AK1146">
            <v>2632.7272727272725</v>
          </cell>
        </row>
        <row r="1147">
          <cell r="H1147">
            <v>84338776788</v>
          </cell>
          <cell r="I1147">
            <v>31171602</v>
          </cell>
          <cell r="J1147" t="str">
            <v/>
          </cell>
          <cell r="K1147" t="str">
            <v>-</v>
          </cell>
          <cell r="L1147">
            <v>8840</v>
          </cell>
          <cell r="M1147">
            <v>8840</v>
          </cell>
          <cell r="Q1147">
            <v>9430</v>
          </cell>
          <cell r="R1147">
            <v>84338776788</v>
          </cell>
          <cell r="Y1147" t="str">
            <v>컬러젤리 케이스 갤럭시S22 블랙</v>
          </cell>
          <cell r="AC1147">
            <v>2272.7272727272725</v>
          </cell>
          <cell r="AD1147">
            <v>227.27272727272725</v>
          </cell>
          <cell r="AE1147">
            <v>2500</v>
          </cell>
          <cell r="AG1147">
            <v>5450.9090909090901</v>
          </cell>
          <cell r="AH1147">
            <v>545.09090909090992</v>
          </cell>
          <cell r="AI1147">
            <v>5996</v>
          </cell>
          <cell r="AK1147">
            <v>3178.1818181818176</v>
          </cell>
        </row>
        <row r="1148">
          <cell r="H1148">
            <v>84338777271</v>
          </cell>
          <cell r="I1148">
            <v>31171625</v>
          </cell>
          <cell r="J1148" t="str">
            <v/>
          </cell>
          <cell r="K1148" t="str">
            <v>-</v>
          </cell>
          <cell r="L1148">
            <v>9710</v>
          </cell>
          <cell r="M1148">
            <v>9710</v>
          </cell>
          <cell r="Q1148">
            <v>9710</v>
          </cell>
          <cell r="R1148">
            <v>84338777271</v>
          </cell>
          <cell r="Y1148" t="str">
            <v>컬러젤리 케이스 갤럭시S22 옐로우</v>
          </cell>
          <cell r="AC1148">
            <v>2272.7272727272725</v>
          </cell>
          <cell r="AD1148">
            <v>227.27272727272725</v>
          </cell>
          <cell r="AE1148">
            <v>2500</v>
          </cell>
          <cell r="AG1148">
            <v>5450.9090909090901</v>
          </cell>
          <cell r="AH1148">
            <v>545.09090909090992</v>
          </cell>
          <cell r="AI1148">
            <v>5996</v>
          </cell>
          <cell r="AK1148">
            <v>3178.1818181818176</v>
          </cell>
        </row>
        <row r="1149">
          <cell r="H1149">
            <v>84338775816</v>
          </cell>
          <cell r="I1149">
            <v>31171558</v>
          </cell>
          <cell r="J1149" t="str">
            <v/>
          </cell>
          <cell r="K1149" t="str">
            <v>-</v>
          </cell>
          <cell r="L1149">
            <v>8840</v>
          </cell>
          <cell r="M1149">
            <v>8840</v>
          </cell>
          <cell r="Q1149">
            <v>9430</v>
          </cell>
          <cell r="R1149">
            <v>84338775816</v>
          </cell>
          <cell r="Y1149" t="str">
            <v>컬러젤리 케이스 갤럭시S22 핑크</v>
          </cell>
          <cell r="AC1149">
            <v>2272.7272727272725</v>
          </cell>
          <cell r="AD1149">
            <v>227.27272727272725</v>
          </cell>
          <cell r="AE1149">
            <v>2500</v>
          </cell>
          <cell r="AG1149">
            <v>4905.454545454545</v>
          </cell>
          <cell r="AH1149">
            <v>490.54545454545496</v>
          </cell>
          <cell r="AI1149">
            <v>5396</v>
          </cell>
          <cell r="AK1149">
            <v>2632.7272727272725</v>
          </cell>
        </row>
        <row r="1150">
          <cell r="H1150">
            <v>84338778801</v>
          </cell>
          <cell r="I1150">
            <v>31171700</v>
          </cell>
          <cell r="J1150" t="str">
            <v/>
          </cell>
          <cell r="K1150" t="str">
            <v>-</v>
          </cell>
          <cell r="L1150">
            <v>8840</v>
          </cell>
          <cell r="M1150">
            <v>8840</v>
          </cell>
          <cell r="Q1150">
            <v>9430</v>
          </cell>
          <cell r="R1150">
            <v>84338778801</v>
          </cell>
          <cell r="Y1150" t="str">
            <v>컬러젤리 케이스 갤럭시S22울트라 그레이</v>
          </cell>
          <cell r="AC1150">
            <v>2272.7272727272725</v>
          </cell>
          <cell r="AD1150">
            <v>227.27272727272725</v>
          </cell>
          <cell r="AE1150">
            <v>2500</v>
          </cell>
          <cell r="AG1150">
            <v>5450.9090909090901</v>
          </cell>
          <cell r="AH1150">
            <v>545.09090909090992</v>
          </cell>
          <cell r="AI1150">
            <v>5996</v>
          </cell>
          <cell r="AK1150">
            <v>3178.1818181818176</v>
          </cell>
        </row>
        <row r="1151">
          <cell r="H1151">
            <v>84338776668</v>
          </cell>
          <cell r="I1151">
            <v>31171597</v>
          </cell>
          <cell r="J1151" t="str">
            <v/>
          </cell>
          <cell r="K1151" t="str">
            <v>-</v>
          </cell>
          <cell r="L1151">
            <v>8840</v>
          </cell>
          <cell r="M1151">
            <v>8840</v>
          </cell>
          <cell r="Q1151">
            <v>9430</v>
          </cell>
          <cell r="R1151">
            <v>84338776668</v>
          </cell>
          <cell r="Y1151" t="str">
            <v>컬러젤리 케이스 갤럭시S22울트라 그린</v>
          </cell>
          <cell r="AC1151">
            <v>2272.7272727272725</v>
          </cell>
          <cell r="AD1151">
            <v>227.27272727272725</v>
          </cell>
          <cell r="AE1151">
            <v>2500</v>
          </cell>
          <cell r="AG1151">
            <v>5450.9090909090901</v>
          </cell>
          <cell r="AH1151">
            <v>545.09090909090992</v>
          </cell>
          <cell r="AI1151">
            <v>5996</v>
          </cell>
          <cell r="AK1151">
            <v>3178.1818181818176</v>
          </cell>
        </row>
        <row r="1152">
          <cell r="H1152">
            <v>84338778292</v>
          </cell>
          <cell r="I1152">
            <v>31171672</v>
          </cell>
          <cell r="J1152" t="str">
            <v/>
          </cell>
          <cell r="K1152" t="str">
            <v>-</v>
          </cell>
          <cell r="L1152">
            <v>8840</v>
          </cell>
          <cell r="M1152">
            <v>8840</v>
          </cell>
          <cell r="Q1152">
            <v>9430</v>
          </cell>
          <cell r="R1152">
            <v>84338778292</v>
          </cell>
          <cell r="Y1152" t="str">
            <v>컬러젤리 케이스 갤럭시S22울트라 네이비</v>
          </cell>
          <cell r="AC1152">
            <v>2272.7272727272725</v>
          </cell>
          <cell r="AD1152">
            <v>227.27272727272725</v>
          </cell>
          <cell r="AE1152">
            <v>2500</v>
          </cell>
          <cell r="AG1152">
            <v>5450.9090909090901</v>
          </cell>
          <cell r="AH1152">
            <v>545.09090909090992</v>
          </cell>
          <cell r="AI1152">
            <v>5996</v>
          </cell>
          <cell r="AK1152">
            <v>3178.1818181818176</v>
          </cell>
        </row>
        <row r="1153">
          <cell r="H1153">
            <v>84338777825</v>
          </cell>
          <cell r="I1153">
            <v>31171648</v>
          </cell>
          <cell r="J1153" t="str">
            <v/>
          </cell>
          <cell r="K1153" t="str">
            <v>-</v>
          </cell>
          <cell r="L1153">
            <v>8840</v>
          </cell>
          <cell r="M1153">
            <v>8840</v>
          </cell>
          <cell r="Q1153">
            <v>9430</v>
          </cell>
          <cell r="R1153">
            <v>84338777825</v>
          </cell>
          <cell r="Y1153" t="str">
            <v>컬러젤리 케이스 갤럭시S22울트라 레드</v>
          </cell>
          <cell r="AC1153">
            <v>2272.7272727272725</v>
          </cell>
          <cell r="AD1153">
            <v>227.27272727272725</v>
          </cell>
          <cell r="AE1153">
            <v>2500</v>
          </cell>
          <cell r="AG1153">
            <v>5450.9090909090901</v>
          </cell>
          <cell r="AH1153">
            <v>545.09090909090992</v>
          </cell>
          <cell r="AI1153">
            <v>5996</v>
          </cell>
          <cell r="AK1153">
            <v>3178.1818181818176</v>
          </cell>
        </row>
        <row r="1154">
          <cell r="H1154">
            <v>84338777486</v>
          </cell>
          <cell r="I1154">
            <v>31171633</v>
          </cell>
          <cell r="J1154" t="str">
            <v/>
          </cell>
          <cell r="K1154" t="str">
            <v>-</v>
          </cell>
          <cell r="L1154">
            <v>8840</v>
          </cell>
          <cell r="M1154">
            <v>8840</v>
          </cell>
          <cell r="Q1154">
            <v>9430</v>
          </cell>
          <cell r="R1154">
            <v>84338777486</v>
          </cell>
          <cell r="Y1154" t="str">
            <v>컬러젤리 케이스 갤럭시S22울트라 블랙</v>
          </cell>
          <cell r="AC1154">
            <v>2272.7272727272725</v>
          </cell>
          <cell r="AD1154">
            <v>227.27272727272725</v>
          </cell>
          <cell r="AE1154">
            <v>2500</v>
          </cell>
          <cell r="AG1154">
            <v>5450.9090909090901</v>
          </cell>
          <cell r="AH1154">
            <v>545.09090909090992</v>
          </cell>
          <cell r="AI1154">
            <v>5996</v>
          </cell>
          <cell r="AK1154">
            <v>3178.1818181818176</v>
          </cell>
        </row>
        <row r="1155">
          <cell r="H1155">
            <v>84338777294</v>
          </cell>
          <cell r="I1155">
            <v>31171626</v>
          </cell>
          <cell r="J1155" t="str">
            <v/>
          </cell>
          <cell r="K1155" t="str">
            <v>-</v>
          </cell>
          <cell r="L1155">
            <v>6400</v>
          </cell>
          <cell r="M1155">
            <v>6400</v>
          </cell>
          <cell r="Q1155">
            <v>6400</v>
          </cell>
          <cell r="R1155">
            <v>84338777294</v>
          </cell>
          <cell r="Y1155" t="str">
            <v>컬러젤리 케이스 갤럭시S22울트라 옐로우</v>
          </cell>
          <cell r="AC1155">
            <v>2272.7272727272725</v>
          </cell>
          <cell r="AD1155">
            <v>227.27272727272725</v>
          </cell>
          <cell r="AE1155">
            <v>2500</v>
          </cell>
          <cell r="AG1155">
            <v>5450.9090909090901</v>
          </cell>
          <cell r="AH1155">
            <v>545.09090909090992</v>
          </cell>
          <cell r="AI1155">
            <v>5996</v>
          </cell>
          <cell r="AK1155">
            <v>3178.1818181818176</v>
          </cell>
        </row>
        <row r="1156">
          <cell r="H1156">
            <v>84338775859</v>
          </cell>
          <cell r="I1156">
            <v>31171560</v>
          </cell>
          <cell r="J1156" t="str">
            <v/>
          </cell>
          <cell r="K1156" t="str">
            <v>-</v>
          </cell>
          <cell r="L1156">
            <v>8840</v>
          </cell>
          <cell r="M1156">
            <v>8840</v>
          </cell>
          <cell r="Q1156">
            <v>9430</v>
          </cell>
          <cell r="R1156">
            <v>84338775859</v>
          </cell>
          <cell r="Y1156" t="str">
            <v>컬러젤리 케이스 갤럭시S22울트라 핑크</v>
          </cell>
          <cell r="AC1156">
            <v>2272.7272727272725</v>
          </cell>
          <cell r="AD1156">
            <v>227.27272727272725</v>
          </cell>
          <cell r="AE1156">
            <v>2500</v>
          </cell>
          <cell r="AG1156">
            <v>5450.9090909090901</v>
          </cell>
          <cell r="AH1156">
            <v>545.09090909090992</v>
          </cell>
          <cell r="AI1156">
            <v>5996</v>
          </cell>
          <cell r="AK1156">
            <v>3178.1818181818176</v>
          </cell>
        </row>
        <row r="1157">
          <cell r="H1157">
            <v>84338778675</v>
          </cell>
          <cell r="I1157">
            <v>31171692</v>
          </cell>
          <cell r="J1157" t="str">
            <v/>
          </cell>
          <cell r="K1157" t="str">
            <v>-</v>
          </cell>
          <cell r="L1157">
            <v>8840</v>
          </cell>
          <cell r="M1157">
            <v>8840</v>
          </cell>
          <cell r="Q1157">
            <v>9430</v>
          </cell>
          <cell r="R1157">
            <v>84338778675</v>
          </cell>
          <cell r="Y1157" t="str">
            <v>컬러젤리 케이스 갤럭시S22플러스 그레이</v>
          </cell>
          <cell r="AC1157">
            <v>2272.7272727272725</v>
          </cell>
          <cell r="AD1157">
            <v>227.27272727272725</v>
          </cell>
          <cell r="AE1157">
            <v>2500</v>
          </cell>
          <cell r="AG1157">
            <v>5450.9090909090901</v>
          </cell>
          <cell r="AH1157">
            <v>545.09090909090992</v>
          </cell>
          <cell r="AI1157">
            <v>5996</v>
          </cell>
          <cell r="AK1157">
            <v>3178.1818181818176</v>
          </cell>
        </row>
        <row r="1158">
          <cell r="H1158">
            <v>84338776689</v>
          </cell>
          <cell r="I1158">
            <v>31171598</v>
          </cell>
          <cell r="J1158" t="str">
            <v/>
          </cell>
          <cell r="K1158" t="str">
            <v>-</v>
          </cell>
          <cell r="L1158">
            <v>8840</v>
          </cell>
          <cell r="M1158">
            <v>8840</v>
          </cell>
          <cell r="Q1158">
            <v>9430</v>
          </cell>
          <cell r="R1158">
            <v>84338776689</v>
          </cell>
          <cell r="Y1158" t="str">
            <v>컬러젤리 케이스 갤럭시S22플러스 그린</v>
          </cell>
          <cell r="AC1158">
            <v>2272.7272727272725</v>
          </cell>
          <cell r="AD1158">
            <v>227.27272727272725</v>
          </cell>
          <cell r="AE1158">
            <v>2500</v>
          </cell>
          <cell r="AG1158">
            <v>5450.9090909090901</v>
          </cell>
          <cell r="AH1158">
            <v>545.09090909090992</v>
          </cell>
          <cell r="AI1158">
            <v>5996</v>
          </cell>
          <cell r="AK1158">
            <v>3178.1818181818176</v>
          </cell>
        </row>
        <row r="1159">
          <cell r="H1159">
            <v>84338778321</v>
          </cell>
          <cell r="I1159">
            <v>31171673</v>
          </cell>
          <cell r="J1159" t="str">
            <v/>
          </cell>
          <cell r="K1159" t="str">
            <v>-</v>
          </cell>
          <cell r="L1159">
            <v>8840</v>
          </cell>
          <cell r="M1159">
            <v>8840</v>
          </cell>
          <cell r="Q1159">
            <v>9430</v>
          </cell>
          <cell r="R1159">
            <v>84338778321</v>
          </cell>
          <cell r="Y1159" t="str">
            <v>컬러젤리 케이스 갤럭시S22플러스 네이비</v>
          </cell>
          <cell r="AC1159">
            <v>2272.7272727272725</v>
          </cell>
          <cell r="AD1159">
            <v>227.27272727272725</v>
          </cell>
          <cell r="AE1159">
            <v>2500</v>
          </cell>
          <cell r="AG1159">
            <v>5450.9090909090901</v>
          </cell>
          <cell r="AH1159">
            <v>545.09090909090992</v>
          </cell>
          <cell r="AI1159">
            <v>5996</v>
          </cell>
          <cell r="AK1159">
            <v>3178.1818181818176</v>
          </cell>
        </row>
        <row r="1160">
          <cell r="H1160">
            <v>84338777875</v>
          </cell>
          <cell r="I1160">
            <v>31171651</v>
          </cell>
          <cell r="J1160" t="str">
            <v/>
          </cell>
          <cell r="K1160" t="str">
            <v>-</v>
          </cell>
          <cell r="L1160">
            <v>8840</v>
          </cell>
          <cell r="M1160">
            <v>8840</v>
          </cell>
          <cell r="Q1160">
            <v>9430</v>
          </cell>
          <cell r="R1160">
            <v>84338777875</v>
          </cell>
          <cell r="Y1160" t="str">
            <v>컬러젤리 케이스 갤럭시S22플러스 레드</v>
          </cell>
          <cell r="AC1160">
            <v>2272.7272727272725</v>
          </cell>
          <cell r="AD1160">
            <v>227.27272727272725</v>
          </cell>
          <cell r="AE1160">
            <v>2500</v>
          </cell>
          <cell r="AG1160">
            <v>5450.9090909090901</v>
          </cell>
          <cell r="AH1160">
            <v>545.09090909090992</v>
          </cell>
          <cell r="AI1160">
            <v>5996</v>
          </cell>
          <cell r="AK1160">
            <v>3178.1818181818176</v>
          </cell>
        </row>
        <row r="1161">
          <cell r="H1161">
            <v>84338776770</v>
          </cell>
          <cell r="I1161">
            <v>31171601</v>
          </cell>
          <cell r="J1161" t="str">
            <v/>
          </cell>
          <cell r="K1161" t="str">
            <v>-</v>
          </cell>
          <cell r="L1161">
            <v>8840</v>
          </cell>
          <cell r="M1161">
            <v>8840</v>
          </cell>
          <cell r="Q1161">
            <v>9430</v>
          </cell>
          <cell r="R1161">
            <v>84338776770</v>
          </cell>
          <cell r="Y1161" t="str">
            <v>컬러젤리 케이스 갤럭시S22플러스 블랙</v>
          </cell>
          <cell r="AC1161">
            <v>2272.7272727272725</v>
          </cell>
          <cell r="AD1161">
            <v>227.27272727272725</v>
          </cell>
          <cell r="AE1161">
            <v>2500</v>
          </cell>
          <cell r="AG1161">
            <v>5450.9090909090901</v>
          </cell>
          <cell r="AH1161">
            <v>545.09090909090992</v>
          </cell>
          <cell r="AI1161">
            <v>5996</v>
          </cell>
          <cell r="AK1161">
            <v>3178.1818181818176</v>
          </cell>
        </row>
        <row r="1162">
          <cell r="H1162">
            <v>84338776272</v>
          </cell>
          <cell r="I1162">
            <v>31171579</v>
          </cell>
          <cell r="J1162" t="str">
            <v/>
          </cell>
          <cell r="K1162" t="str">
            <v>-</v>
          </cell>
          <cell r="L1162">
            <v>8840</v>
          </cell>
          <cell r="M1162">
            <v>8840</v>
          </cell>
          <cell r="Q1162">
            <v>9430</v>
          </cell>
          <cell r="R1162">
            <v>84338776272</v>
          </cell>
          <cell r="Y1162" t="str">
            <v>컬러젤리 케이스 갤럭시S22플러스 옐로우</v>
          </cell>
          <cell r="AC1162">
            <v>2272.7272727272725</v>
          </cell>
          <cell r="AD1162">
            <v>227.27272727272725</v>
          </cell>
          <cell r="AE1162">
            <v>2500</v>
          </cell>
          <cell r="AG1162">
            <v>5450.9090909090901</v>
          </cell>
          <cell r="AH1162">
            <v>545.09090909090992</v>
          </cell>
          <cell r="AI1162">
            <v>5996</v>
          </cell>
          <cell r="AK1162">
            <v>3178.1818181818176</v>
          </cell>
        </row>
        <row r="1163">
          <cell r="H1163">
            <v>84338775800</v>
          </cell>
          <cell r="I1163">
            <v>31171557</v>
          </cell>
          <cell r="J1163" t="str">
            <v/>
          </cell>
          <cell r="K1163" t="str">
            <v>-</v>
          </cell>
          <cell r="L1163">
            <v>8840</v>
          </cell>
          <cell r="M1163">
            <v>8840</v>
          </cell>
          <cell r="Q1163">
            <v>9430</v>
          </cell>
          <cell r="R1163">
            <v>84338775800</v>
          </cell>
          <cell r="Y1163" t="str">
            <v>컬러젤리 케이스 갤럭시S22플러스 핑크</v>
          </cell>
          <cell r="AC1163">
            <v>2272.7272727272725</v>
          </cell>
          <cell r="AD1163">
            <v>227.27272727272725</v>
          </cell>
          <cell r="AE1163">
            <v>2500</v>
          </cell>
          <cell r="AG1163">
            <v>5450.9090909090901</v>
          </cell>
          <cell r="AH1163">
            <v>545.09090909090992</v>
          </cell>
          <cell r="AI1163">
            <v>5996</v>
          </cell>
          <cell r="AK1163">
            <v>3178.1818181818176</v>
          </cell>
        </row>
        <row r="1164">
          <cell r="H1164">
            <v>85255860477</v>
          </cell>
          <cell r="I1164">
            <v>33574234</v>
          </cell>
          <cell r="J1164" t="str">
            <v/>
          </cell>
          <cell r="K1164" t="str">
            <v>-</v>
          </cell>
          <cell r="L1164">
            <v>9750</v>
          </cell>
          <cell r="M1164">
            <v>9750</v>
          </cell>
          <cell r="Q1164">
            <v>10400</v>
          </cell>
          <cell r="R1164">
            <v>85255860477</v>
          </cell>
          <cell r="Y1164" t="str">
            <v>컬러젤리 케이스 갤럭시S23 그레이</v>
          </cell>
          <cell r="AC1164">
            <v>2272.7272727272725</v>
          </cell>
          <cell r="AD1164">
            <v>227.27272727272725</v>
          </cell>
          <cell r="AE1164">
            <v>2500</v>
          </cell>
          <cell r="AG1164">
            <v>5409.090909090909</v>
          </cell>
          <cell r="AH1164">
            <v>540.90909090909099</v>
          </cell>
          <cell r="AI1164">
            <v>5950</v>
          </cell>
          <cell r="AK1164">
            <v>3136.3636363636365</v>
          </cell>
        </row>
        <row r="1165">
          <cell r="H1165">
            <v>85255860544</v>
          </cell>
          <cell r="I1165">
            <v>33574236</v>
          </cell>
          <cell r="J1165">
            <v>1</v>
          </cell>
          <cell r="K1165" t="str">
            <v>-</v>
          </cell>
          <cell r="L1165">
            <v>9750</v>
          </cell>
          <cell r="M1165">
            <v>9750</v>
          </cell>
          <cell r="Q1165">
            <v>10400</v>
          </cell>
          <cell r="R1165">
            <v>85255860544</v>
          </cell>
          <cell r="Y1165" t="str">
            <v>컬러젤리 케이스 갤럭시S23 그린</v>
          </cell>
          <cell r="AC1165">
            <v>2272.7272727272725</v>
          </cell>
          <cell r="AD1165">
            <v>227.27272727272725</v>
          </cell>
          <cell r="AE1165">
            <v>2500</v>
          </cell>
          <cell r="AG1165">
            <v>5409.090909090909</v>
          </cell>
          <cell r="AH1165">
            <v>540.90909090909099</v>
          </cell>
          <cell r="AI1165">
            <v>5950</v>
          </cell>
          <cell r="AK1165">
            <v>3136.3636363636365</v>
          </cell>
        </row>
        <row r="1166">
          <cell r="H1166">
            <v>85255860571</v>
          </cell>
          <cell r="I1166">
            <v>33574237</v>
          </cell>
          <cell r="J1166" t="str">
            <v/>
          </cell>
          <cell r="K1166" t="str">
            <v>-</v>
          </cell>
          <cell r="L1166">
            <v>9750</v>
          </cell>
          <cell r="M1166">
            <v>9750</v>
          </cell>
          <cell r="Q1166">
            <v>10400</v>
          </cell>
          <cell r="R1166">
            <v>85255860571</v>
          </cell>
          <cell r="Y1166" t="str">
            <v>컬러젤리 케이스 갤럭시S23 네이비</v>
          </cell>
          <cell r="AC1166">
            <v>2272.7272727272725</v>
          </cell>
          <cell r="AD1166">
            <v>227.27272727272725</v>
          </cell>
          <cell r="AE1166">
            <v>2500</v>
          </cell>
          <cell r="AG1166">
            <v>5409.090909090909</v>
          </cell>
          <cell r="AH1166">
            <v>540.90909090909099</v>
          </cell>
          <cell r="AI1166">
            <v>5950</v>
          </cell>
          <cell r="AK1166">
            <v>3136.3636363636365</v>
          </cell>
        </row>
        <row r="1167">
          <cell r="H1167">
            <v>85255860601</v>
          </cell>
          <cell r="I1167">
            <v>33574238</v>
          </cell>
          <cell r="J1167" t="str">
            <v/>
          </cell>
          <cell r="K1167" t="str">
            <v>-</v>
          </cell>
          <cell r="L1167">
            <v>9750</v>
          </cell>
          <cell r="M1167">
            <v>9750</v>
          </cell>
          <cell r="Q1167">
            <v>10400</v>
          </cell>
          <cell r="R1167">
            <v>85255860601</v>
          </cell>
          <cell r="Y1167" t="str">
            <v>컬러젤리 케이스 갤럭시S23 레드</v>
          </cell>
          <cell r="AC1167">
            <v>2272.7272727272725</v>
          </cell>
          <cell r="AD1167">
            <v>227.27272727272725</v>
          </cell>
          <cell r="AE1167">
            <v>2500</v>
          </cell>
          <cell r="AG1167">
            <v>5409.090909090909</v>
          </cell>
          <cell r="AH1167">
            <v>540.90909090909099</v>
          </cell>
          <cell r="AI1167">
            <v>5950</v>
          </cell>
          <cell r="AK1167">
            <v>3136.3636363636365</v>
          </cell>
        </row>
        <row r="1168">
          <cell r="H1168">
            <v>85255860006</v>
          </cell>
          <cell r="I1168">
            <v>33574218</v>
          </cell>
          <cell r="J1168" t="str">
            <v/>
          </cell>
          <cell r="K1168" t="str">
            <v>-</v>
          </cell>
          <cell r="L1168">
            <v>9750</v>
          </cell>
          <cell r="M1168">
            <v>9750</v>
          </cell>
          <cell r="Q1168">
            <v>10400</v>
          </cell>
          <cell r="R1168">
            <v>85255860006</v>
          </cell>
          <cell r="Y1168" t="str">
            <v>컬러젤리 케이스 갤럭시S23 블랙</v>
          </cell>
          <cell r="AC1168">
            <v>2272.7272727272725</v>
          </cell>
          <cell r="AD1168">
            <v>227.27272727272725</v>
          </cell>
          <cell r="AE1168">
            <v>2500</v>
          </cell>
          <cell r="AG1168">
            <v>5409.090909090909</v>
          </cell>
          <cell r="AH1168">
            <v>540.90909090909099</v>
          </cell>
          <cell r="AI1168">
            <v>5950</v>
          </cell>
          <cell r="AK1168">
            <v>3136.3636363636365</v>
          </cell>
        </row>
        <row r="1169">
          <cell r="H1169">
            <v>85255860037</v>
          </cell>
          <cell r="I1169">
            <v>33574220</v>
          </cell>
          <cell r="J1169" t="str">
            <v/>
          </cell>
          <cell r="K1169" t="str">
            <v>-</v>
          </cell>
          <cell r="L1169">
            <v>11050</v>
          </cell>
          <cell r="M1169">
            <v>11050</v>
          </cell>
          <cell r="Q1169">
            <v>11050</v>
          </cell>
          <cell r="R1169">
            <v>85255860037</v>
          </cell>
          <cell r="Y1169" t="str">
            <v>컬러젤리 케이스 갤럭시S23 옐로우</v>
          </cell>
          <cell r="AC1169">
            <v>2272.7272727272725</v>
          </cell>
          <cell r="AD1169">
            <v>227.27272727272725</v>
          </cell>
          <cell r="AE1169">
            <v>2500</v>
          </cell>
          <cell r="AG1169">
            <v>5409.090909090909</v>
          </cell>
          <cell r="AH1169">
            <v>540.90909090909099</v>
          </cell>
          <cell r="AI1169">
            <v>5950</v>
          </cell>
          <cell r="AK1169">
            <v>3136.3636363636365</v>
          </cell>
        </row>
        <row r="1170">
          <cell r="H1170">
            <v>85255860071</v>
          </cell>
          <cell r="I1170">
            <v>33574222</v>
          </cell>
          <cell r="J1170" t="str">
            <v/>
          </cell>
          <cell r="K1170" t="str">
            <v>-</v>
          </cell>
          <cell r="L1170">
            <v>9750</v>
          </cell>
          <cell r="M1170">
            <v>9750</v>
          </cell>
          <cell r="Q1170">
            <v>10400</v>
          </cell>
          <cell r="R1170">
            <v>85255860071</v>
          </cell>
          <cell r="Y1170" t="str">
            <v>컬러젤리 케이스 갤럭시S23 핑크</v>
          </cell>
          <cell r="AC1170">
            <v>2272.7272727272725</v>
          </cell>
          <cell r="AD1170">
            <v>227.27272727272725</v>
          </cell>
          <cell r="AE1170">
            <v>2500</v>
          </cell>
          <cell r="AG1170">
            <v>5409.090909090909</v>
          </cell>
          <cell r="AH1170">
            <v>540.90909090909099</v>
          </cell>
          <cell r="AI1170">
            <v>5950</v>
          </cell>
          <cell r="AK1170">
            <v>3136.3636363636365</v>
          </cell>
        </row>
        <row r="1171">
          <cell r="H1171">
            <v>85255860103</v>
          </cell>
          <cell r="I1171">
            <v>33574223</v>
          </cell>
          <cell r="J1171" t="str">
            <v/>
          </cell>
          <cell r="K1171" t="str">
            <v>-</v>
          </cell>
          <cell r="L1171">
            <v>9750</v>
          </cell>
          <cell r="M1171">
            <v>9750</v>
          </cell>
          <cell r="Q1171">
            <v>10400</v>
          </cell>
          <cell r="R1171">
            <v>85255860103</v>
          </cell>
          <cell r="Y1171" t="str">
            <v>컬러젤리 케이스 갤럭시S23울트라 그레이</v>
          </cell>
          <cell r="AC1171">
            <v>2272.7272727272725</v>
          </cell>
          <cell r="AD1171">
            <v>227.27272727272725</v>
          </cell>
          <cell r="AE1171">
            <v>2500</v>
          </cell>
          <cell r="AG1171">
            <v>5409.090909090909</v>
          </cell>
          <cell r="AH1171">
            <v>540.90909090909099</v>
          </cell>
          <cell r="AI1171">
            <v>5950</v>
          </cell>
          <cell r="AK1171">
            <v>3136.3636363636365</v>
          </cell>
        </row>
        <row r="1172">
          <cell r="H1172">
            <v>85255860130</v>
          </cell>
          <cell r="I1172">
            <v>33574224</v>
          </cell>
          <cell r="J1172" t="str">
            <v/>
          </cell>
          <cell r="K1172" t="str">
            <v>-</v>
          </cell>
          <cell r="L1172">
            <v>9750</v>
          </cell>
          <cell r="M1172">
            <v>9750</v>
          </cell>
          <cell r="Q1172">
            <v>10400</v>
          </cell>
          <cell r="R1172">
            <v>85255860130</v>
          </cell>
          <cell r="Y1172" t="str">
            <v>컬러젤리 케이스 갤럭시S23울트라 그린</v>
          </cell>
          <cell r="AC1172">
            <v>2272.7272727272725</v>
          </cell>
          <cell r="AD1172">
            <v>227.27272727272725</v>
          </cell>
          <cell r="AE1172">
            <v>2500</v>
          </cell>
          <cell r="AG1172">
            <v>5409.090909090909</v>
          </cell>
          <cell r="AH1172">
            <v>540.90909090909099</v>
          </cell>
          <cell r="AI1172">
            <v>5950</v>
          </cell>
          <cell r="AK1172">
            <v>3136.3636363636365</v>
          </cell>
        </row>
        <row r="1173">
          <cell r="H1173">
            <v>85255860159</v>
          </cell>
          <cell r="I1173">
            <v>33574225</v>
          </cell>
          <cell r="J1173">
            <v>22</v>
          </cell>
          <cell r="K1173" t="str">
            <v>-</v>
          </cell>
          <cell r="L1173">
            <v>9750</v>
          </cell>
          <cell r="M1173">
            <v>9750</v>
          </cell>
          <cell r="Q1173">
            <v>10400</v>
          </cell>
          <cell r="R1173">
            <v>85255860159</v>
          </cell>
          <cell r="Y1173" t="str">
            <v>컬러젤리 케이스 갤럭시S23울트라 네이비</v>
          </cell>
          <cell r="AC1173">
            <v>2272.7272727272725</v>
          </cell>
          <cell r="AD1173">
            <v>227.27272727272725</v>
          </cell>
          <cell r="AE1173">
            <v>2500</v>
          </cell>
          <cell r="AG1173">
            <v>5409.090909090909</v>
          </cell>
          <cell r="AH1173">
            <v>540.90909090909099</v>
          </cell>
          <cell r="AI1173">
            <v>5950</v>
          </cell>
          <cell r="AK1173">
            <v>3136.3636363636365</v>
          </cell>
        </row>
        <row r="1174">
          <cell r="H1174">
            <v>85255860189</v>
          </cell>
          <cell r="I1174">
            <v>33574226</v>
          </cell>
          <cell r="J1174" t="str">
            <v/>
          </cell>
          <cell r="K1174" t="str">
            <v>-</v>
          </cell>
          <cell r="L1174">
            <v>11050</v>
          </cell>
          <cell r="M1174">
            <v>11050</v>
          </cell>
          <cell r="Q1174">
            <v>11050</v>
          </cell>
          <cell r="R1174">
            <v>85255860189</v>
          </cell>
          <cell r="Y1174" t="str">
            <v>컬러젤리 케이스 갤럭시S23울트라 레드</v>
          </cell>
          <cell r="AC1174">
            <v>2272.7272727272725</v>
          </cell>
          <cell r="AD1174">
            <v>227.27272727272725</v>
          </cell>
          <cell r="AE1174">
            <v>2500</v>
          </cell>
          <cell r="AG1174">
            <v>5409.090909090909</v>
          </cell>
          <cell r="AH1174">
            <v>540.90909090909099</v>
          </cell>
          <cell r="AI1174">
            <v>5950</v>
          </cell>
          <cell r="AK1174">
            <v>3136.3636363636365</v>
          </cell>
        </row>
        <row r="1175">
          <cell r="H1175">
            <v>85255860221</v>
          </cell>
          <cell r="I1175">
            <v>33574227</v>
          </cell>
          <cell r="J1175" t="str">
            <v/>
          </cell>
          <cell r="K1175" t="str">
            <v>-</v>
          </cell>
          <cell r="L1175">
            <v>9750</v>
          </cell>
          <cell r="M1175">
            <v>9750</v>
          </cell>
          <cell r="Q1175">
            <v>10400</v>
          </cell>
          <cell r="R1175">
            <v>85255860221</v>
          </cell>
          <cell r="Y1175" t="str">
            <v>컬러젤리 케이스 갤럭시S23울트라 블랙</v>
          </cell>
          <cell r="AC1175">
            <v>2272.7272727272725</v>
          </cell>
          <cell r="AD1175">
            <v>227.27272727272725</v>
          </cell>
          <cell r="AE1175">
            <v>2500</v>
          </cell>
          <cell r="AG1175">
            <v>5409.090909090909</v>
          </cell>
          <cell r="AH1175">
            <v>540.90909090909099</v>
          </cell>
          <cell r="AI1175">
            <v>5950</v>
          </cell>
          <cell r="AK1175">
            <v>3136.3636363636365</v>
          </cell>
        </row>
        <row r="1176">
          <cell r="H1176">
            <v>85255860251</v>
          </cell>
          <cell r="I1176">
            <v>33574228</v>
          </cell>
          <cell r="J1176" t="str">
            <v/>
          </cell>
          <cell r="K1176" t="str">
            <v>-</v>
          </cell>
          <cell r="L1176">
            <v>11050</v>
          </cell>
          <cell r="M1176">
            <v>11050</v>
          </cell>
          <cell r="Q1176">
            <v>11050</v>
          </cell>
          <cell r="R1176">
            <v>85255860251</v>
          </cell>
          <cell r="Y1176" t="str">
            <v>컬러젤리 케이스 갤럭시S23울트라 옐로우</v>
          </cell>
          <cell r="AC1176">
            <v>2272.7272727272725</v>
          </cell>
          <cell r="AD1176">
            <v>227.27272727272725</v>
          </cell>
          <cell r="AE1176">
            <v>2500</v>
          </cell>
          <cell r="AG1176">
            <v>5409.090909090909</v>
          </cell>
          <cell r="AH1176">
            <v>540.90909090909099</v>
          </cell>
          <cell r="AI1176">
            <v>5950</v>
          </cell>
          <cell r="AK1176">
            <v>3136.3636363636365</v>
          </cell>
        </row>
        <row r="1177">
          <cell r="H1177">
            <v>85255860284</v>
          </cell>
          <cell r="I1177">
            <v>33574229</v>
          </cell>
          <cell r="J1177">
            <v>15</v>
          </cell>
          <cell r="K1177" t="str">
            <v>-</v>
          </cell>
          <cell r="L1177">
            <v>9750</v>
          </cell>
          <cell r="M1177">
            <v>9750</v>
          </cell>
          <cell r="Q1177">
            <v>10400</v>
          </cell>
          <cell r="R1177">
            <v>85255860284</v>
          </cell>
          <cell r="Y1177" t="str">
            <v>컬러젤리 케이스 갤럭시S23울트라 핑크</v>
          </cell>
          <cell r="AC1177">
            <v>2272.7272727272725</v>
          </cell>
          <cell r="AD1177">
            <v>227.27272727272725</v>
          </cell>
          <cell r="AE1177">
            <v>2500</v>
          </cell>
          <cell r="AG1177">
            <v>5409.090909090909</v>
          </cell>
          <cell r="AH1177">
            <v>540.90909090909099</v>
          </cell>
          <cell r="AI1177">
            <v>5950</v>
          </cell>
          <cell r="AK1177">
            <v>3136.3636363636365</v>
          </cell>
        </row>
        <row r="1178">
          <cell r="H1178">
            <v>85255860324</v>
          </cell>
          <cell r="I1178">
            <v>33574230</v>
          </cell>
          <cell r="J1178" t="str">
            <v/>
          </cell>
          <cell r="K1178" t="str">
            <v>-</v>
          </cell>
          <cell r="L1178">
            <v>9750</v>
          </cell>
          <cell r="M1178">
            <v>9750</v>
          </cell>
          <cell r="Q1178">
            <v>10400</v>
          </cell>
          <cell r="R1178">
            <v>85255860324</v>
          </cell>
          <cell r="Y1178" t="str">
            <v>컬러젤리 케이스 갤럭시S23플러스 그레이</v>
          </cell>
          <cell r="AC1178">
            <v>2272.7272727272725</v>
          </cell>
          <cell r="AD1178">
            <v>227.27272727272725</v>
          </cell>
          <cell r="AE1178">
            <v>2500</v>
          </cell>
          <cell r="AG1178">
            <v>5409.090909090909</v>
          </cell>
          <cell r="AH1178">
            <v>540.90909090909099</v>
          </cell>
          <cell r="AI1178">
            <v>5950</v>
          </cell>
          <cell r="AK1178">
            <v>3136.3636363636365</v>
          </cell>
        </row>
        <row r="1179">
          <cell r="H1179">
            <v>85255860368</v>
          </cell>
          <cell r="I1179">
            <v>33574231</v>
          </cell>
          <cell r="J1179">
            <v>2</v>
          </cell>
          <cell r="K1179" t="str">
            <v>-</v>
          </cell>
          <cell r="L1179">
            <v>9750</v>
          </cell>
          <cell r="M1179">
            <v>9750</v>
          </cell>
          <cell r="Q1179">
            <v>10400</v>
          </cell>
          <cell r="R1179">
            <v>85255860368</v>
          </cell>
          <cell r="Y1179" t="str">
            <v>컬러젤리 케이스 갤럭시S23플러스 그린</v>
          </cell>
          <cell r="AC1179">
            <v>2272.7272727272725</v>
          </cell>
          <cell r="AD1179">
            <v>227.27272727272725</v>
          </cell>
          <cell r="AE1179">
            <v>2500</v>
          </cell>
          <cell r="AG1179">
            <v>5409.090909090909</v>
          </cell>
          <cell r="AH1179">
            <v>540.90909090909099</v>
          </cell>
          <cell r="AI1179">
            <v>5950</v>
          </cell>
          <cell r="AK1179">
            <v>3136.3636363636365</v>
          </cell>
        </row>
        <row r="1180">
          <cell r="H1180">
            <v>85255860404</v>
          </cell>
          <cell r="I1180">
            <v>33574232</v>
          </cell>
          <cell r="J1180" t="str">
            <v/>
          </cell>
          <cell r="K1180" t="str">
            <v>-</v>
          </cell>
          <cell r="L1180">
            <v>9750</v>
          </cell>
          <cell r="M1180">
            <v>9750</v>
          </cell>
          <cell r="Q1180">
            <v>10400</v>
          </cell>
          <cell r="R1180">
            <v>85255860404</v>
          </cell>
          <cell r="Y1180" t="str">
            <v>컬러젤리 케이스 갤럭시S23플러스 네이비</v>
          </cell>
          <cell r="AC1180">
            <v>2272.7272727272725</v>
          </cell>
          <cell r="AD1180">
            <v>227.27272727272725</v>
          </cell>
          <cell r="AE1180">
            <v>2500</v>
          </cell>
          <cell r="AG1180">
            <v>5409.090909090909</v>
          </cell>
          <cell r="AH1180">
            <v>540.90909090909099</v>
          </cell>
          <cell r="AI1180">
            <v>5950</v>
          </cell>
          <cell r="AK1180">
            <v>3136.3636363636365</v>
          </cell>
        </row>
        <row r="1181">
          <cell r="H1181">
            <v>85255860430</v>
          </cell>
          <cell r="I1181">
            <v>33574233</v>
          </cell>
          <cell r="J1181" t="str">
            <v/>
          </cell>
          <cell r="K1181" t="str">
            <v>-</v>
          </cell>
          <cell r="L1181">
            <v>9750</v>
          </cell>
          <cell r="M1181">
            <v>9750</v>
          </cell>
          <cell r="Q1181">
            <v>10400</v>
          </cell>
          <cell r="R1181">
            <v>85255860430</v>
          </cell>
          <cell r="Y1181" t="str">
            <v>컬러젤리 케이스 갤럭시S23플러스 레드</v>
          </cell>
          <cell r="AC1181">
            <v>2272.7272727272725</v>
          </cell>
          <cell r="AD1181">
            <v>227.27272727272725</v>
          </cell>
          <cell r="AE1181">
            <v>2500</v>
          </cell>
          <cell r="AG1181">
            <v>5409.090909090909</v>
          </cell>
          <cell r="AH1181">
            <v>540.90909090909099</v>
          </cell>
          <cell r="AI1181">
            <v>5950</v>
          </cell>
          <cell r="AK1181">
            <v>3136.3636363636365</v>
          </cell>
        </row>
        <row r="1182">
          <cell r="H1182">
            <v>85255860510</v>
          </cell>
          <cell r="I1182">
            <v>33574235</v>
          </cell>
          <cell r="J1182" t="str">
            <v/>
          </cell>
          <cell r="K1182" t="str">
            <v>-</v>
          </cell>
          <cell r="L1182">
            <v>9750</v>
          </cell>
          <cell r="M1182">
            <v>9750</v>
          </cell>
          <cell r="Q1182">
            <v>10400</v>
          </cell>
          <cell r="R1182">
            <v>85255860510</v>
          </cell>
          <cell r="Y1182" t="str">
            <v>컬러젤리 케이스 갤럭시S23플러스 블랙</v>
          </cell>
          <cell r="AC1182">
            <v>2272.7272727272725</v>
          </cell>
          <cell r="AD1182">
            <v>227.27272727272725</v>
          </cell>
          <cell r="AE1182">
            <v>2500</v>
          </cell>
          <cell r="AG1182">
            <v>5409.090909090909</v>
          </cell>
          <cell r="AH1182">
            <v>540.90909090909099</v>
          </cell>
          <cell r="AI1182">
            <v>5950</v>
          </cell>
          <cell r="AK1182">
            <v>3136.3636363636365</v>
          </cell>
        </row>
        <row r="1183">
          <cell r="H1183">
            <v>85255859950</v>
          </cell>
          <cell r="I1183">
            <v>33574214</v>
          </cell>
          <cell r="J1183">
            <v>2</v>
          </cell>
          <cell r="K1183" t="str">
            <v>-</v>
          </cell>
          <cell r="L1183">
            <v>9750</v>
          </cell>
          <cell r="M1183">
            <v>9750</v>
          </cell>
          <cell r="Q1183">
            <v>10400</v>
          </cell>
          <cell r="R1183">
            <v>85255859950</v>
          </cell>
          <cell r="Y1183" t="str">
            <v>컬러젤리 케이스 갤럭시S23플러스 옐로우</v>
          </cell>
          <cell r="AC1183">
            <v>2272.7272727272725</v>
          </cell>
          <cell r="AD1183">
            <v>227.27272727272725</v>
          </cell>
          <cell r="AE1183">
            <v>2500</v>
          </cell>
          <cell r="AG1183">
            <v>5409.090909090909</v>
          </cell>
          <cell r="AH1183">
            <v>540.90909090909099</v>
          </cell>
          <cell r="AI1183">
            <v>5950</v>
          </cell>
          <cell r="AK1183">
            <v>3136.3636363636365</v>
          </cell>
        </row>
        <row r="1184">
          <cell r="H1184">
            <v>85255859976</v>
          </cell>
          <cell r="I1184">
            <v>33574216</v>
          </cell>
          <cell r="J1184">
            <v>15</v>
          </cell>
          <cell r="K1184" t="str">
            <v>-</v>
          </cell>
          <cell r="L1184">
            <v>9750</v>
          </cell>
          <cell r="M1184">
            <v>9750</v>
          </cell>
          <cell r="Q1184">
            <v>10400</v>
          </cell>
          <cell r="R1184">
            <v>85255859976</v>
          </cell>
          <cell r="Y1184" t="str">
            <v>컬러젤리 케이스 갤럭시S23플러스 핑크</v>
          </cell>
          <cell r="AC1184">
            <v>2272.7272727272725</v>
          </cell>
          <cell r="AD1184">
            <v>227.27272727272725</v>
          </cell>
          <cell r="AE1184">
            <v>2500</v>
          </cell>
          <cell r="AG1184">
            <v>5409.090909090909</v>
          </cell>
          <cell r="AH1184">
            <v>540.90909090909099</v>
          </cell>
          <cell r="AI1184">
            <v>5950</v>
          </cell>
          <cell r="AK1184">
            <v>3136.3636363636365</v>
          </cell>
        </row>
        <row r="1185">
          <cell r="H1185">
            <v>84338778147</v>
          </cell>
          <cell r="I1185">
            <v>31171664</v>
          </cell>
          <cell r="J1185" t="str">
            <v/>
          </cell>
          <cell r="K1185" t="str">
            <v>-</v>
          </cell>
          <cell r="L1185">
            <v>6650</v>
          </cell>
          <cell r="M1185">
            <v>6650</v>
          </cell>
          <cell r="Q1185">
            <v>6650</v>
          </cell>
          <cell r="R1185">
            <v>84338778147</v>
          </cell>
          <cell r="Y1185" t="str">
            <v>컬러젤리 케이스 아이폰12 그레이</v>
          </cell>
          <cell r="AC1185">
            <v>2272.7272727272725</v>
          </cell>
          <cell r="AD1185">
            <v>227.27272727272725</v>
          </cell>
          <cell r="AE1185">
            <v>2500</v>
          </cell>
          <cell r="AG1185">
            <v>5450.9090909090901</v>
          </cell>
          <cell r="AH1185">
            <v>545.09090909090992</v>
          </cell>
          <cell r="AI1185">
            <v>5996</v>
          </cell>
          <cell r="AK1185">
            <v>3178.1818181818176</v>
          </cell>
        </row>
        <row r="1186">
          <cell r="H1186">
            <v>84338778774</v>
          </cell>
          <cell r="I1186">
            <v>31171698</v>
          </cell>
          <cell r="J1186" t="str">
            <v/>
          </cell>
          <cell r="K1186" t="str">
            <v>-</v>
          </cell>
          <cell r="L1186">
            <v>8840</v>
          </cell>
          <cell r="M1186">
            <v>8840</v>
          </cell>
          <cell r="Q1186">
            <v>9430</v>
          </cell>
          <cell r="R1186">
            <v>84338778774</v>
          </cell>
          <cell r="Y1186" t="str">
            <v>컬러젤리 케이스 아이폰12 그린</v>
          </cell>
          <cell r="AC1186">
            <v>2139.090909090909</v>
          </cell>
          <cell r="AD1186">
            <v>213.90909090909091</v>
          </cell>
          <cell r="AE1186">
            <v>2353</v>
          </cell>
          <cell r="AG1186">
            <v>5450.9090909090901</v>
          </cell>
          <cell r="AH1186">
            <v>545.09090909090992</v>
          </cell>
          <cell r="AI1186">
            <v>5996</v>
          </cell>
          <cell r="AK1186">
            <v>3311.8181818181811</v>
          </cell>
        </row>
        <row r="1187">
          <cell r="H1187">
            <v>84338776888</v>
          </cell>
          <cell r="I1187">
            <v>31171609</v>
          </cell>
          <cell r="J1187" t="str">
            <v/>
          </cell>
          <cell r="K1187" t="str">
            <v>-</v>
          </cell>
          <cell r="L1187">
            <v>8840</v>
          </cell>
          <cell r="M1187">
            <v>8840</v>
          </cell>
          <cell r="Q1187">
            <v>9430</v>
          </cell>
          <cell r="R1187">
            <v>84338776888</v>
          </cell>
          <cell r="Y1187" t="str">
            <v>컬러젤리 케이스 아이폰12 네이비</v>
          </cell>
          <cell r="AC1187">
            <v>2272.7272727272725</v>
          </cell>
          <cell r="AD1187">
            <v>227.27272727272725</v>
          </cell>
          <cell r="AE1187">
            <v>2500</v>
          </cell>
          <cell r="AG1187">
            <v>5450.9090909090901</v>
          </cell>
          <cell r="AH1187">
            <v>545.09090909090992</v>
          </cell>
          <cell r="AI1187">
            <v>5996</v>
          </cell>
          <cell r="AK1187">
            <v>3178.1818181818176</v>
          </cell>
        </row>
        <row r="1188">
          <cell r="H1188">
            <v>84338777001</v>
          </cell>
          <cell r="I1188">
            <v>31171614</v>
          </cell>
          <cell r="J1188" t="str">
            <v/>
          </cell>
          <cell r="K1188" t="str">
            <v>-</v>
          </cell>
          <cell r="L1188">
            <v>8840</v>
          </cell>
          <cell r="M1188">
            <v>8840</v>
          </cell>
          <cell r="Q1188">
            <v>9430</v>
          </cell>
          <cell r="R1188">
            <v>84338777001</v>
          </cell>
          <cell r="Y1188" t="str">
            <v>컬러젤리 케이스 아이폰12 레드</v>
          </cell>
          <cell r="AC1188">
            <v>2272.7272727272725</v>
          </cell>
          <cell r="AD1188">
            <v>227.27272727272725</v>
          </cell>
          <cell r="AE1188">
            <v>2500</v>
          </cell>
          <cell r="AG1188">
            <v>5450.9090909090901</v>
          </cell>
          <cell r="AH1188">
            <v>545.09090909090992</v>
          </cell>
          <cell r="AI1188">
            <v>5996</v>
          </cell>
          <cell r="AK1188">
            <v>3178.1818181818176</v>
          </cell>
        </row>
        <row r="1189">
          <cell r="H1189">
            <v>84338776099</v>
          </cell>
          <cell r="I1189">
            <v>31171572</v>
          </cell>
          <cell r="J1189" t="str">
            <v/>
          </cell>
          <cell r="K1189" t="str">
            <v>-</v>
          </cell>
          <cell r="L1189">
            <v>8840</v>
          </cell>
          <cell r="M1189">
            <v>8840</v>
          </cell>
          <cell r="Q1189">
            <v>9430</v>
          </cell>
          <cell r="R1189">
            <v>84338776099</v>
          </cell>
          <cell r="Y1189" t="str">
            <v>컬러젤리 케이스 아이폰12 블랙</v>
          </cell>
          <cell r="AC1189">
            <v>2272.7272727272725</v>
          </cell>
          <cell r="AD1189">
            <v>227.27272727272725</v>
          </cell>
          <cell r="AE1189">
            <v>2500</v>
          </cell>
          <cell r="AG1189">
            <v>5450.9090909090901</v>
          </cell>
          <cell r="AH1189">
            <v>545.09090909090992</v>
          </cell>
          <cell r="AI1189">
            <v>5996</v>
          </cell>
          <cell r="AK1189">
            <v>3178.1818181818176</v>
          </cell>
        </row>
        <row r="1190">
          <cell r="H1190">
            <v>84338776572</v>
          </cell>
          <cell r="I1190">
            <v>31171593</v>
          </cell>
          <cell r="J1190" t="str">
            <v/>
          </cell>
          <cell r="K1190" t="str">
            <v>-</v>
          </cell>
          <cell r="L1190">
            <v>8840</v>
          </cell>
          <cell r="M1190">
            <v>8840</v>
          </cell>
          <cell r="Q1190">
            <v>9430</v>
          </cell>
          <cell r="R1190">
            <v>84338776572</v>
          </cell>
          <cell r="Y1190" t="str">
            <v>컬러젤리 케이스 아이폰12 옐로우</v>
          </cell>
          <cell r="AC1190">
            <v>2272.7272727272725</v>
          </cell>
          <cell r="AD1190">
            <v>227.27272727272725</v>
          </cell>
          <cell r="AE1190">
            <v>2500</v>
          </cell>
          <cell r="AG1190">
            <v>5450.9090909090901</v>
          </cell>
          <cell r="AH1190">
            <v>545.09090909090992</v>
          </cell>
          <cell r="AI1190">
            <v>5996</v>
          </cell>
          <cell r="AK1190">
            <v>3178.1818181818176</v>
          </cell>
        </row>
        <row r="1191">
          <cell r="H1191">
            <v>84338778876</v>
          </cell>
          <cell r="I1191">
            <v>31171707</v>
          </cell>
          <cell r="J1191" t="str">
            <v/>
          </cell>
          <cell r="K1191" t="str">
            <v>-</v>
          </cell>
          <cell r="L1191">
            <v>8840</v>
          </cell>
          <cell r="M1191">
            <v>8840</v>
          </cell>
          <cell r="Q1191">
            <v>9430</v>
          </cell>
          <cell r="R1191">
            <v>84338778876</v>
          </cell>
          <cell r="Y1191" t="str">
            <v>컬러젤리 케이스 아이폰12 핑크</v>
          </cell>
          <cell r="AC1191">
            <v>2272.7272727272725</v>
          </cell>
          <cell r="AD1191">
            <v>227.27272727272725</v>
          </cell>
          <cell r="AE1191">
            <v>2500</v>
          </cell>
          <cell r="AG1191">
            <v>5450.9090909090901</v>
          </cell>
          <cell r="AH1191">
            <v>545.09090909090992</v>
          </cell>
          <cell r="AI1191">
            <v>5996</v>
          </cell>
          <cell r="AK1191">
            <v>3178.1818181818176</v>
          </cell>
        </row>
        <row r="1192">
          <cell r="H1192">
            <v>84338778055</v>
          </cell>
          <cell r="I1192">
            <v>31171659</v>
          </cell>
          <cell r="J1192" t="str">
            <v/>
          </cell>
          <cell r="K1192" t="str">
            <v>-</v>
          </cell>
          <cell r="L1192">
            <v>8840</v>
          </cell>
          <cell r="M1192">
            <v>8840</v>
          </cell>
          <cell r="Q1192">
            <v>9430</v>
          </cell>
          <cell r="R1192">
            <v>84338778055</v>
          </cell>
          <cell r="Y1192" t="str">
            <v>컬러젤리 케이스 아이폰12미니 그레이</v>
          </cell>
          <cell r="AC1192">
            <v>2272.7272727272725</v>
          </cell>
          <cell r="AD1192">
            <v>227.27272727272725</v>
          </cell>
          <cell r="AE1192">
            <v>2500</v>
          </cell>
          <cell r="AG1192">
            <v>5450.9090909090901</v>
          </cell>
          <cell r="AH1192">
            <v>545.09090909090992</v>
          </cell>
          <cell r="AI1192">
            <v>5996</v>
          </cell>
          <cell r="AK1192">
            <v>3178.1818181818176</v>
          </cell>
        </row>
        <row r="1193">
          <cell r="H1193">
            <v>84338778118</v>
          </cell>
          <cell r="I1193">
            <v>31171662</v>
          </cell>
          <cell r="J1193" t="str">
            <v/>
          </cell>
          <cell r="K1193" t="str">
            <v>-</v>
          </cell>
          <cell r="L1193">
            <v>8840</v>
          </cell>
          <cell r="M1193">
            <v>8840</v>
          </cell>
          <cell r="Q1193">
            <v>9430</v>
          </cell>
          <cell r="R1193">
            <v>84338778118</v>
          </cell>
          <cell r="Y1193" t="str">
            <v>컬러젤리 케이스 아이폰12미니 그린</v>
          </cell>
          <cell r="AC1193">
            <v>2272.7272727272725</v>
          </cell>
          <cell r="AD1193">
            <v>227.27272727272725</v>
          </cell>
          <cell r="AE1193">
            <v>2500</v>
          </cell>
          <cell r="AG1193">
            <v>5450.9090909090901</v>
          </cell>
          <cell r="AH1193">
            <v>545.09090909090992</v>
          </cell>
          <cell r="AI1193">
            <v>5996</v>
          </cell>
          <cell r="AK1193">
            <v>3178.1818181818176</v>
          </cell>
        </row>
        <row r="1194">
          <cell r="H1194">
            <v>84338776959</v>
          </cell>
          <cell r="I1194">
            <v>31171612</v>
          </cell>
          <cell r="J1194" t="str">
            <v/>
          </cell>
          <cell r="K1194" t="str">
            <v>-</v>
          </cell>
          <cell r="L1194">
            <v>8840</v>
          </cell>
          <cell r="M1194">
            <v>8840</v>
          </cell>
          <cell r="Q1194">
            <v>9430</v>
          </cell>
          <cell r="R1194">
            <v>84338776959</v>
          </cell>
          <cell r="Y1194" t="str">
            <v>컬러젤리 케이스 아이폰12미니 네이비</v>
          </cell>
          <cell r="AC1194">
            <v>2272.7272727272725</v>
          </cell>
          <cell r="AD1194">
            <v>227.27272727272725</v>
          </cell>
          <cell r="AE1194">
            <v>2500</v>
          </cell>
          <cell r="AG1194">
            <v>5450.9090909090901</v>
          </cell>
          <cell r="AH1194">
            <v>545.09090909090992</v>
          </cell>
          <cell r="AI1194">
            <v>5996</v>
          </cell>
          <cell r="AK1194">
            <v>3178.1818181818176</v>
          </cell>
        </row>
        <row r="1195">
          <cell r="H1195">
            <v>84338776852</v>
          </cell>
          <cell r="I1195">
            <v>31171606</v>
          </cell>
          <cell r="J1195" t="str">
            <v/>
          </cell>
          <cell r="K1195" t="str">
            <v>-</v>
          </cell>
          <cell r="L1195">
            <v>8840</v>
          </cell>
          <cell r="M1195">
            <v>8840</v>
          </cell>
          <cell r="Q1195">
            <v>9430</v>
          </cell>
          <cell r="R1195">
            <v>84338776852</v>
          </cell>
          <cell r="Y1195" t="str">
            <v>컬러젤리 케이스 아이폰12미니 레드</v>
          </cell>
          <cell r="AC1195">
            <v>2272.7272727272725</v>
          </cell>
          <cell r="AD1195">
            <v>227.27272727272725</v>
          </cell>
          <cell r="AE1195">
            <v>2500</v>
          </cell>
          <cell r="AG1195">
            <v>5450.9090909090901</v>
          </cell>
          <cell r="AH1195">
            <v>545.09090909090992</v>
          </cell>
          <cell r="AI1195">
            <v>5996</v>
          </cell>
          <cell r="AK1195">
            <v>3178.1818181818176</v>
          </cell>
        </row>
        <row r="1196">
          <cell r="H1196">
            <v>84338775979</v>
          </cell>
          <cell r="I1196">
            <v>31171566</v>
          </cell>
          <cell r="J1196" t="str">
            <v/>
          </cell>
          <cell r="K1196" t="str">
            <v>-</v>
          </cell>
          <cell r="L1196">
            <v>8840</v>
          </cell>
          <cell r="M1196">
            <v>8840</v>
          </cell>
          <cell r="Q1196">
            <v>9430</v>
          </cell>
          <cell r="R1196">
            <v>84338775979</v>
          </cell>
          <cell r="Y1196" t="str">
            <v>컬러젤리 케이스 아이폰12미니 블랙</v>
          </cell>
          <cell r="AC1196">
            <v>2272.7272727272725</v>
          </cell>
          <cell r="AD1196">
            <v>227.27272727272725</v>
          </cell>
          <cell r="AE1196">
            <v>2500</v>
          </cell>
          <cell r="AG1196">
            <v>4905.454545454545</v>
          </cell>
          <cell r="AH1196">
            <v>490.54545454545496</v>
          </cell>
          <cell r="AI1196">
            <v>5396</v>
          </cell>
          <cell r="AK1196">
            <v>2632.7272727272725</v>
          </cell>
        </row>
        <row r="1197">
          <cell r="H1197">
            <v>84338776597</v>
          </cell>
          <cell r="I1197">
            <v>31171594</v>
          </cell>
          <cell r="J1197" t="str">
            <v/>
          </cell>
          <cell r="K1197" t="str">
            <v>-</v>
          </cell>
          <cell r="L1197">
            <v>8840</v>
          </cell>
          <cell r="M1197">
            <v>8840</v>
          </cell>
          <cell r="Q1197">
            <v>9430</v>
          </cell>
          <cell r="R1197">
            <v>84338776597</v>
          </cell>
          <cell r="Y1197" t="str">
            <v>컬러젤리 케이스 아이폰12미니 옐로우</v>
          </cell>
          <cell r="AC1197">
            <v>2272.7272727272725</v>
          </cell>
          <cell r="AD1197">
            <v>227.27272727272725</v>
          </cell>
          <cell r="AE1197">
            <v>2500</v>
          </cell>
          <cell r="AG1197">
            <v>5450.9090909090901</v>
          </cell>
          <cell r="AH1197">
            <v>545.09090909090992</v>
          </cell>
          <cell r="AI1197">
            <v>5996</v>
          </cell>
          <cell r="AK1197">
            <v>3178.1818181818176</v>
          </cell>
        </row>
        <row r="1198">
          <cell r="H1198">
            <v>84338778841</v>
          </cell>
          <cell r="I1198">
            <v>31171704</v>
          </cell>
          <cell r="J1198" t="str">
            <v/>
          </cell>
          <cell r="K1198" t="str">
            <v>-</v>
          </cell>
          <cell r="L1198">
            <v>8840</v>
          </cell>
          <cell r="M1198">
            <v>8840</v>
          </cell>
          <cell r="Q1198">
            <v>9430</v>
          </cell>
          <cell r="R1198">
            <v>84338778841</v>
          </cell>
          <cell r="Y1198" t="str">
            <v>컬러젤리 케이스 아이폰12미니 핑크</v>
          </cell>
          <cell r="AC1198">
            <v>2272.7272727272725</v>
          </cell>
          <cell r="AD1198">
            <v>227.27272727272725</v>
          </cell>
          <cell r="AE1198">
            <v>2500</v>
          </cell>
          <cell r="AG1198">
            <v>5450.9090909090901</v>
          </cell>
          <cell r="AH1198">
            <v>545.09090909090992</v>
          </cell>
          <cell r="AI1198">
            <v>5996</v>
          </cell>
          <cell r="AK1198">
            <v>3178.1818181818176</v>
          </cell>
        </row>
        <row r="1199">
          <cell r="H1199">
            <v>84338778098</v>
          </cell>
          <cell r="I1199">
            <v>31171661</v>
          </cell>
          <cell r="J1199" t="str">
            <v/>
          </cell>
          <cell r="K1199" t="str">
            <v>-</v>
          </cell>
          <cell r="L1199">
            <v>8840</v>
          </cell>
          <cell r="M1199">
            <v>8840</v>
          </cell>
          <cell r="Q1199">
            <v>9430</v>
          </cell>
          <cell r="R1199">
            <v>84338778098</v>
          </cell>
          <cell r="Y1199" t="str">
            <v>컬러젤리 케이스 아이폰12프로 그레이</v>
          </cell>
          <cell r="AC1199">
            <v>2272.7272727272725</v>
          </cell>
          <cell r="AD1199">
            <v>227.27272727272725</v>
          </cell>
          <cell r="AE1199">
            <v>2500</v>
          </cell>
          <cell r="AG1199">
            <v>5450.9090909090901</v>
          </cell>
          <cell r="AH1199">
            <v>545.09090909090992</v>
          </cell>
          <cell r="AI1199">
            <v>5996</v>
          </cell>
          <cell r="AK1199">
            <v>3178.1818181818176</v>
          </cell>
        </row>
        <row r="1200">
          <cell r="H1200">
            <v>84338778760</v>
          </cell>
          <cell r="I1200">
            <v>31171697</v>
          </cell>
          <cell r="J1200" t="str">
            <v/>
          </cell>
          <cell r="K1200" t="str">
            <v>-</v>
          </cell>
          <cell r="L1200">
            <v>8840</v>
          </cell>
          <cell r="M1200">
            <v>8840</v>
          </cell>
          <cell r="Q1200">
            <v>9430</v>
          </cell>
          <cell r="R1200">
            <v>84338778760</v>
          </cell>
          <cell r="Y1200" t="str">
            <v>컬러젤리 케이스 아이폰12프로 그린</v>
          </cell>
          <cell r="AC1200">
            <v>2272.7272727272725</v>
          </cell>
          <cell r="AD1200">
            <v>227.27272727272725</v>
          </cell>
          <cell r="AE1200">
            <v>2500</v>
          </cell>
          <cell r="AG1200">
            <v>5450.9090909090901</v>
          </cell>
          <cell r="AH1200">
            <v>545.09090909090992</v>
          </cell>
          <cell r="AI1200">
            <v>5996</v>
          </cell>
          <cell r="AK1200">
            <v>3178.1818181818176</v>
          </cell>
        </row>
        <row r="1201">
          <cell r="H1201">
            <v>84338776870</v>
          </cell>
          <cell r="I1201">
            <v>31171607</v>
          </cell>
          <cell r="J1201" t="str">
            <v/>
          </cell>
          <cell r="K1201" t="str">
            <v>-</v>
          </cell>
          <cell r="L1201">
            <v>8840</v>
          </cell>
          <cell r="M1201">
            <v>8840</v>
          </cell>
          <cell r="Q1201">
            <v>9430</v>
          </cell>
          <cell r="R1201">
            <v>84338776870</v>
          </cell>
          <cell r="Y1201" t="str">
            <v>컬러젤리 케이스 아이폰12프로 네이비</v>
          </cell>
          <cell r="AC1201">
            <v>2272.7272727272725</v>
          </cell>
          <cell r="AD1201">
            <v>227.27272727272725</v>
          </cell>
          <cell r="AE1201">
            <v>2500</v>
          </cell>
          <cell r="AG1201">
            <v>5450.9090909090901</v>
          </cell>
          <cell r="AH1201">
            <v>545.09090909090992</v>
          </cell>
          <cell r="AI1201">
            <v>5996</v>
          </cell>
          <cell r="AK1201">
            <v>3178.1818181818176</v>
          </cell>
        </row>
        <row r="1202">
          <cell r="H1202">
            <v>84338776933</v>
          </cell>
          <cell r="I1202">
            <v>31171611</v>
          </cell>
          <cell r="J1202" t="str">
            <v/>
          </cell>
          <cell r="K1202" t="str">
            <v>-</v>
          </cell>
          <cell r="L1202">
            <v>8840</v>
          </cell>
          <cell r="M1202">
            <v>8840</v>
          </cell>
          <cell r="Q1202">
            <v>9430</v>
          </cell>
          <cell r="R1202">
            <v>84338776933</v>
          </cell>
          <cell r="Y1202" t="str">
            <v>컬러젤리 케이스 아이폰12프로 레드</v>
          </cell>
          <cell r="AC1202">
            <v>2272.7272727272725</v>
          </cell>
          <cell r="AD1202">
            <v>227.27272727272725</v>
          </cell>
          <cell r="AE1202">
            <v>2500</v>
          </cell>
          <cell r="AG1202">
            <v>5450.9090909090901</v>
          </cell>
          <cell r="AH1202">
            <v>545.09090909090992</v>
          </cell>
          <cell r="AI1202">
            <v>5996</v>
          </cell>
          <cell r="AK1202">
            <v>3178.1818181818176</v>
          </cell>
        </row>
        <row r="1203">
          <cell r="H1203">
            <v>84338776078</v>
          </cell>
          <cell r="I1203">
            <v>31171570</v>
          </cell>
          <cell r="J1203" t="str">
            <v/>
          </cell>
          <cell r="K1203" t="str">
            <v>-</v>
          </cell>
          <cell r="L1203">
            <v>8840</v>
          </cell>
          <cell r="M1203">
            <v>8840</v>
          </cell>
          <cell r="Q1203">
            <v>9430</v>
          </cell>
          <cell r="R1203">
            <v>84338776078</v>
          </cell>
          <cell r="Y1203" t="str">
            <v>컬러젤리 케이스 아이폰12프로 블랙</v>
          </cell>
          <cell r="AC1203">
            <v>2272.7272727272725</v>
          </cell>
          <cell r="AD1203">
            <v>227.27272727272725</v>
          </cell>
          <cell r="AE1203">
            <v>2500</v>
          </cell>
          <cell r="AG1203">
            <v>4905.454545454545</v>
          </cell>
          <cell r="AH1203">
            <v>490.54545454545496</v>
          </cell>
          <cell r="AI1203">
            <v>5396</v>
          </cell>
          <cell r="AK1203">
            <v>2632.7272727272725</v>
          </cell>
        </row>
        <row r="1204">
          <cell r="H1204">
            <v>84338776646</v>
          </cell>
          <cell r="I1204">
            <v>31171596</v>
          </cell>
          <cell r="J1204" t="str">
            <v/>
          </cell>
          <cell r="K1204" t="str">
            <v>-</v>
          </cell>
          <cell r="L1204">
            <v>8840</v>
          </cell>
          <cell r="M1204">
            <v>8840</v>
          </cell>
          <cell r="Q1204">
            <v>9430</v>
          </cell>
          <cell r="R1204">
            <v>84338776646</v>
          </cell>
          <cell r="Y1204" t="str">
            <v>컬러젤리 케이스 아이폰12프로 옐로우</v>
          </cell>
          <cell r="AC1204">
            <v>2272.7272727272725</v>
          </cell>
          <cell r="AD1204">
            <v>227.27272727272725</v>
          </cell>
          <cell r="AE1204">
            <v>2500</v>
          </cell>
          <cell r="AG1204">
            <v>4905.454545454545</v>
          </cell>
          <cell r="AH1204">
            <v>490.54545454545496</v>
          </cell>
          <cell r="AI1204">
            <v>5396</v>
          </cell>
          <cell r="AK1204">
            <v>2632.7272727272725</v>
          </cell>
        </row>
        <row r="1205">
          <cell r="H1205">
            <v>84338778866</v>
          </cell>
          <cell r="I1205">
            <v>31171706</v>
          </cell>
          <cell r="J1205" t="str">
            <v/>
          </cell>
          <cell r="K1205" t="str">
            <v>-</v>
          </cell>
          <cell r="L1205">
            <v>8840</v>
          </cell>
          <cell r="M1205">
            <v>8840</v>
          </cell>
          <cell r="Q1205">
            <v>9430</v>
          </cell>
          <cell r="R1205">
            <v>84338778866</v>
          </cell>
          <cell r="Y1205" t="str">
            <v>컬러젤리 케이스 아이폰12프로 핑크</v>
          </cell>
          <cell r="AC1205">
            <v>2272.7272727272725</v>
          </cell>
          <cell r="AD1205">
            <v>227.27272727272725</v>
          </cell>
          <cell r="AE1205">
            <v>2500</v>
          </cell>
          <cell r="AG1205">
            <v>5450.9090909090901</v>
          </cell>
          <cell r="AH1205">
            <v>545.09090909090992</v>
          </cell>
          <cell r="AI1205">
            <v>5996</v>
          </cell>
          <cell r="AK1205">
            <v>3178.1818181818176</v>
          </cell>
        </row>
        <row r="1206">
          <cell r="H1206">
            <v>84338778219</v>
          </cell>
          <cell r="I1206">
            <v>31171668</v>
          </cell>
          <cell r="J1206" t="str">
            <v/>
          </cell>
          <cell r="K1206" t="str">
            <v>-</v>
          </cell>
          <cell r="L1206">
            <v>8840</v>
          </cell>
          <cell r="M1206">
            <v>8840</v>
          </cell>
          <cell r="Q1206">
            <v>9430</v>
          </cell>
          <cell r="R1206">
            <v>84338778219</v>
          </cell>
          <cell r="Y1206" t="str">
            <v>컬러젤리 케이스 아이폰12프로맥스 그레이</v>
          </cell>
          <cell r="AC1206">
            <v>2272.7272727272725</v>
          </cell>
          <cell r="AD1206">
            <v>227.27272727272725</v>
          </cell>
          <cell r="AE1206">
            <v>2500</v>
          </cell>
          <cell r="AG1206">
            <v>5450.9090909090901</v>
          </cell>
          <cell r="AH1206">
            <v>545.09090909090992</v>
          </cell>
          <cell r="AI1206">
            <v>5996</v>
          </cell>
          <cell r="AK1206">
            <v>3178.1818181818176</v>
          </cell>
        </row>
        <row r="1207">
          <cell r="H1207">
            <v>84338778749</v>
          </cell>
          <cell r="I1207">
            <v>31171696</v>
          </cell>
          <cell r="J1207" t="str">
            <v/>
          </cell>
          <cell r="K1207" t="str">
            <v>-</v>
          </cell>
          <cell r="L1207">
            <v>8840</v>
          </cell>
          <cell r="M1207">
            <v>8840</v>
          </cell>
          <cell r="Q1207">
            <v>9430</v>
          </cell>
          <cell r="R1207">
            <v>84338778749</v>
          </cell>
          <cell r="Y1207" t="str">
            <v>컬러젤리 케이스 아이폰12프로맥스 그린</v>
          </cell>
          <cell r="AC1207">
            <v>2272.7272727272725</v>
          </cell>
          <cell r="AD1207">
            <v>227.27272727272725</v>
          </cell>
          <cell r="AE1207">
            <v>2500</v>
          </cell>
          <cell r="AG1207">
            <v>5450.9090909090901</v>
          </cell>
          <cell r="AH1207">
            <v>545.09090909090992</v>
          </cell>
          <cell r="AI1207">
            <v>5996</v>
          </cell>
          <cell r="AK1207">
            <v>3178.1818181818176</v>
          </cell>
        </row>
        <row r="1208">
          <cell r="H1208">
            <v>84338777990</v>
          </cell>
          <cell r="I1208">
            <v>31171656</v>
          </cell>
          <cell r="J1208" t="str">
            <v/>
          </cell>
          <cell r="K1208" t="str">
            <v>-</v>
          </cell>
          <cell r="L1208">
            <v>8840</v>
          </cell>
          <cell r="M1208">
            <v>8840</v>
          </cell>
          <cell r="Q1208">
            <v>9430</v>
          </cell>
          <cell r="R1208">
            <v>84338777990</v>
          </cell>
          <cell r="Y1208" t="str">
            <v>컬러젤리 케이스 아이폰12프로맥스 네이비</v>
          </cell>
          <cell r="AC1208">
            <v>2272.7272727272725</v>
          </cell>
          <cell r="AD1208">
            <v>227.27272727272725</v>
          </cell>
          <cell r="AE1208">
            <v>2500</v>
          </cell>
          <cell r="AG1208">
            <v>5450.9090909090901</v>
          </cell>
          <cell r="AH1208">
            <v>545.09090909090992</v>
          </cell>
          <cell r="AI1208">
            <v>5996</v>
          </cell>
          <cell r="AK1208">
            <v>3178.1818181818176</v>
          </cell>
        </row>
        <row r="1209">
          <cell r="H1209">
            <v>84338777103</v>
          </cell>
          <cell r="I1209">
            <v>31171618</v>
          </cell>
          <cell r="J1209" t="str">
            <v/>
          </cell>
          <cell r="K1209" t="str">
            <v>-</v>
          </cell>
          <cell r="L1209">
            <v>8840</v>
          </cell>
          <cell r="M1209">
            <v>8840</v>
          </cell>
          <cell r="Q1209">
            <v>9430</v>
          </cell>
          <cell r="R1209">
            <v>84338777103</v>
          </cell>
          <cell r="Y1209" t="str">
            <v>컬러젤리 케이스 아이폰12프로맥스 레드</v>
          </cell>
          <cell r="AC1209">
            <v>2272.7272727272725</v>
          </cell>
          <cell r="AD1209">
            <v>227.27272727272725</v>
          </cell>
          <cell r="AE1209">
            <v>2500</v>
          </cell>
          <cell r="AG1209">
            <v>5450.9090909090901</v>
          </cell>
          <cell r="AH1209">
            <v>545.09090909090992</v>
          </cell>
          <cell r="AI1209">
            <v>5996</v>
          </cell>
          <cell r="AK1209">
            <v>3178.1818181818176</v>
          </cell>
        </row>
        <row r="1210">
          <cell r="H1210">
            <v>84338776120</v>
          </cell>
          <cell r="I1210">
            <v>31171573</v>
          </cell>
          <cell r="J1210" t="str">
            <v/>
          </cell>
          <cell r="K1210" t="str">
            <v>-</v>
          </cell>
          <cell r="L1210">
            <v>8840</v>
          </cell>
          <cell r="M1210">
            <v>8840</v>
          </cell>
          <cell r="Q1210">
            <v>9430</v>
          </cell>
          <cell r="R1210">
            <v>84338776120</v>
          </cell>
          <cell r="Y1210" t="str">
            <v>컬러젤리 케이스 아이폰12프로맥스 블랙</v>
          </cell>
          <cell r="AC1210">
            <v>2272.7272727272725</v>
          </cell>
          <cell r="AD1210">
            <v>227.27272727272725</v>
          </cell>
          <cell r="AE1210">
            <v>2500</v>
          </cell>
          <cell r="AG1210">
            <v>5450.9090909090901</v>
          </cell>
          <cell r="AH1210">
            <v>545.09090909090992</v>
          </cell>
          <cell r="AI1210">
            <v>5996</v>
          </cell>
          <cell r="AK1210">
            <v>3178.1818181818176</v>
          </cell>
        </row>
        <row r="1211">
          <cell r="H1211">
            <v>84338776707</v>
          </cell>
          <cell r="I1211">
            <v>31171599</v>
          </cell>
          <cell r="J1211" t="str">
            <v/>
          </cell>
          <cell r="K1211" t="str">
            <v>-</v>
          </cell>
          <cell r="L1211">
            <v>8850</v>
          </cell>
          <cell r="M1211">
            <v>8850</v>
          </cell>
          <cell r="Q1211">
            <v>9430</v>
          </cell>
          <cell r="R1211">
            <v>84338776707</v>
          </cell>
          <cell r="Y1211" t="str">
            <v>컬러젤리 케이스 아이폰12프로맥스 옐로우</v>
          </cell>
          <cell r="AC1211">
            <v>2272.7272727272725</v>
          </cell>
          <cell r="AD1211">
            <v>227.27272727272725</v>
          </cell>
          <cell r="AE1211">
            <v>2500</v>
          </cell>
          <cell r="AG1211">
            <v>5450.9090909090901</v>
          </cell>
          <cell r="AH1211">
            <v>545.09090909090992</v>
          </cell>
          <cell r="AI1211">
            <v>5996</v>
          </cell>
          <cell r="AK1211">
            <v>3178.1818181818176</v>
          </cell>
        </row>
        <row r="1212">
          <cell r="H1212">
            <v>84338778896</v>
          </cell>
          <cell r="I1212">
            <v>31171709</v>
          </cell>
          <cell r="J1212" t="str">
            <v/>
          </cell>
          <cell r="K1212" t="str">
            <v>-</v>
          </cell>
          <cell r="L1212">
            <v>8840</v>
          </cell>
          <cell r="M1212">
            <v>8840</v>
          </cell>
          <cell r="Q1212">
            <v>9430</v>
          </cell>
          <cell r="R1212">
            <v>84338778896</v>
          </cell>
          <cell r="Y1212" t="str">
            <v>컬러젤리 케이스 아이폰12프로맥스 핑크</v>
          </cell>
          <cell r="AC1212">
            <v>2272.7272727272725</v>
          </cell>
          <cell r="AD1212">
            <v>227.27272727272725</v>
          </cell>
          <cell r="AE1212">
            <v>2500</v>
          </cell>
          <cell r="AG1212">
            <v>5450.9090909090901</v>
          </cell>
          <cell r="AH1212">
            <v>545.09090909090992</v>
          </cell>
          <cell r="AI1212">
            <v>5996</v>
          </cell>
          <cell r="AK1212">
            <v>3178.1818181818176</v>
          </cell>
        </row>
        <row r="1213">
          <cell r="H1213">
            <v>84338778271</v>
          </cell>
          <cell r="I1213">
            <v>31171671</v>
          </cell>
          <cell r="J1213" t="str">
            <v/>
          </cell>
          <cell r="K1213" t="str">
            <v>-</v>
          </cell>
          <cell r="L1213">
            <v>8840</v>
          </cell>
          <cell r="M1213">
            <v>8840</v>
          </cell>
          <cell r="Q1213">
            <v>9430</v>
          </cell>
          <cell r="R1213">
            <v>84338778271</v>
          </cell>
          <cell r="Y1213" t="str">
            <v>컬러젤리 케이스 아이폰13 그레이</v>
          </cell>
          <cell r="AC1213">
            <v>2272.7272727272725</v>
          </cell>
          <cell r="AD1213">
            <v>227.27272727272725</v>
          </cell>
          <cell r="AE1213">
            <v>2500</v>
          </cell>
          <cell r="AG1213">
            <v>4905.454545454545</v>
          </cell>
          <cell r="AH1213">
            <v>490.54545454545496</v>
          </cell>
          <cell r="AI1213">
            <v>5396</v>
          </cell>
          <cell r="AK1213">
            <v>2632.7272727272725</v>
          </cell>
        </row>
        <row r="1214">
          <cell r="H1214">
            <v>84338778710</v>
          </cell>
          <cell r="I1214">
            <v>31171694</v>
          </cell>
          <cell r="J1214" t="str">
            <v/>
          </cell>
          <cell r="K1214" t="str">
            <v>-</v>
          </cell>
          <cell r="L1214">
            <v>8840</v>
          </cell>
          <cell r="M1214">
            <v>8840</v>
          </cell>
          <cell r="Q1214">
            <v>9430</v>
          </cell>
          <cell r="R1214">
            <v>84338778710</v>
          </cell>
          <cell r="Y1214" t="str">
            <v>컬러젤리 케이스 아이폰13 그린</v>
          </cell>
          <cell r="AC1214">
            <v>2272.7272727272725</v>
          </cell>
          <cell r="AD1214">
            <v>227.27272727272725</v>
          </cell>
          <cell r="AE1214">
            <v>2500</v>
          </cell>
          <cell r="AG1214">
            <v>4905.454545454545</v>
          </cell>
          <cell r="AH1214">
            <v>490.54545454545496</v>
          </cell>
          <cell r="AI1214">
            <v>5396</v>
          </cell>
          <cell r="AK1214">
            <v>2632.7272727272725</v>
          </cell>
        </row>
        <row r="1215">
          <cell r="H1215">
            <v>84338777929</v>
          </cell>
          <cell r="I1215">
            <v>31171653</v>
          </cell>
          <cell r="J1215" t="str">
            <v/>
          </cell>
          <cell r="K1215" t="str">
            <v>-</v>
          </cell>
          <cell r="L1215">
            <v>8840</v>
          </cell>
          <cell r="M1215">
            <v>8840</v>
          </cell>
          <cell r="Q1215">
            <v>9430</v>
          </cell>
          <cell r="R1215">
            <v>84338777929</v>
          </cell>
          <cell r="Y1215" t="str">
            <v>컬러젤리 케이스 아이폰13 네이비</v>
          </cell>
          <cell r="AC1215">
            <v>2272.7272727272725</v>
          </cell>
          <cell r="AD1215">
            <v>227.27272727272725</v>
          </cell>
          <cell r="AE1215">
            <v>2500</v>
          </cell>
          <cell r="AG1215">
            <v>4905.454545454545</v>
          </cell>
          <cell r="AH1215">
            <v>490.54545454545496</v>
          </cell>
          <cell r="AI1215">
            <v>5396</v>
          </cell>
          <cell r="AK1215">
            <v>2632.7272727272725</v>
          </cell>
        </row>
        <row r="1216">
          <cell r="H1216">
            <v>84338777216</v>
          </cell>
          <cell r="I1216">
            <v>31171622</v>
          </cell>
          <cell r="J1216" t="str">
            <v/>
          </cell>
          <cell r="K1216" t="str">
            <v>-</v>
          </cell>
          <cell r="L1216">
            <v>8840</v>
          </cell>
          <cell r="M1216">
            <v>8840</v>
          </cell>
          <cell r="Q1216">
            <v>9430</v>
          </cell>
          <cell r="R1216">
            <v>84338777216</v>
          </cell>
          <cell r="Y1216" t="str">
            <v>컬러젤리 케이스 아이폰13 레드</v>
          </cell>
          <cell r="AC1216">
            <v>2272.7272727272725</v>
          </cell>
          <cell r="AD1216">
            <v>227.27272727272725</v>
          </cell>
          <cell r="AE1216">
            <v>2500</v>
          </cell>
          <cell r="AG1216">
            <v>5450.9090909090901</v>
          </cell>
          <cell r="AH1216">
            <v>545.09090909090992</v>
          </cell>
          <cell r="AI1216">
            <v>5996</v>
          </cell>
          <cell r="AK1216">
            <v>3178.1818181818176</v>
          </cell>
        </row>
        <row r="1217">
          <cell r="H1217">
            <v>84338776149</v>
          </cell>
          <cell r="I1217">
            <v>31171574</v>
          </cell>
          <cell r="J1217" t="str">
            <v/>
          </cell>
          <cell r="K1217" t="str">
            <v>-</v>
          </cell>
          <cell r="L1217">
            <v>8840</v>
          </cell>
          <cell r="M1217">
            <v>8840</v>
          </cell>
          <cell r="Q1217">
            <v>9430</v>
          </cell>
          <cell r="R1217">
            <v>84338776149</v>
          </cell>
          <cell r="Y1217" t="str">
            <v>컬러젤리 케이스 아이폰13 블랙</v>
          </cell>
          <cell r="AC1217">
            <v>2272.7272727272725</v>
          </cell>
          <cell r="AD1217">
            <v>227.27272727272725</v>
          </cell>
          <cell r="AE1217">
            <v>2500</v>
          </cell>
          <cell r="AG1217">
            <v>4905.454545454545</v>
          </cell>
          <cell r="AH1217">
            <v>490.54545454545496</v>
          </cell>
          <cell r="AI1217">
            <v>5396</v>
          </cell>
          <cell r="AK1217">
            <v>2632.7272727272725</v>
          </cell>
        </row>
        <row r="1218">
          <cell r="H1218">
            <v>84338776751</v>
          </cell>
          <cell r="I1218">
            <v>31171600</v>
          </cell>
          <cell r="J1218" t="str">
            <v/>
          </cell>
          <cell r="K1218" t="str">
            <v>-</v>
          </cell>
          <cell r="L1218">
            <v>8840</v>
          </cell>
          <cell r="M1218">
            <v>8840</v>
          </cell>
          <cell r="Q1218">
            <v>9430</v>
          </cell>
          <cell r="R1218">
            <v>84338776751</v>
          </cell>
          <cell r="Y1218" t="str">
            <v>컬러젤리 케이스 아이폰13 옐로우</v>
          </cell>
          <cell r="AC1218">
            <v>2272.7272727272725</v>
          </cell>
          <cell r="AD1218">
            <v>227.27272727272725</v>
          </cell>
          <cell r="AE1218">
            <v>2500</v>
          </cell>
          <cell r="AG1218">
            <v>5450.9090909090901</v>
          </cell>
          <cell r="AH1218">
            <v>545.09090909090992</v>
          </cell>
          <cell r="AI1218">
            <v>5996</v>
          </cell>
          <cell r="AK1218">
            <v>3178.1818181818176</v>
          </cell>
        </row>
        <row r="1219">
          <cell r="H1219">
            <v>84338775637</v>
          </cell>
          <cell r="I1219">
            <v>31171547</v>
          </cell>
          <cell r="J1219">
            <v>3</v>
          </cell>
          <cell r="K1219" t="str">
            <v>-</v>
          </cell>
          <cell r="L1219">
            <v>8840</v>
          </cell>
          <cell r="M1219">
            <v>8840</v>
          </cell>
          <cell r="Q1219">
            <v>9430</v>
          </cell>
          <cell r="R1219">
            <v>84338775637</v>
          </cell>
          <cell r="Y1219" t="str">
            <v>컬러젤리 케이스 아이폰13 핑크</v>
          </cell>
          <cell r="AC1219">
            <v>2272.7272727272725</v>
          </cell>
          <cell r="AD1219">
            <v>227.27272727272725</v>
          </cell>
          <cell r="AE1219">
            <v>2500</v>
          </cell>
          <cell r="AG1219">
            <v>4905.454545454545</v>
          </cell>
          <cell r="AH1219">
            <v>490.54545454545496</v>
          </cell>
          <cell r="AI1219">
            <v>5396</v>
          </cell>
          <cell r="AK1219">
            <v>2632.7272727272725</v>
          </cell>
        </row>
        <row r="1220">
          <cell r="H1220">
            <v>84338778161</v>
          </cell>
          <cell r="I1220">
            <v>31171665</v>
          </cell>
          <cell r="J1220" t="str">
            <v/>
          </cell>
          <cell r="K1220" t="str">
            <v>-</v>
          </cell>
          <cell r="L1220">
            <v>8840</v>
          </cell>
          <cell r="M1220">
            <v>8840</v>
          </cell>
          <cell r="Q1220">
            <v>9430</v>
          </cell>
          <cell r="R1220">
            <v>84338778161</v>
          </cell>
          <cell r="Y1220" t="str">
            <v>컬러젤리 케이스 아이폰13미니 그레이</v>
          </cell>
          <cell r="AC1220">
            <v>2272.7272727272725</v>
          </cell>
          <cell r="AD1220">
            <v>227.27272727272725</v>
          </cell>
          <cell r="AE1220">
            <v>2500</v>
          </cell>
          <cell r="AG1220">
            <v>4905.454545454545</v>
          </cell>
          <cell r="AH1220">
            <v>490.54545454545496</v>
          </cell>
          <cell r="AI1220">
            <v>5396</v>
          </cell>
          <cell r="AK1220">
            <v>2632.7272727272725</v>
          </cell>
        </row>
        <row r="1221">
          <cell r="H1221">
            <v>84338778724</v>
          </cell>
          <cell r="I1221">
            <v>31171695</v>
          </cell>
          <cell r="J1221" t="str">
            <v/>
          </cell>
          <cell r="K1221" t="str">
            <v>-</v>
          </cell>
          <cell r="L1221">
            <v>8840</v>
          </cell>
          <cell r="M1221">
            <v>8840</v>
          </cell>
          <cell r="Q1221">
            <v>9430</v>
          </cell>
          <cell r="R1221">
            <v>84338778724</v>
          </cell>
          <cell r="Y1221" t="str">
            <v>컬러젤리 케이스 아이폰13미니 그린</v>
          </cell>
          <cell r="AC1221">
            <v>2272.7272727272725</v>
          </cell>
          <cell r="AD1221">
            <v>227.27272727272725</v>
          </cell>
          <cell r="AE1221">
            <v>2500</v>
          </cell>
          <cell r="AG1221">
            <v>4905.454545454545</v>
          </cell>
          <cell r="AH1221">
            <v>490.54545454545496</v>
          </cell>
          <cell r="AI1221">
            <v>5396</v>
          </cell>
          <cell r="AK1221">
            <v>2632.7272727272725</v>
          </cell>
        </row>
        <row r="1222">
          <cell r="H1222">
            <v>84338777951</v>
          </cell>
          <cell r="I1222">
            <v>31171654</v>
          </cell>
          <cell r="J1222" t="str">
            <v/>
          </cell>
          <cell r="K1222" t="str">
            <v>-</v>
          </cell>
          <cell r="L1222">
            <v>8840</v>
          </cell>
          <cell r="M1222">
            <v>8840</v>
          </cell>
          <cell r="Q1222">
            <v>9430</v>
          </cell>
          <cell r="R1222">
            <v>84338777951</v>
          </cell>
          <cell r="Y1222" t="str">
            <v>컬러젤리 케이스 아이폰13미니 네이비</v>
          </cell>
          <cell r="AC1222">
            <v>2272.7272727272725</v>
          </cell>
          <cell r="AD1222">
            <v>227.27272727272725</v>
          </cell>
          <cell r="AE1222">
            <v>2500</v>
          </cell>
          <cell r="AG1222">
            <v>5450.9090909090901</v>
          </cell>
          <cell r="AH1222">
            <v>545.09090909090992</v>
          </cell>
          <cell r="AI1222">
            <v>5996</v>
          </cell>
          <cell r="AK1222">
            <v>3178.1818181818176</v>
          </cell>
        </row>
        <row r="1223">
          <cell r="H1223">
            <v>84338777040</v>
          </cell>
          <cell r="I1223">
            <v>31171616</v>
          </cell>
          <cell r="J1223" t="str">
            <v/>
          </cell>
          <cell r="K1223" t="str">
            <v>-</v>
          </cell>
          <cell r="L1223">
            <v>8840</v>
          </cell>
          <cell r="M1223">
            <v>8840</v>
          </cell>
          <cell r="Q1223">
            <v>9430</v>
          </cell>
          <cell r="R1223">
            <v>84338777040</v>
          </cell>
          <cell r="Y1223" t="str">
            <v>컬러젤리 케이스 아이폰13미니 레드</v>
          </cell>
          <cell r="AC1223">
            <v>2272.7272727272725</v>
          </cell>
          <cell r="AD1223">
            <v>227.27272727272725</v>
          </cell>
          <cell r="AE1223">
            <v>2500</v>
          </cell>
          <cell r="AG1223">
            <v>5450.9090909090901</v>
          </cell>
          <cell r="AH1223">
            <v>545.09090909090992</v>
          </cell>
          <cell r="AI1223">
            <v>5996</v>
          </cell>
          <cell r="AK1223">
            <v>3178.1818181818176</v>
          </cell>
        </row>
        <row r="1224">
          <cell r="H1224">
            <v>84338776176</v>
          </cell>
          <cell r="I1224">
            <v>31171575</v>
          </cell>
          <cell r="J1224" t="str">
            <v/>
          </cell>
          <cell r="K1224" t="str">
            <v>-</v>
          </cell>
          <cell r="L1224">
            <v>8840</v>
          </cell>
          <cell r="M1224">
            <v>8840</v>
          </cell>
          <cell r="Q1224">
            <v>9430</v>
          </cell>
          <cell r="R1224">
            <v>84338776176</v>
          </cell>
          <cell r="Y1224" t="str">
            <v>컬러젤리 케이스 아이폰13미니 블랙</v>
          </cell>
          <cell r="AC1224">
            <v>2272.7272727272725</v>
          </cell>
          <cell r="AD1224">
            <v>227.27272727272725</v>
          </cell>
          <cell r="AE1224">
            <v>2500</v>
          </cell>
          <cell r="AG1224">
            <v>4905.454545454545</v>
          </cell>
          <cell r="AH1224">
            <v>490.54545454545496</v>
          </cell>
          <cell r="AI1224">
            <v>5396</v>
          </cell>
          <cell r="AK1224">
            <v>2632.7272727272725</v>
          </cell>
        </row>
        <row r="1225">
          <cell r="H1225">
            <v>84338775895</v>
          </cell>
          <cell r="I1225">
            <v>31171562</v>
          </cell>
          <cell r="J1225" t="str">
            <v/>
          </cell>
          <cell r="K1225" t="str">
            <v>-</v>
          </cell>
          <cell r="L1225">
            <v>9560</v>
          </cell>
          <cell r="M1225">
            <v>9560</v>
          </cell>
          <cell r="Q1225">
            <v>9560</v>
          </cell>
          <cell r="R1225">
            <v>84338775895</v>
          </cell>
          <cell r="Y1225" t="str">
            <v>컬러젤리 케이스 아이폰13미니 옐로우</v>
          </cell>
          <cell r="AC1225">
            <v>2272.7272727272725</v>
          </cell>
          <cell r="AD1225">
            <v>227.27272727272725</v>
          </cell>
          <cell r="AE1225">
            <v>2500</v>
          </cell>
          <cell r="AG1225">
            <v>5450.9090909090901</v>
          </cell>
          <cell r="AH1225">
            <v>545.09090909090992</v>
          </cell>
          <cell r="AI1225">
            <v>5996</v>
          </cell>
          <cell r="AK1225">
            <v>3178.1818181818176</v>
          </cell>
        </row>
        <row r="1226">
          <cell r="H1226">
            <v>84338778887</v>
          </cell>
          <cell r="I1226">
            <v>31171708</v>
          </cell>
          <cell r="J1226" t="str">
            <v/>
          </cell>
          <cell r="K1226" t="str">
            <v>-</v>
          </cell>
          <cell r="L1226">
            <v>8840</v>
          </cell>
          <cell r="M1226">
            <v>8840</v>
          </cell>
          <cell r="Q1226">
            <v>9430</v>
          </cell>
          <cell r="R1226">
            <v>84338778887</v>
          </cell>
          <cell r="Y1226" t="str">
            <v>컬러젤리 케이스 아이폰13미니 핑크</v>
          </cell>
          <cell r="AC1226">
            <v>2272.7272727272725</v>
          </cell>
          <cell r="AD1226">
            <v>227.27272727272725</v>
          </cell>
          <cell r="AE1226">
            <v>2500</v>
          </cell>
          <cell r="AG1226">
            <v>4905.454545454545</v>
          </cell>
          <cell r="AH1226">
            <v>490.54545454545496</v>
          </cell>
          <cell r="AI1226">
            <v>5396</v>
          </cell>
          <cell r="AK1226">
            <v>2632.7272727272725</v>
          </cell>
        </row>
        <row r="1227">
          <cell r="H1227">
            <v>84338778240</v>
          </cell>
          <cell r="I1227">
            <v>31171669</v>
          </cell>
          <cell r="J1227" t="str">
            <v/>
          </cell>
          <cell r="K1227" t="str">
            <v>-</v>
          </cell>
          <cell r="L1227">
            <v>8840</v>
          </cell>
          <cell r="M1227">
            <v>8840</v>
          </cell>
          <cell r="Q1227">
            <v>9430</v>
          </cell>
          <cell r="R1227">
            <v>84338778240</v>
          </cell>
          <cell r="Y1227" t="str">
            <v>컬러젤리 케이스 아이폰13프로 그레이</v>
          </cell>
          <cell r="AC1227">
            <v>2272.7272727272725</v>
          </cell>
          <cell r="AD1227">
            <v>227.27272727272725</v>
          </cell>
          <cell r="AE1227">
            <v>2500</v>
          </cell>
          <cell r="AG1227">
            <v>5450.9090909090901</v>
          </cell>
          <cell r="AH1227">
            <v>545.09090909090992</v>
          </cell>
          <cell r="AI1227">
            <v>5996</v>
          </cell>
          <cell r="AK1227">
            <v>3178.1818181818176</v>
          </cell>
        </row>
        <row r="1228">
          <cell r="H1228">
            <v>84338778692</v>
          </cell>
          <cell r="I1228">
            <v>31171693</v>
          </cell>
          <cell r="J1228" t="str">
            <v/>
          </cell>
          <cell r="K1228" t="str">
            <v>-</v>
          </cell>
          <cell r="L1228">
            <v>8840</v>
          </cell>
          <cell r="M1228">
            <v>8840</v>
          </cell>
          <cell r="Q1228">
            <v>9430</v>
          </cell>
          <cell r="R1228">
            <v>84338778692</v>
          </cell>
          <cell r="Y1228" t="str">
            <v>컬러젤리 케이스 아이폰13프로 그린</v>
          </cell>
          <cell r="AC1228">
            <v>2272.7272727272725</v>
          </cell>
          <cell r="AD1228">
            <v>227.27272727272725</v>
          </cell>
          <cell r="AE1228">
            <v>2500</v>
          </cell>
          <cell r="AG1228">
            <v>4905.454545454545</v>
          </cell>
          <cell r="AH1228">
            <v>490.54545454545496</v>
          </cell>
          <cell r="AI1228">
            <v>5396</v>
          </cell>
          <cell r="AK1228">
            <v>2632.7272727272725</v>
          </cell>
        </row>
        <row r="1229">
          <cell r="H1229">
            <v>84338777845</v>
          </cell>
          <cell r="I1229">
            <v>31171649</v>
          </cell>
          <cell r="J1229" t="str">
            <v/>
          </cell>
          <cell r="K1229" t="str">
            <v>-</v>
          </cell>
          <cell r="L1229">
            <v>8840</v>
          </cell>
          <cell r="M1229">
            <v>8840</v>
          </cell>
          <cell r="Q1229">
            <v>9430</v>
          </cell>
          <cell r="R1229">
            <v>84338777845</v>
          </cell>
          <cell r="Y1229" t="str">
            <v>컬러젤리 케이스 아이폰13프로 네이비</v>
          </cell>
          <cell r="AC1229">
            <v>2272.7272727272725</v>
          </cell>
          <cell r="AD1229">
            <v>227.27272727272725</v>
          </cell>
          <cell r="AE1229">
            <v>2500</v>
          </cell>
          <cell r="AG1229">
            <v>5450.9090909090901</v>
          </cell>
          <cell r="AH1229">
            <v>545.09090909090992</v>
          </cell>
          <cell r="AI1229">
            <v>5996</v>
          </cell>
          <cell r="AK1229">
            <v>3178.1818181818176</v>
          </cell>
        </row>
        <row r="1230">
          <cell r="H1230">
            <v>84338777157</v>
          </cell>
          <cell r="I1230">
            <v>31171620</v>
          </cell>
          <cell r="J1230" t="str">
            <v/>
          </cell>
          <cell r="K1230" t="str">
            <v>-</v>
          </cell>
          <cell r="L1230">
            <v>8840</v>
          </cell>
          <cell r="M1230">
            <v>8840</v>
          </cell>
          <cell r="Q1230">
            <v>9430</v>
          </cell>
          <cell r="R1230">
            <v>84338777157</v>
          </cell>
          <cell r="Y1230" t="str">
            <v>컬러젤리 케이스 아이폰13프로 레드</v>
          </cell>
          <cell r="AC1230">
            <v>2272.7272727272725</v>
          </cell>
          <cell r="AD1230">
            <v>227.27272727272725</v>
          </cell>
          <cell r="AE1230">
            <v>2500</v>
          </cell>
          <cell r="AG1230">
            <v>5450.9090909090901</v>
          </cell>
          <cell r="AH1230">
            <v>545.09090909090992</v>
          </cell>
          <cell r="AI1230">
            <v>5996</v>
          </cell>
          <cell r="AK1230">
            <v>3178.1818181818176</v>
          </cell>
        </row>
        <row r="1231">
          <cell r="H1231">
            <v>84338776231</v>
          </cell>
          <cell r="I1231">
            <v>31171577</v>
          </cell>
          <cell r="J1231" t="str">
            <v/>
          </cell>
          <cell r="K1231" t="str">
            <v>-</v>
          </cell>
          <cell r="L1231">
            <v>8840</v>
          </cell>
          <cell r="M1231">
            <v>8840</v>
          </cell>
          <cell r="Q1231">
            <v>9430</v>
          </cell>
          <cell r="R1231">
            <v>84338776231</v>
          </cell>
          <cell r="Y1231" t="str">
            <v>컬러젤리 케이스 아이폰13프로 블랙</v>
          </cell>
          <cell r="AC1231">
            <v>2272.7272727272725</v>
          </cell>
          <cell r="AD1231">
            <v>227.27272727272725</v>
          </cell>
          <cell r="AE1231">
            <v>2500</v>
          </cell>
          <cell r="AG1231">
            <v>4905.454545454545</v>
          </cell>
          <cell r="AH1231">
            <v>490.54545454545496</v>
          </cell>
          <cell r="AI1231">
            <v>5396</v>
          </cell>
          <cell r="AK1231">
            <v>2632.7272727272725</v>
          </cell>
        </row>
        <row r="1232">
          <cell r="H1232">
            <v>84338775913</v>
          </cell>
          <cell r="I1232">
            <v>31171563</v>
          </cell>
          <cell r="J1232" t="str">
            <v/>
          </cell>
          <cell r="K1232" t="str">
            <v>-</v>
          </cell>
          <cell r="L1232">
            <v>8840</v>
          </cell>
          <cell r="M1232">
            <v>8840</v>
          </cell>
          <cell r="Q1232">
            <v>9430</v>
          </cell>
          <cell r="R1232">
            <v>84338775913</v>
          </cell>
          <cell r="Y1232" t="str">
            <v>컬러젤리 케이스 아이폰13프로 옐로우</v>
          </cell>
          <cell r="AC1232">
            <v>2272.7272727272725</v>
          </cell>
          <cell r="AD1232">
            <v>227.27272727272725</v>
          </cell>
          <cell r="AE1232">
            <v>2500</v>
          </cell>
          <cell r="AG1232">
            <v>5450.9090909090901</v>
          </cell>
          <cell r="AH1232">
            <v>545.09090909090992</v>
          </cell>
          <cell r="AI1232">
            <v>5996</v>
          </cell>
          <cell r="AK1232">
            <v>3178.1818181818176</v>
          </cell>
        </row>
        <row r="1233">
          <cell r="H1233">
            <v>84338775672</v>
          </cell>
          <cell r="I1233">
            <v>31171549</v>
          </cell>
          <cell r="J1233" t="str">
            <v/>
          </cell>
          <cell r="K1233" t="str">
            <v>-</v>
          </cell>
          <cell r="L1233">
            <v>8840</v>
          </cell>
          <cell r="M1233">
            <v>8840</v>
          </cell>
          <cell r="Q1233">
            <v>9430</v>
          </cell>
          <cell r="R1233">
            <v>84338775672</v>
          </cell>
          <cell r="Y1233" t="str">
            <v>컬러젤리 케이스 아이폰13프로 핑크</v>
          </cell>
          <cell r="AC1233">
            <v>2272.7272727272725</v>
          </cell>
          <cell r="AD1233">
            <v>227.27272727272725</v>
          </cell>
          <cell r="AE1233">
            <v>2500</v>
          </cell>
          <cell r="AG1233">
            <v>4905.454545454545</v>
          </cell>
          <cell r="AH1233">
            <v>490.54545454545496</v>
          </cell>
          <cell r="AI1233">
            <v>5396</v>
          </cell>
          <cell r="AK1233">
            <v>2632.7272727272725</v>
          </cell>
        </row>
        <row r="1234">
          <cell r="H1234">
            <v>84338778428</v>
          </cell>
          <cell r="I1234">
            <v>31171678</v>
          </cell>
          <cell r="J1234" t="str">
            <v/>
          </cell>
          <cell r="K1234" t="str">
            <v>-</v>
          </cell>
          <cell r="L1234">
            <v>8850</v>
          </cell>
          <cell r="M1234">
            <v>8850</v>
          </cell>
          <cell r="Q1234">
            <v>9430</v>
          </cell>
          <cell r="R1234">
            <v>84338778428</v>
          </cell>
          <cell r="Y1234" t="str">
            <v>컬러젤리 케이스 아이폰13프로맥스 그레이</v>
          </cell>
          <cell r="AC1234">
            <v>2272.7272727272725</v>
          </cell>
          <cell r="AD1234">
            <v>227.27272727272725</v>
          </cell>
          <cell r="AE1234">
            <v>2500</v>
          </cell>
          <cell r="AG1234">
            <v>5450.9090909090901</v>
          </cell>
          <cell r="AH1234">
            <v>545.09090909090992</v>
          </cell>
          <cell r="AI1234">
            <v>5996</v>
          </cell>
          <cell r="AK1234">
            <v>3178.1818181818176</v>
          </cell>
        </row>
        <row r="1235">
          <cell r="H1235">
            <v>84338778658</v>
          </cell>
          <cell r="I1235">
            <v>31171691</v>
          </cell>
          <cell r="J1235" t="str">
            <v/>
          </cell>
          <cell r="K1235" t="str">
            <v>-</v>
          </cell>
          <cell r="L1235">
            <v>8840</v>
          </cell>
          <cell r="M1235">
            <v>8840</v>
          </cell>
          <cell r="Q1235">
            <v>9430</v>
          </cell>
          <cell r="R1235">
            <v>84338778658</v>
          </cell>
          <cell r="Y1235" t="str">
            <v>컬러젤리 케이스 아이폰13프로맥스 그린</v>
          </cell>
          <cell r="AC1235">
            <v>2272.7272727272725</v>
          </cell>
          <cell r="AD1235">
            <v>227.27272727272725</v>
          </cell>
          <cell r="AE1235">
            <v>2500</v>
          </cell>
          <cell r="AG1235">
            <v>5450.9090909090901</v>
          </cell>
          <cell r="AH1235">
            <v>545.09090909090992</v>
          </cell>
          <cell r="AI1235">
            <v>5996</v>
          </cell>
          <cell r="AK1235">
            <v>3178.1818181818176</v>
          </cell>
        </row>
        <row r="1236">
          <cell r="H1236">
            <v>84338777803</v>
          </cell>
          <cell r="I1236">
            <v>31171647</v>
          </cell>
          <cell r="J1236" t="str">
            <v/>
          </cell>
          <cell r="K1236" t="str">
            <v>-</v>
          </cell>
          <cell r="L1236">
            <v>8840</v>
          </cell>
          <cell r="M1236">
            <v>8840</v>
          </cell>
          <cell r="Q1236">
            <v>9430</v>
          </cell>
          <cell r="R1236">
            <v>84338777803</v>
          </cell>
          <cell r="Y1236" t="str">
            <v>컬러젤리 케이스 아이폰13프로맥스 네이비</v>
          </cell>
          <cell r="AC1236">
            <v>2272.7272727272725</v>
          </cell>
          <cell r="AD1236">
            <v>227.27272727272725</v>
          </cell>
          <cell r="AE1236">
            <v>2500</v>
          </cell>
          <cell r="AG1236">
            <v>5450.9090909090901</v>
          </cell>
          <cell r="AH1236">
            <v>545.09090909090992</v>
          </cell>
          <cell r="AI1236">
            <v>5996</v>
          </cell>
          <cell r="AK1236">
            <v>3178.1818181818176</v>
          </cell>
        </row>
        <row r="1237">
          <cell r="H1237">
            <v>84338777969</v>
          </cell>
          <cell r="I1237">
            <v>31171655</v>
          </cell>
          <cell r="J1237" t="str">
            <v/>
          </cell>
          <cell r="K1237" t="str">
            <v>-</v>
          </cell>
          <cell r="L1237">
            <v>8840</v>
          </cell>
          <cell r="M1237">
            <v>8840</v>
          </cell>
          <cell r="Q1237">
            <v>9430</v>
          </cell>
          <cell r="R1237">
            <v>84338777969</v>
          </cell>
          <cell r="Y1237" t="str">
            <v>컬러젤리 케이스 아이폰13프로맥스 레드</v>
          </cell>
          <cell r="AC1237">
            <v>2272.7272727272725</v>
          </cell>
          <cell r="AD1237">
            <v>227.27272727272725</v>
          </cell>
          <cell r="AE1237">
            <v>2500</v>
          </cell>
          <cell r="AG1237">
            <v>5450.9090909090901</v>
          </cell>
          <cell r="AH1237">
            <v>545.09090909090992</v>
          </cell>
          <cell r="AI1237">
            <v>5996</v>
          </cell>
          <cell r="AK1237">
            <v>3178.1818181818176</v>
          </cell>
        </row>
        <row r="1238">
          <cell r="H1238">
            <v>84338776203</v>
          </cell>
          <cell r="I1238">
            <v>31171576</v>
          </cell>
          <cell r="J1238" t="str">
            <v/>
          </cell>
          <cell r="K1238" t="str">
            <v>-</v>
          </cell>
          <cell r="L1238">
            <v>8840</v>
          </cell>
          <cell r="M1238">
            <v>8840</v>
          </cell>
          <cell r="Q1238">
            <v>9430</v>
          </cell>
          <cell r="R1238">
            <v>84338776203</v>
          </cell>
          <cell r="Y1238" t="str">
            <v>컬러젤리 케이스 아이폰13프로맥스 블랙</v>
          </cell>
          <cell r="AC1238">
            <v>2272.7272727272725</v>
          </cell>
          <cell r="AD1238">
            <v>227.27272727272725</v>
          </cell>
          <cell r="AE1238">
            <v>2500</v>
          </cell>
          <cell r="AG1238">
            <v>5450.9090909090901</v>
          </cell>
          <cell r="AH1238">
            <v>545.09090909090992</v>
          </cell>
          <cell r="AI1238">
            <v>5996</v>
          </cell>
          <cell r="AK1238">
            <v>3178.1818181818176</v>
          </cell>
        </row>
        <row r="1239">
          <cell r="H1239">
            <v>84338775961</v>
          </cell>
          <cell r="I1239">
            <v>31171565</v>
          </cell>
          <cell r="J1239" t="str">
            <v/>
          </cell>
          <cell r="K1239" t="str">
            <v>-</v>
          </cell>
          <cell r="L1239">
            <v>8840</v>
          </cell>
          <cell r="M1239">
            <v>8840</v>
          </cell>
          <cell r="Q1239">
            <v>9430</v>
          </cell>
          <cell r="R1239">
            <v>84338775961</v>
          </cell>
          <cell r="Y1239" t="str">
            <v>컬러젤리 케이스 아이폰13프로맥스 옐로우</v>
          </cell>
          <cell r="AC1239">
            <v>2272.7272727272725</v>
          </cell>
          <cell r="AD1239">
            <v>227.27272727272725</v>
          </cell>
          <cell r="AE1239">
            <v>2500</v>
          </cell>
          <cell r="AG1239">
            <v>5450.9090909090901</v>
          </cell>
          <cell r="AH1239">
            <v>545.09090909090992</v>
          </cell>
          <cell r="AI1239">
            <v>5996</v>
          </cell>
          <cell r="AK1239">
            <v>3178.1818181818176</v>
          </cell>
        </row>
        <row r="1240">
          <cell r="H1240">
            <v>84338775653</v>
          </cell>
          <cell r="I1240">
            <v>31171548</v>
          </cell>
          <cell r="J1240">
            <v>1</v>
          </cell>
          <cell r="K1240" t="str">
            <v>-</v>
          </cell>
          <cell r="L1240">
            <v>8840</v>
          </cell>
          <cell r="M1240">
            <v>8840</v>
          </cell>
          <cell r="Q1240">
            <v>9430</v>
          </cell>
          <cell r="R1240">
            <v>84338775653</v>
          </cell>
          <cell r="Y1240" t="str">
            <v>컬러젤리 케이스 아이폰13프로맥스 핑크</v>
          </cell>
          <cell r="AC1240">
            <v>2272.7272727272725</v>
          </cell>
          <cell r="AD1240">
            <v>227.27272727272725</v>
          </cell>
          <cell r="AE1240">
            <v>2500</v>
          </cell>
          <cell r="AG1240">
            <v>5450.9090909090901</v>
          </cell>
          <cell r="AH1240">
            <v>545.09090909090992</v>
          </cell>
          <cell r="AI1240">
            <v>5996</v>
          </cell>
          <cell r="AK1240">
            <v>3178.1818181818176</v>
          </cell>
        </row>
        <row r="1241">
          <cell r="H1241">
            <v>84338778478</v>
          </cell>
          <cell r="I1241">
            <v>31171680</v>
          </cell>
          <cell r="J1241" t="str">
            <v/>
          </cell>
          <cell r="K1241" t="str">
            <v>-</v>
          </cell>
          <cell r="L1241">
            <v>8840</v>
          </cell>
          <cell r="M1241">
            <v>8840</v>
          </cell>
          <cell r="Q1241">
            <v>9430</v>
          </cell>
          <cell r="R1241">
            <v>84338778478</v>
          </cell>
          <cell r="Y1241" t="str">
            <v>컬러젤리 케이스 아이폰14 그레이</v>
          </cell>
          <cell r="AC1241">
            <v>2272.7272727272725</v>
          </cell>
          <cell r="AD1241">
            <v>227.27272727272725</v>
          </cell>
          <cell r="AE1241">
            <v>2500</v>
          </cell>
          <cell r="AG1241">
            <v>4905.454545454545</v>
          </cell>
          <cell r="AH1241">
            <v>490.54545454545496</v>
          </cell>
          <cell r="AI1241">
            <v>5396</v>
          </cell>
          <cell r="AK1241">
            <v>2632.7272727272725</v>
          </cell>
        </row>
        <row r="1242">
          <cell r="H1242">
            <v>84338778644</v>
          </cell>
          <cell r="I1242">
            <v>31171690</v>
          </cell>
          <cell r="J1242" t="str">
            <v/>
          </cell>
          <cell r="K1242" t="str">
            <v>-</v>
          </cell>
          <cell r="L1242">
            <v>8840</v>
          </cell>
          <cell r="M1242">
            <v>8840</v>
          </cell>
          <cell r="Q1242">
            <v>9430</v>
          </cell>
          <cell r="R1242">
            <v>84338778644</v>
          </cell>
          <cell r="Y1242" t="str">
            <v>컬러젤리 케이스 아이폰14 그린</v>
          </cell>
          <cell r="AC1242">
            <v>2272.7272727272725</v>
          </cell>
          <cell r="AD1242">
            <v>227.27272727272725</v>
          </cell>
          <cell r="AE1242">
            <v>2500</v>
          </cell>
          <cell r="AG1242">
            <v>4905.454545454545</v>
          </cell>
          <cell r="AH1242">
            <v>490.54545454545496</v>
          </cell>
          <cell r="AI1242">
            <v>5396</v>
          </cell>
          <cell r="AK1242">
            <v>2632.7272727272725</v>
          </cell>
        </row>
        <row r="1243">
          <cell r="H1243">
            <v>84338777780</v>
          </cell>
          <cell r="I1243">
            <v>31171646</v>
          </cell>
          <cell r="J1243" t="str">
            <v/>
          </cell>
          <cell r="K1243" t="str">
            <v>-</v>
          </cell>
          <cell r="L1243">
            <v>8840</v>
          </cell>
          <cell r="M1243">
            <v>8840</v>
          </cell>
          <cell r="Q1243">
            <v>9430</v>
          </cell>
          <cell r="R1243">
            <v>84338777780</v>
          </cell>
          <cell r="Y1243" t="str">
            <v>컬러젤리 케이스 아이폰14 네이비</v>
          </cell>
          <cell r="AC1243">
            <v>2272.7272727272725</v>
          </cell>
          <cell r="AD1243">
            <v>227.27272727272725</v>
          </cell>
          <cell r="AE1243">
            <v>2500</v>
          </cell>
          <cell r="AG1243">
            <v>5450.9090909090901</v>
          </cell>
          <cell r="AH1243">
            <v>545.09090909090992</v>
          </cell>
          <cell r="AI1243">
            <v>5996</v>
          </cell>
          <cell r="AK1243">
            <v>3178.1818181818176</v>
          </cell>
        </row>
        <row r="1244">
          <cell r="H1244">
            <v>84338777906</v>
          </cell>
          <cell r="I1244">
            <v>31171652</v>
          </cell>
          <cell r="J1244" t="str">
            <v/>
          </cell>
          <cell r="K1244" t="str">
            <v>-</v>
          </cell>
          <cell r="L1244">
            <v>8840</v>
          </cell>
          <cell r="M1244">
            <v>8840</v>
          </cell>
          <cell r="Q1244">
            <v>9430</v>
          </cell>
          <cell r="R1244">
            <v>84338777906</v>
          </cell>
          <cell r="Y1244" t="str">
            <v>컬러젤리 케이스 아이폰14 레드</v>
          </cell>
          <cell r="AC1244">
            <v>2272.7272727272725</v>
          </cell>
          <cell r="AD1244">
            <v>227.27272727272725</v>
          </cell>
          <cell r="AE1244">
            <v>2500</v>
          </cell>
          <cell r="AG1244">
            <v>5450.9090909090901</v>
          </cell>
          <cell r="AH1244">
            <v>545.09090909090992</v>
          </cell>
          <cell r="AI1244">
            <v>5996</v>
          </cell>
          <cell r="AK1244">
            <v>3178.1818181818176</v>
          </cell>
        </row>
        <row r="1245">
          <cell r="H1245">
            <v>84338776298</v>
          </cell>
          <cell r="I1245">
            <v>31171581</v>
          </cell>
          <cell r="J1245" t="str">
            <v/>
          </cell>
          <cell r="K1245" t="str">
            <v>-</v>
          </cell>
          <cell r="L1245">
            <v>8850</v>
          </cell>
          <cell r="M1245">
            <v>8850</v>
          </cell>
          <cell r="Q1245">
            <v>9430</v>
          </cell>
          <cell r="R1245">
            <v>84338776298</v>
          </cell>
          <cell r="Y1245" t="str">
            <v>컬러젤리 케이스 아이폰14 블랙</v>
          </cell>
          <cell r="AC1245">
            <v>2272.7272727272725</v>
          </cell>
          <cell r="AD1245">
            <v>227.27272727272725</v>
          </cell>
          <cell r="AE1245">
            <v>2500</v>
          </cell>
          <cell r="AG1245">
            <v>5450.9090909090901</v>
          </cell>
          <cell r="AH1245">
            <v>545.09090909090992</v>
          </cell>
          <cell r="AI1245">
            <v>5996</v>
          </cell>
          <cell r="AK1245">
            <v>3178.1818181818176</v>
          </cell>
        </row>
        <row r="1246">
          <cell r="H1246">
            <v>84338776007</v>
          </cell>
          <cell r="I1246">
            <v>31171567</v>
          </cell>
          <cell r="J1246">
            <v>7</v>
          </cell>
          <cell r="K1246" t="str">
            <v>-</v>
          </cell>
          <cell r="L1246">
            <v>6650</v>
          </cell>
          <cell r="M1246">
            <v>6650</v>
          </cell>
          <cell r="Q1246">
            <v>6650</v>
          </cell>
          <cell r="R1246">
            <v>84338776007</v>
          </cell>
          <cell r="Y1246" t="str">
            <v>컬러젤리 케이스 아이폰14 옐로우</v>
          </cell>
          <cell r="AC1246">
            <v>2272.7272727272725</v>
          </cell>
          <cell r="AD1246">
            <v>227.27272727272725</v>
          </cell>
          <cell r="AE1246">
            <v>2500</v>
          </cell>
          <cell r="AG1246">
            <v>5450.9090909090901</v>
          </cell>
          <cell r="AH1246">
            <v>545.09090909090992</v>
          </cell>
          <cell r="AI1246">
            <v>5996</v>
          </cell>
          <cell r="AK1246">
            <v>3178.1818181818176</v>
          </cell>
        </row>
        <row r="1247">
          <cell r="H1247">
            <v>84338775704</v>
          </cell>
          <cell r="I1247">
            <v>31171551</v>
          </cell>
          <cell r="J1247">
            <v>1</v>
          </cell>
          <cell r="K1247" t="str">
            <v>-</v>
          </cell>
          <cell r="L1247">
            <v>8840</v>
          </cell>
          <cell r="M1247">
            <v>8840</v>
          </cell>
          <cell r="Q1247">
            <v>9430</v>
          </cell>
          <cell r="R1247">
            <v>84338775704</v>
          </cell>
          <cell r="Y1247" t="str">
            <v>컬러젤리 케이스 아이폰14 핑크</v>
          </cell>
          <cell r="AC1247">
            <v>2272.7272727272725</v>
          </cell>
          <cell r="AD1247">
            <v>227.27272727272725</v>
          </cell>
          <cell r="AE1247">
            <v>2500</v>
          </cell>
          <cell r="AG1247">
            <v>5450.9090909090901</v>
          </cell>
          <cell r="AH1247">
            <v>545.09090909090992</v>
          </cell>
          <cell r="AI1247">
            <v>5996</v>
          </cell>
          <cell r="AK1247">
            <v>3178.1818181818176</v>
          </cell>
        </row>
        <row r="1248">
          <cell r="H1248">
            <v>84338778449</v>
          </cell>
          <cell r="I1248">
            <v>31171679</v>
          </cell>
          <cell r="J1248">
            <v>24</v>
          </cell>
          <cell r="K1248" t="str">
            <v>-</v>
          </cell>
          <cell r="L1248">
            <v>8840</v>
          </cell>
          <cell r="M1248">
            <v>8840</v>
          </cell>
          <cell r="Q1248">
            <v>9430</v>
          </cell>
          <cell r="R1248">
            <v>84338778449</v>
          </cell>
          <cell r="Y1248" t="str">
            <v>컬러젤리 케이스 아이폰14프로 그레이</v>
          </cell>
          <cell r="AC1248">
            <v>2272.7272727272725</v>
          </cell>
          <cell r="AD1248">
            <v>227.27272727272725</v>
          </cell>
          <cell r="AE1248">
            <v>2500</v>
          </cell>
          <cell r="AG1248">
            <v>4905.454545454545</v>
          </cell>
          <cell r="AH1248">
            <v>490.54545454545496</v>
          </cell>
          <cell r="AI1248">
            <v>5396</v>
          </cell>
          <cell r="AK1248">
            <v>2632.7272727272725</v>
          </cell>
        </row>
        <row r="1249">
          <cell r="H1249">
            <v>84338778585</v>
          </cell>
          <cell r="I1249">
            <v>31171687</v>
          </cell>
          <cell r="J1249" t="str">
            <v/>
          </cell>
          <cell r="K1249" t="str">
            <v>-</v>
          </cell>
          <cell r="L1249">
            <v>8840</v>
          </cell>
          <cell r="M1249">
            <v>8840</v>
          </cell>
          <cell r="Q1249">
            <v>9430</v>
          </cell>
          <cell r="R1249">
            <v>84338778585</v>
          </cell>
          <cell r="Y1249" t="str">
            <v>컬러젤리 케이스 아이폰14프로 그린</v>
          </cell>
          <cell r="AC1249">
            <v>2272.7272727272725</v>
          </cell>
          <cell r="AD1249">
            <v>227.27272727272725</v>
          </cell>
          <cell r="AE1249">
            <v>2500</v>
          </cell>
          <cell r="AG1249">
            <v>5450.9090909090901</v>
          </cell>
          <cell r="AH1249">
            <v>545.09090909090992</v>
          </cell>
          <cell r="AI1249">
            <v>5996</v>
          </cell>
          <cell r="AK1249">
            <v>3178.1818181818176</v>
          </cell>
        </row>
        <row r="1250">
          <cell r="H1250">
            <v>84338777692</v>
          </cell>
          <cell r="I1250">
            <v>31171643</v>
          </cell>
          <cell r="J1250" t="str">
            <v/>
          </cell>
          <cell r="K1250" t="str">
            <v>-</v>
          </cell>
          <cell r="L1250">
            <v>8840</v>
          </cell>
          <cell r="M1250">
            <v>8840</v>
          </cell>
          <cell r="Q1250">
            <v>9430</v>
          </cell>
          <cell r="R1250">
            <v>84338777692</v>
          </cell>
          <cell r="Y1250" t="str">
            <v>컬러젤리 케이스 아이폰14프로 네이비</v>
          </cell>
          <cell r="AC1250">
            <v>2272.7272727272725</v>
          </cell>
          <cell r="AD1250">
            <v>227.27272727272725</v>
          </cell>
          <cell r="AE1250">
            <v>2500</v>
          </cell>
          <cell r="AG1250">
            <v>4905.454545454545</v>
          </cell>
          <cell r="AH1250">
            <v>490.54545454545496</v>
          </cell>
          <cell r="AI1250">
            <v>5396</v>
          </cell>
          <cell r="AK1250">
            <v>2632.7272727272725</v>
          </cell>
        </row>
        <row r="1251">
          <cell r="H1251">
            <v>84338777519</v>
          </cell>
          <cell r="I1251">
            <v>31171635</v>
          </cell>
          <cell r="J1251" t="str">
            <v/>
          </cell>
          <cell r="K1251" t="str">
            <v>-</v>
          </cell>
          <cell r="L1251">
            <v>8840</v>
          </cell>
          <cell r="M1251">
            <v>8840</v>
          </cell>
          <cell r="Q1251">
            <v>9430</v>
          </cell>
          <cell r="R1251">
            <v>84338777519</v>
          </cell>
          <cell r="Y1251" t="str">
            <v>컬러젤리 케이스 아이폰14프로 레드</v>
          </cell>
          <cell r="AC1251">
            <v>2272.7272727272725</v>
          </cell>
          <cell r="AD1251">
            <v>227.27272727272725</v>
          </cell>
          <cell r="AE1251">
            <v>2500</v>
          </cell>
          <cell r="AG1251">
            <v>5450.9090909090901</v>
          </cell>
          <cell r="AH1251">
            <v>545.09090909090992</v>
          </cell>
          <cell r="AI1251">
            <v>5996</v>
          </cell>
          <cell r="AK1251">
            <v>3178.1818181818176</v>
          </cell>
        </row>
        <row r="1252">
          <cell r="H1252">
            <v>84338776254</v>
          </cell>
          <cell r="I1252">
            <v>31171578</v>
          </cell>
          <cell r="J1252" t="str">
            <v/>
          </cell>
          <cell r="K1252" t="str">
            <v>-</v>
          </cell>
          <cell r="L1252">
            <v>8840</v>
          </cell>
          <cell r="M1252">
            <v>8840</v>
          </cell>
          <cell r="Q1252">
            <v>9430</v>
          </cell>
          <cell r="R1252">
            <v>84338776254</v>
          </cell>
          <cell r="Y1252" t="str">
            <v>컬러젤리 케이스 아이폰14프로 블랙</v>
          </cell>
          <cell r="AC1252">
            <v>2272.7272727272725</v>
          </cell>
          <cell r="AD1252">
            <v>227.27272727272725</v>
          </cell>
          <cell r="AE1252">
            <v>2500</v>
          </cell>
          <cell r="AG1252">
            <v>4905.454545454545</v>
          </cell>
          <cell r="AH1252">
            <v>490.54545454545496</v>
          </cell>
          <cell r="AI1252">
            <v>5396</v>
          </cell>
          <cell r="AK1252">
            <v>2632.7272727272725</v>
          </cell>
        </row>
        <row r="1253">
          <cell r="H1253">
            <v>84338776053</v>
          </cell>
          <cell r="I1253">
            <v>31171569</v>
          </cell>
          <cell r="J1253" t="str">
            <v/>
          </cell>
          <cell r="K1253" t="str">
            <v>-</v>
          </cell>
          <cell r="L1253">
            <v>6400</v>
          </cell>
          <cell r="M1253">
            <v>6400</v>
          </cell>
          <cell r="Q1253">
            <v>6400</v>
          </cell>
          <cell r="R1253">
            <v>84338776053</v>
          </cell>
          <cell r="Y1253" t="str">
            <v>컬러젤리 케이스 아이폰14프로 옐로우</v>
          </cell>
          <cell r="AC1253">
            <v>2272.7272727272725</v>
          </cell>
          <cell r="AD1253">
            <v>227.27272727272725</v>
          </cell>
          <cell r="AE1253">
            <v>2500</v>
          </cell>
          <cell r="AG1253">
            <v>5450.9090909090901</v>
          </cell>
          <cell r="AH1253">
            <v>545.09090909090992</v>
          </cell>
          <cell r="AI1253">
            <v>5996</v>
          </cell>
          <cell r="AK1253">
            <v>3178.1818181818176</v>
          </cell>
        </row>
        <row r="1254">
          <cell r="H1254">
            <v>84338775692</v>
          </cell>
          <cell r="I1254">
            <v>31171550</v>
          </cell>
          <cell r="J1254" t="str">
            <v/>
          </cell>
          <cell r="K1254" t="str">
            <v>-</v>
          </cell>
          <cell r="L1254">
            <v>8840</v>
          </cell>
          <cell r="M1254">
            <v>8840</v>
          </cell>
          <cell r="Q1254">
            <v>9430</v>
          </cell>
          <cell r="R1254">
            <v>84338775692</v>
          </cell>
          <cell r="Y1254" t="str">
            <v>컬러젤리 케이스 아이폰14프로 핑크</v>
          </cell>
          <cell r="AC1254">
            <v>2272.7272727272725</v>
          </cell>
          <cell r="AD1254">
            <v>227.27272727272725</v>
          </cell>
          <cell r="AE1254">
            <v>2500</v>
          </cell>
          <cell r="AG1254">
            <v>5450.9090909090901</v>
          </cell>
          <cell r="AH1254">
            <v>545.09090909090992</v>
          </cell>
          <cell r="AI1254">
            <v>5996</v>
          </cell>
          <cell r="AK1254">
            <v>3178.1818181818176</v>
          </cell>
        </row>
        <row r="1255">
          <cell r="H1255">
            <v>87412848532</v>
          </cell>
          <cell r="I1255">
            <v>39605689</v>
          </cell>
          <cell r="J1255">
            <v>1</v>
          </cell>
          <cell r="K1255" t="str">
            <v>-</v>
          </cell>
          <cell r="L1255">
            <v>9750</v>
          </cell>
          <cell r="M1255">
            <v>9750</v>
          </cell>
          <cell r="Q1255">
            <v>10400</v>
          </cell>
          <cell r="R1255">
            <v>87412848532</v>
          </cell>
          <cell r="Y1255" t="str">
            <v>컬러젤리 휴대폰 케이스 아이폰15 그레이</v>
          </cell>
          <cell r="AC1255">
            <v>2800</v>
          </cell>
          <cell r="AD1255">
            <v>280</v>
          </cell>
          <cell r="AE1255">
            <v>3080</v>
          </cell>
          <cell r="AG1255">
            <v>5409.090909090909</v>
          </cell>
          <cell r="AH1255">
            <v>540.90909090909099</v>
          </cell>
          <cell r="AI1255">
            <v>5950</v>
          </cell>
          <cell r="AK1255">
            <v>2609.090909090909</v>
          </cell>
        </row>
        <row r="1256">
          <cell r="H1256">
            <v>87412848705</v>
          </cell>
          <cell r="I1256">
            <v>39605697</v>
          </cell>
          <cell r="J1256" t="str">
            <v/>
          </cell>
          <cell r="K1256" t="str">
            <v>-</v>
          </cell>
          <cell r="L1256">
            <v>9750</v>
          </cell>
          <cell r="M1256">
            <v>9750</v>
          </cell>
          <cell r="Q1256">
            <v>10400</v>
          </cell>
          <cell r="R1256">
            <v>87412848705</v>
          </cell>
          <cell r="Y1256" t="str">
            <v>컬러젤리 휴대폰 케이스 아이폰15 그린</v>
          </cell>
          <cell r="AC1256">
            <v>2800</v>
          </cell>
          <cell r="AD1256">
            <v>280</v>
          </cell>
          <cell r="AE1256">
            <v>3080</v>
          </cell>
          <cell r="AG1256">
            <v>5409.090909090909</v>
          </cell>
          <cell r="AH1256">
            <v>540.90909090909099</v>
          </cell>
          <cell r="AI1256">
            <v>5950</v>
          </cell>
          <cell r="AK1256">
            <v>2609.090909090909</v>
          </cell>
        </row>
        <row r="1257">
          <cell r="H1257">
            <v>87412848760</v>
          </cell>
          <cell r="I1257">
            <v>39605700</v>
          </cell>
          <cell r="J1257" t="str">
            <v/>
          </cell>
          <cell r="K1257" t="str">
            <v>-</v>
          </cell>
          <cell r="L1257">
            <v>9750</v>
          </cell>
          <cell r="M1257">
            <v>9750</v>
          </cell>
          <cell r="Q1257">
            <v>10400</v>
          </cell>
          <cell r="R1257">
            <v>87412848760</v>
          </cell>
          <cell r="Y1257" t="str">
            <v>컬러젤리 휴대폰 케이스 아이폰15 네이비</v>
          </cell>
          <cell r="AC1257">
            <v>2800</v>
          </cell>
          <cell r="AD1257">
            <v>280</v>
          </cell>
          <cell r="AE1257">
            <v>3080</v>
          </cell>
          <cell r="AG1257">
            <v>5409.090909090909</v>
          </cell>
          <cell r="AH1257">
            <v>540.90909090909099</v>
          </cell>
          <cell r="AI1257">
            <v>5950</v>
          </cell>
          <cell r="AK1257">
            <v>2609.090909090909</v>
          </cell>
        </row>
        <row r="1258">
          <cell r="H1258">
            <v>87412848835</v>
          </cell>
          <cell r="I1258">
            <v>39605705</v>
          </cell>
          <cell r="J1258" t="str">
            <v/>
          </cell>
          <cell r="K1258" t="str">
            <v>-</v>
          </cell>
          <cell r="L1258">
            <v>9750</v>
          </cell>
          <cell r="M1258">
            <v>9750</v>
          </cell>
          <cell r="Q1258">
            <v>10400</v>
          </cell>
          <cell r="R1258">
            <v>87412848835</v>
          </cell>
          <cell r="Y1258" t="str">
            <v>컬러젤리 휴대폰 케이스 아이폰15 블랙</v>
          </cell>
          <cell r="AC1258">
            <v>2800</v>
          </cell>
          <cell r="AD1258">
            <v>280</v>
          </cell>
          <cell r="AE1258">
            <v>3080</v>
          </cell>
          <cell r="AG1258">
            <v>5409.090909090909</v>
          </cell>
          <cell r="AH1258">
            <v>540.90909090909099</v>
          </cell>
          <cell r="AI1258">
            <v>5950</v>
          </cell>
          <cell r="AK1258">
            <v>2609.090909090909</v>
          </cell>
        </row>
        <row r="1259">
          <cell r="H1259">
            <v>87412848674</v>
          </cell>
          <cell r="I1259">
            <v>39605696</v>
          </cell>
          <cell r="J1259">
            <v>2</v>
          </cell>
          <cell r="K1259" t="str">
            <v>-</v>
          </cell>
          <cell r="L1259">
            <v>9750</v>
          </cell>
          <cell r="M1259">
            <v>9750</v>
          </cell>
          <cell r="Q1259">
            <v>10400</v>
          </cell>
          <cell r="R1259">
            <v>87412848674</v>
          </cell>
          <cell r="Y1259" t="str">
            <v>컬러젤리 휴대폰 케이스 아이폰15 핑크</v>
          </cell>
          <cell r="AC1259">
            <v>2800</v>
          </cell>
          <cell r="AD1259">
            <v>280</v>
          </cell>
          <cell r="AE1259">
            <v>3080</v>
          </cell>
          <cell r="AG1259">
            <v>5409.090909090909</v>
          </cell>
          <cell r="AH1259">
            <v>540.90909090909099</v>
          </cell>
          <cell r="AI1259">
            <v>5950</v>
          </cell>
          <cell r="AK1259">
            <v>2609.090909090909</v>
          </cell>
        </row>
        <row r="1260">
          <cell r="H1260">
            <v>87412848637</v>
          </cell>
          <cell r="I1260">
            <v>39605694</v>
          </cell>
          <cell r="J1260" t="str">
            <v/>
          </cell>
          <cell r="K1260" t="str">
            <v>-</v>
          </cell>
          <cell r="L1260">
            <v>9750</v>
          </cell>
          <cell r="M1260">
            <v>9750</v>
          </cell>
          <cell r="Q1260">
            <v>10400</v>
          </cell>
          <cell r="R1260">
            <v>87412848637</v>
          </cell>
          <cell r="Y1260" t="str">
            <v>컬러젤리 휴대폰 케이스 아이폰15프로 그레이</v>
          </cell>
          <cell r="AC1260">
            <v>2800</v>
          </cell>
          <cell r="AD1260">
            <v>280</v>
          </cell>
          <cell r="AE1260">
            <v>3080</v>
          </cell>
          <cell r="AG1260">
            <v>5409.090909090909</v>
          </cell>
          <cell r="AH1260">
            <v>540.90909090909099</v>
          </cell>
          <cell r="AI1260">
            <v>5950</v>
          </cell>
          <cell r="AK1260">
            <v>2609.090909090909</v>
          </cell>
        </row>
        <row r="1261">
          <cell r="H1261">
            <v>87412848619</v>
          </cell>
          <cell r="I1261">
            <v>39605693</v>
          </cell>
          <cell r="J1261">
            <v>7</v>
          </cell>
          <cell r="K1261" t="str">
            <v>-</v>
          </cell>
          <cell r="L1261">
            <v>9750</v>
          </cell>
          <cell r="M1261">
            <v>9750</v>
          </cell>
          <cell r="Q1261">
            <v>10400</v>
          </cell>
          <cell r="R1261">
            <v>87412848619</v>
          </cell>
          <cell r="Y1261" t="str">
            <v>컬러젤리 휴대폰 케이스 아이폰15프로 그린</v>
          </cell>
          <cell r="AC1261">
            <v>2800</v>
          </cell>
          <cell r="AD1261">
            <v>280</v>
          </cell>
          <cell r="AE1261">
            <v>3080</v>
          </cell>
          <cell r="AG1261">
            <v>5409.090909090909</v>
          </cell>
          <cell r="AH1261">
            <v>540.90909090909099</v>
          </cell>
          <cell r="AI1261">
            <v>5950</v>
          </cell>
          <cell r="AK1261">
            <v>2609.090909090909</v>
          </cell>
        </row>
        <row r="1262">
          <cell r="H1262">
            <v>87412848882</v>
          </cell>
          <cell r="I1262">
            <v>39605708</v>
          </cell>
          <cell r="J1262">
            <v>5</v>
          </cell>
          <cell r="K1262" t="str">
            <v>-</v>
          </cell>
          <cell r="L1262">
            <v>9750</v>
          </cell>
          <cell r="M1262">
            <v>9750</v>
          </cell>
          <cell r="Q1262">
            <v>10400</v>
          </cell>
          <cell r="R1262">
            <v>87412848882</v>
          </cell>
          <cell r="Y1262" t="str">
            <v>컬러젤리 휴대폰 케이스 아이폰15프로 네이비</v>
          </cell>
          <cell r="AC1262">
            <v>2800</v>
          </cell>
          <cell r="AD1262">
            <v>280</v>
          </cell>
          <cell r="AE1262">
            <v>3080</v>
          </cell>
          <cell r="AG1262">
            <v>5409.090909090909</v>
          </cell>
          <cell r="AH1262">
            <v>540.90909090909099</v>
          </cell>
          <cell r="AI1262">
            <v>5950</v>
          </cell>
          <cell r="AK1262">
            <v>2609.090909090909</v>
          </cell>
        </row>
        <row r="1263">
          <cell r="H1263">
            <v>87412848603</v>
          </cell>
          <cell r="I1263">
            <v>39605692</v>
          </cell>
          <cell r="J1263" t="str">
            <v/>
          </cell>
          <cell r="K1263" t="str">
            <v>-</v>
          </cell>
          <cell r="L1263">
            <v>9750</v>
          </cell>
          <cell r="M1263">
            <v>9750</v>
          </cell>
          <cell r="Q1263">
            <v>10400</v>
          </cell>
          <cell r="R1263">
            <v>87412848603</v>
          </cell>
          <cell r="Y1263" t="str">
            <v>컬러젤리 휴대폰 케이스 아이폰15프로 블랙</v>
          </cell>
          <cell r="AC1263">
            <v>2800</v>
          </cell>
          <cell r="AD1263">
            <v>280</v>
          </cell>
          <cell r="AE1263">
            <v>3080</v>
          </cell>
          <cell r="AG1263">
            <v>5409.090909090909</v>
          </cell>
          <cell r="AH1263">
            <v>540.90909090909099</v>
          </cell>
          <cell r="AI1263">
            <v>5950</v>
          </cell>
          <cell r="AK1263">
            <v>2609.090909090909</v>
          </cell>
        </row>
        <row r="1264">
          <cell r="H1264">
            <v>87412848854</v>
          </cell>
          <cell r="I1264">
            <v>39605706</v>
          </cell>
          <cell r="J1264" t="str">
            <v/>
          </cell>
          <cell r="K1264" t="str">
            <v>-</v>
          </cell>
          <cell r="L1264">
            <v>9750</v>
          </cell>
          <cell r="M1264">
            <v>9750</v>
          </cell>
          <cell r="Q1264">
            <v>10400</v>
          </cell>
          <cell r="R1264">
            <v>87412848854</v>
          </cell>
          <cell r="Y1264" t="str">
            <v>컬러젤리 휴대폰 케이스 아이폰15프로 핑크</v>
          </cell>
          <cell r="AC1264">
            <v>2800</v>
          </cell>
          <cell r="AD1264">
            <v>280</v>
          </cell>
          <cell r="AE1264">
            <v>3080</v>
          </cell>
          <cell r="AG1264">
            <v>5409.090909090909</v>
          </cell>
          <cell r="AH1264">
            <v>540.90909090909099</v>
          </cell>
          <cell r="AI1264">
            <v>5950</v>
          </cell>
          <cell r="AK1264">
            <v>2609.090909090909</v>
          </cell>
        </row>
        <row r="1265">
          <cell r="H1265">
            <v>87412848960</v>
          </cell>
          <cell r="I1265">
            <v>39605713</v>
          </cell>
          <cell r="J1265">
            <v>9</v>
          </cell>
          <cell r="K1265" t="str">
            <v>-</v>
          </cell>
          <cell r="L1265">
            <v>9750</v>
          </cell>
          <cell r="M1265">
            <v>9750</v>
          </cell>
          <cell r="Q1265">
            <v>10400</v>
          </cell>
          <cell r="R1265">
            <v>87412848960</v>
          </cell>
          <cell r="Y1265" t="str">
            <v>컬러젤리 휴대폰 케이스 아이폰15프로맥스 그레이</v>
          </cell>
          <cell r="AC1265">
            <v>2800</v>
          </cell>
          <cell r="AD1265">
            <v>280</v>
          </cell>
          <cell r="AE1265">
            <v>3080</v>
          </cell>
          <cell r="AG1265">
            <v>5409.090909090909</v>
          </cell>
          <cell r="AH1265">
            <v>540.90909090909099</v>
          </cell>
          <cell r="AI1265">
            <v>5950</v>
          </cell>
          <cell r="AK1265">
            <v>2609.090909090909</v>
          </cell>
        </row>
        <row r="1266">
          <cell r="H1266">
            <v>87412848578</v>
          </cell>
          <cell r="I1266">
            <v>39605691</v>
          </cell>
          <cell r="J1266">
            <v>7</v>
          </cell>
          <cell r="K1266" t="str">
            <v>-</v>
          </cell>
          <cell r="L1266">
            <v>9750</v>
          </cell>
          <cell r="M1266">
            <v>9750</v>
          </cell>
          <cell r="Q1266">
            <v>10400</v>
          </cell>
          <cell r="R1266">
            <v>87412848578</v>
          </cell>
          <cell r="Y1266" t="str">
            <v>컬러젤리 휴대폰 케이스 아이폰15프로맥스 그린</v>
          </cell>
          <cell r="AC1266">
            <v>2800</v>
          </cell>
          <cell r="AD1266">
            <v>280</v>
          </cell>
          <cell r="AE1266">
            <v>3080</v>
          </cell>
          <cell r="AG1266">
            <v>5409.090909090909</v>
          </cell>
          <cell r="AH1266">
            <v>540.90909090909099</v>
          </cell>
          <cell r="AI1266">
            <v>5950</v>
          </cell>
          <cell r="AK1266">
            <v>2609.090909090909</v>
          </cell>
        </row>
        <row r="1267">
          <cell r="H1267">
            <v>87412848742</v>
          </cell>
          <cell r="I1267">
            <v>39605699</v>
          </cell>
          <cell r="J1267" t="str">
            <v/>
          </cell>
          <cell r="K1267" t="str">
            <v>-</v>
          </cell>
          <cell r="L1267">
            <v>9750</v>
          </cell>
          <cell r="M1267">
            <v>9750</v>
          </cell>
          <cell r="Q1267">
            <v>10400</v>
          </cell>
          <cell r="R1267">
            <v>87412848742</v>
          </cell>
          <cell r="Y1267" t="str">
            <v>컬러젤리 휴대폰 케이스 아이폰15프로맥스 네이비</v>
          </cell>
          <cell r="AC1267">
            <v>2800</v>
          </cell>
          <cell r="AD1267">
            <v>280</v>
          </cell>
          <cell r="AE1267">
            <v>3080</v>
          </cell>
          <cell r="AG1267">
            <v>5409.090909090909</v>
          </cell>
          <cell r="AH1267">
            <v>540.90909090909099</v>
          </cell>
          <cell r="AI1267">
            <v>5950</v>
          </cell>
          <cell r="AK1267">
            <v>2609.090909090909</v>
          </cell>
        </row>
        <row r="1268">
          <cell r="H1268">
            <v>87412848506</v>
          </cell>
          <cell r="I1268">
            <v>39605688</v>
          </cell>
          <cell r="J1268" t="str">
            <v/>
          </cell>
          <cell r="K1268" t="str">
            <v>-</v>
          </cell>
          <cell r="L1268">
            <v>9750</v>
          </cell>
          <cell r="M1268">
            <v>9750</v>
          </cell>
          <cell r="Q1268">
            <v>10400</v>
          </cell>
          <cell r="R1268">
            <v>87412848506</v>
          </cell>
          <cell r="Y1268" t="str">
            <v>컬러젤리 휴대폰 케이스 아이폰15프로맥스 블랙</v>
          </cell>
          <cell r="AC1268">
            <v>2800</v>
          </cell>
          <cell r="AD1268">
            <v>280</v>
          </cell>
          <cell r="AE1268">
            <v>3080</v>
          </cell>
          <cell r="AG1268">
            <v>5409.090909090909</v>
          </cell>
          <cell r="AH1268">
            <v>540.90909090909099</v>
          </cell>
          <cell r="AI1268">
            <v>5950</v>
          </cell>
          <cell r="AK1268">
            <v>2609.090909090909</v>
          </cell>
        </row>
        <row r="1269">
          <cell r="H1269">
            <v>87412848656</v>
          </cell>
          <cell r="I1269">
            <v>39605695</v>
          </cell>
          <cell r="J1269" t="str">
            <v/>
          </cell>
          <cell r="K1269" t="str">
            <v>-</v>
          </cell>
          <cell r="L1269">
            <v>9750</v>
          </cell>
          <cell r="M1269">
            <v>9750</v>
          </cell>
          <cell r="Q1269">
            <v>10400</v>
          </cell>
          <cell r="R1269">
            <v>87412848656</v>
          </cell>
          <cell r="Y1269" t="str">
            <v>컬러젤리 휴대폰 케이스 아이폰15프로맥스 핑크</v>
          </cell>
          <cell r="AC1269">
            <v>2800</v>
          </cell>
          <cell r="AD1269">
            <v>280</v>
          </cell>
          <cell r="AE1269">
            <v>3080</v>
          </cell>
          <cell r="AG1269">
            <v>5409.090909090909</v>
          </cell>
          <cell r="AH1269">
            <v>540.90909090909099</v>
          </cell>
          <cell r="AI1269">
            <v>5950</v>
          </cell>
          <cell r="AK1269">
            <v>2609.090909090909</v>
          </cell>
        </row>
        <row r="1270">
          <cell r="H1270">
            <v>87412848942</v>
          </cell>
          <cell r="I1270">
            <v>39605712</v>
          </cell>
          <cell r="J1270">
            <v>3</v>
          </cell>
          <cell r="K1270" t="str">
            <v>-</v>
          </cell>
          <cell r="L1270">
            <v>9750</v>
          </cell>
          <cell r="M1270">
            <v>9750</v>
          </cell>
          <cell r="Q1270">
            <v>10400</v>
          </cell>
          <cell r="R1270">
            <v>87412848942</v>
          </cell>
          <cell r="Y1270" t="str">
            <v>컬러젤리 휴대폰 케이스 아이폰15플러스 그레이</v>
          </cell>
          <cell r="AC1270">
            <v>2800</v>
          </cell>
          <cell r="AD1270">
            <v>280</v>
          </cell>
          <cell r="AE1270">
            <v>3080</v>
          </cell>
          <cell r="AG1270">
            <v>5409.090909090909</v>
          </cell>
          <cell r="AH1270">
            <v>540.90909090909099</v>
          </cell>
          <cell r="AI1270">
            <v>5950</v>
          </cell>
          <cell r="AK1270">
            <v>2609.090909090909</v>
          </cell>
        </row>
        <row r="1271">
          <cell r="H1271">
            <v>87412848798</v>
          </cell>
          <cell r="I1271">
            <v>39605702</v>
          </cell>
          <cell r="J1271" t="str">
            <v/>
          </cell>
          <cell r="K1271" t="str">
            <v>-</v>
          </cell>
          <cell r="L1271">
            <v>9750</v>
          </cell>
          <cell r="M1271">
            <v>9750</v>
          </cell>
          <cell r="Q1271">
            <v>10400</v>
          </cell>
          <cell r="R1271">
            <v>87412848798</v>
          </cell>
          <cell r="Y1271" t="str">
            <v>컬러젤리 휴대폰 케이스 아이폰15플러스 그린</v>
          </cell>
          <cell r="AC1271">
            <v>2704.5454545454545</v>
          </cell>
          <cell r="AD1271">
            <v>270.45454545454544</v>
          </cell>
          <cell r="AE1271">
            <v>2975</v>
          </cell>
          <cell r="AG1271">
            <v>5409.090909090909</v>
          </cell>
          <cell r="AH1271">
            <v>540.90909090909099</v>
          </cell>
          <cell r="AI1271">
            <v>5950</v>
          </cell>
          <cell r="AK1271">
            <v>2704.5454545454545</v>
          </cell>
        </row>
        <row r="1272">
          <cell r="H1272">
            <v>87412848725</v>
          </cell>
          <cell r="I1272">
            <v>39605698</v>
          </cell>
          <cell r="J1272">
            <v>2</v>
          </cell>
          <cell r="K1272" t="str">
            <v>-</v>
          </cell>
          <cell r="L1272">
            <v>9750</v>
          </cell>
          <cell r="M1272">
            <v>9750</v>
          </cell>
          <cell r="Q1272">
            <v>10400</v>
          </cell>
          <cell r="R1272">
            <v>87412848725</v>
          </cell>
          <cell r="Y1272" t="str">
            <v>컬러젤리 휴대폰 케이스 아이폰15플러스 네이비</v>
          </cell>
          <cell r="AC1272">
            <v>2800</v>
          </cell>
          <cell r="AD1272">
            <v>280</v>
          </cell>
          <cell r="AE1272">
            <v>3080</v>
          </cell>
          <cell r="AG1272">
            <v>5409.090909090909</v>
          </cell>
          <cell r="AH1272">
            <v>540.90909090909099</v>
          </cell>
          <cell r="AI1272">
            <v>5950</v>
          </cell>
          <cell r="AK1272">
            <v>2609.090909090909</v>
          </cell>
        </row>
        <row r="1273">
          <cell r="H1273">
            <v>87412848864</v>
          </cell>
          <cell r="I1273">
            <v>39605707</v>
          </cell>
          <cell r="J1273">
            <v>1</v>
          </cell>
          <cell r="K1273" t="str">
            <v>-</v>
          </cell>
          <cell r="L1273">
            <v>9750</v>
          </cell>
          <cell r="M1273">
            <v>9750</v>
          </cell>
          <cell r="Q1273">
            <v>10400</v>
          </cell>
          <cell r="R1273">
            <v>87412848864</v>
          </cell>
          <cell r="Y1273" t="str">
            <v>컬러젤리 휴대폰 케이스 아이폰15플러스 블랙</v>
          </cell>
          <cell r="AC1273">
            <v>2800</v>
          </cell>
          <cell r="AD1273">
            <v>280</v>
          </cell>
          <cell r="AE1273">
            <v>3080</v>
          </cell>
          <cell r="AG1273">
            <v>5409.090909090909</v>
          </cell>
          <cell r="AH1273">
            <v>540.90909090909099</v>
          </cell>
          <cell r="AI1273">
            <v>5950</v>
          </cell>
          <cell r="AK1273">
            <v>2609.090909090909</v>
          </cell>
        </row>
        <row r="1274">
          <cell r="H1274">
            <v>87412848925</v>
          </cell>
          <cell r="I1274">
            <v>39605711</v>
          </cell>
          <cell r="J1274" t="str">
            <v/>
          </cell>
          <cell r="K1274" t="str">
            <v>-</v>
          </cell>
          <cell r="L1274">
            <v>9750</v>
          </cell>
          <cell r="M1274">
            <v>9750</v>
          </cell>
          <cell r="Q1274">
            <v>10400</v>
          </cell>
          <cell r="R1274">
            <v>87412848925</v>
          </cell>
          <cell r="Y1274" t="str">
            <v>컬러젤리 휴대폰 케이스 아이폰15플러스 핑크</v>
          </cell>
          <cell r="AC1274">
            <v>2800</v>
          </cell>
          <cell r="AD1274">
            <v>280</v>
          </cell>
          <cell r="AE1274">
            <v>3080</v>
          </cell>
          <cell r="AG1274">
            <v>5409.090909090909</v>
          </cell>
          <cell r="AH1274">
            <v>540.90909090909099</v>
          </cell>
          <cell r="AI1274">
            <v>5950</v>
          </cell>
          <cell r="AK1274">
            <v>2609.090909090909</v>
          </cell>
        </row>
        <row r="1275">
          <cell r="H1275">
            <v>84390366326</v>
          </cell>
          <cell r="I1275">
            <v>31262922</v>
          </cell>
          <cell r="J1275" t="str">
            <v/>
          </cell>
          <cell r="K1275" t="str">
            <v>-</v>
          </cell>
          <cell r="L1275">
            <v>8020</v>
          </cell>
          <cell r="M1275">
            <v>8020</v>
          </cell>
          <cell r="Q1275">
            <v>8550</v>
          </cell>
          <cell r="R1275">
            <v>84390366326</v>
          </cell>
          <cell r="Y1275" t="str">
            <v>쿠션 젤하드 케이스 갤럭시S21</v>
          </cell>
          <cell r="AC1275">
            <v>1863.6363636363635</v>
          </cell>
          <cell r="AD1275">
            <v>186.36363636363637</v>
          </cell>
          <cell r="AE1275">
            <v>2050</v>
          </cell>
          <cell r="AG1275">
            <v>4450</v>
          </cell>
          <cell r="AH1275">
            <v>445</v>
          </cell>
          <cell r="AI1275">
            <v>4895</v>
          </cell>
          <cell r="AK1275">
            <v>2586.3636363636365</v>
          </cell>
        </row>
        <row r="1276">
          <cell r="H1276">
            <v>84390366413</v>
          </cell>
          <cell r="I1276">
            <v>31262925</v>
          </cell>
          <cell r="J1276" t="str">
            <v/>
          </cell>
          <cell r="K1276" t="str">
            <v>-</v>
          </cell>
          <cell r="L1276">
            <v>8020</v>
          </cell>
          <cell r="M1276">
            <v>8020</v>
          </cell>
          <cell r="Q1276">
            <v>8550</v>
          </cell>
          <cell r="R1276">
            <v>84390366413</v>
          </cell>
          <cell r="Y1276" t="str">
            <v>쿠션 젤하드 케이스 갤럭시S21울트라</v>
          </cell>
          <cell r="AC1276">
            <v>1863.6363636363635</v>
          </cell>
          <cell r="AD1276">
            <v>186.36363636363637</v>
          </cell>
          <cell r="AE1276">
            <v>2050</v>
          </cell>
          <cell r="AG1276">
            <v>4450</v>
          </cell>
          <cell r="AH1276">
            <v>445</v>
          </cell>
          <cell r="AI1276">
            <v>4895</v>
          </cell>
          <cell r="AK1276">
            <v>2586.3636363636365</v>
          </cell>
        </row>
        <row r="1277">
          <cell r="H1277">
            <v>84390366249</v>
          </cell>
          <cell r="I1277">
            <v>31262917</v>
          </cell>
          <cell r="J1277" t="str">
            <v/>
          </cell>
          <cell r="K1277" t="str">
            <v>-</v>
          </cell>
          <cell r="L1277">
            <v>8020</v>
          </cell>
          <cell r="M1277">
            <v>8020</v>
          </cell>
          <cell r="Q1277">
            <v>8550</v>
          </cell>
          <cell r="R1277">
            <v>84390366249</v>
          </cell>
          <cell r="Y1277" t="str">
            <v>쿠션 젤하드 케이스 갤럭시S21플러스</v>
          </cell>
          <cell r="AC1277">
            <v>1863.6363636363635</v>
          </cell>
          <cell r="AD1277">
            <v>186.36363636363637</v>
          </cell>
          <cell r="AE1277">
            <v>2050</v>
          </cell>
          <cell r="AG1277">
            <v>4450</v>
          </cell>
          <cell r="AH1277">
            <v>445</v>
          </cell>
          <cell r="AI1277">
            <v>4895</v>
          </cell>
          <cell r="AK1277">
            <v>2586.3636363636365</v>
          </cell>
        </row>
        <row r="1278">
          <cell r="H1278">
            <v>84390366297</v>
          </cell>
          <cell r="I1278">
            <v>31262921</v>
          </cell>
          <cell r="J1278" t="str">
            <v/>
          </cell>
          <cell r="K1278" t="str">
            <v>-</v>
          </cell>
          <cell r="L1278">
            <v>8020</v>
          </cell>
          <cell r="M1278">
            <v>8020</v>
          </cell>
          <cell r="Q1278">
            <v>8550</v>
          </cell>
          <cell r="R1278">
            <v>84390366297</v>
          </cell>
          <cell r="Y1278" t="str">
            <v>쿠션 젤하드 케이스 갤럭시S22</v>
          </cell>
          <cell r="AC1278">
            <v>1863.6363636363635</v>
          </cell>
          <cell r="AD1278">
            <v>186.36363636363637</v>
          </cell>
          <cell r="AE1278">
            <v>2050</v>
          </cell>
          <cell r="AG1278">
            <v>4450</v>
          </cell>
          <cell r="AH1278">
            <v>445</v>
          </cell>
          <cell r="AI1278">
            <v>4895</v>
          </cell>
          <cell r="AK1278">
            <v>2586.3636363636365</v>
          </cell>
        </row>
        <row r="1279">
          <cell r="H1279">
            <v>84390366145</v>
          </cell>
          <cell r="I1279">
            <v>31262908</v>
          </cell>
          <cell r="J1279" t="str">
            <v/>
          </cell>
          <cell r="K1279" t="str">
            <v>-</v>
          </cell>
          <cell r="L1279">
            <v>8020</v>
          </cell>
          <cell r="M1279">
            <v>8020</v>
          </cell>
          <cell r="Q1279">
            <v>8550</v>
          </cell>
          <cell r="R1279">
            <v>84390366145</v>
          </cell>
          <cell r="Y1279" t="str">
            <v>쿠션 젤하드 케이스 갤럭시S22울트라</v>
          </cell>
          <cell r="AC1279">
            <v>1863.6363636363635</v>
          </cell>
          <cell r="AD1279">
            <v>186.36363636363637</v>
          </cell>
          <cell r="AE1279">
            <v>2050</v>
          </cell>
          <cell r="AG1279">
            <v>4450</v>
          </cell>
          <cell r="AH1279">
            <v>445</v>
          </cell>
          <cell r="AI1279">
            <v>4895</v>
          </cell>
          <cell r="AK1279">
            <v>2586.3636363636365</v>
          </cell>
        </row>
        <row r="1280">
          <cell r="H1280">
            <v>84390366169</v>
          </cell>
          <cell r="I1280">
            <v>31262910</v>
          </cell>
          <cell r="J1280" t="str">
            <v/>
          </cell>
          <cell r="K1280" t="str">
            <v>-</v>
          </cell>
          <cell r="L1280">
            <v>8020</v>
          </cell>
          <cell r="M1280">
            <v>8020</v>
          </cell>
          <cell r="Q1280">
            <v>8550</v>
          </cell>
          <cell r="R1280">
            <v>84390366169</v>
          </cell>
          <cell r="Y1280" t="str">
            <v>쿠션 젤하드 케이스 갤럭시S22플러스</v>
          </cell>
          <cell r="AC1280">
            <v>1863.6363636363635</v>
          </cell>
          <cell r="AD1280">
            <v>186.36363636363637</v>
          </cell>
          <cell r="AE1280">
            <v>2050</v>
          </cell>
          <cell r="AG1280">
            <v>4450</v>
          </cell>
          <cell r="AH1280">
            <v>445</v>
          </cell>
          <cell r="AI1280">
            <v>4895</v>
          </cell>
          <cell r="AK1280">
            <v>2586.3636363636365</v>
          </cell>
        </row>
        <row r="1281">
          <cell r="H1281">
            <v>84390366082</v>
          </cell>
          <cell r="I1281">
            <v>31262902</v>
          </cell>
          <cell r="J1281" t="str">
            <v/>
          </cell>
          <cell r="K1281" t="str">
            <v>-</v>
          </cell>
          <cell r="L1281">
            <v>8020</v>
          </cell>
          <cell r="M1281">
            <v>8020</v>
          </cell>
          <cell r="Q1281">
            <v>8550</v>
          </cell>
          <cell r="R1281">
            <v>84390366082</v>
          </cell>
          <cell r="Y1281" t="str">
            <v>쿠션 젤하드 케이스 갤럭시z폴드3</v>
          </cell>
          <cell r="AC1281">
            <v>1863.6363636363635</v>
          </cell>
          <cell r="AD1281">
            <v>186.36363636363637</v>
          </cell>
          <cell r="AE1281">
            <v>2050</v>
          </cell>
          <cell r="AG1281">
            <v>4450</v>
          </cell>
          <cell r="AH1281">
            <v>445</v>
          </cell>
          <cell r="AI1281">
            <v>4895</v>
          </cell>
          <cell r="AK1281">
            <v>2586.3636363636365</v>
          </cell>
        </row>
        <row r="1282">
          <cell r="H1282">
            <v>84390366562</v>
          </cell>
          <cell r="I1282">
            <v>31262932</v>
          </cell>
          <cell r="J1282" t="str">
            <v/>
          </cell>
          <cell r="K1282" t="str">
            <v>-</v>
          </cell>
          <cell r="L1282">
            <v>8020</v>
          </cell>
          <cell r="M1282">
            <v>8020</v>
          </cell>
          <cell r="Q1282">
            <v>8550</v>
          </cell>
          <cell r="R1282">
            <v>84390366562</v>
          </cell>
          <cell r="Y1282" t="str">
            <v>쿠션 젤하드 케이스 갤럭시z폴드4</v>
          </cell>
          <cell r="AC1282">
            <v>1863.6363636363635</v>
          </cell>
          <cell r="AD1282">
            <v>186.36363636363637</v>
          </cell>
          <cell r="AE1282">
            <v>2050</v>
          </cell>
          <cell r="AG1282">
            <v>4450</v>
          </cell>
          <cell r="AH1282">
            <v>445</v>
          </cell>
          <cell r="AI1282">
            <v>4895</v>
          </cell>
          <cell r="AK1282">
            <v>2586.3636363636365</v>
          </cell>
        </row>
        <row r="1283">
          <cell r="H1283">
            <v>84390366620</v>
          </cell>
          <cell r="I1283">
            <v>31262934</v>
          </cell>
          <cell r="J1283" t="str">
            <v/>
          </cell>
          <cell r="K1283" t="str">
            <v>-</v>
          </cell>
          <cell r="L1283">
            <v>8020</v>
          </cell>
          <cell r="M1283">
            <v>8020</v>
          </cell>
          <cell r="Q1283">
            <v>8550</v>
          </cell>
          <cell r="R1283">
            <v>84390366620</v>
          </cell>
          <cell r="Y1283" t="str">
            <v>쿠션 젤하드 케이스 갤럭시z플립3</v>
          </cell>
          <cell r="AC1283">
            <v>1863.6363636363635</v>
          </cell>
          <cell r="AD1283">
            <v>186.36363636363637</v>
          </cell>
          <cell r="AE1283">
            <v>2050</v>
          </cell>
          <cell r="AG1283">
            <v>4450</v>
          </cell>
          <cell r="AH1283">
            <v>445</v>
          </cell>
          <cell r="AI1283">
            <v>4895</v>
          </cell>
          <cell r="AK1283">
            <v>2586.3636363636365</v>
          </cell>
        </row>
        <row r="1284">
          <cell r="H1284">
            <v>84390366467</v>
          </cell>
          <cell r="I1284">
            <v>31262928</v>
          </cell>
          <cell r="J1284" t="str">
            <v/>
          </cell>
          <cell r="K1284" t="str">
            <v>-</v>
          </cell>
          <cell r="L1284">
            <v>8020</v>
          </cell>
          <cell r="M1284">
            <v>8020</v>
          </cell>
          <cell r="Q1284">
            <v>8550</v>
          </cell>
          <cell r="R1284">
            <v>84390366467</v>
          </cell>
          <cell r="Y1284" t="str">
            <v>쿠션 젤하드 케이스 갤럭시z플립4</v>
          </cell>
          <cell r="AC1284">
            <v>1863.6363636363635</v>
          </cell>
          <cell r="AD1284">
            <v>186.36363636363637</v>
          </cell>
          <cell r="AE1284">
            <v>2050</v>
          </cell>
          <cell r="AG1284">
            <v>4450</v>
          </cell>
          <cell r="AH1284">
            <v>445</v>
          </cell>
          <cell r="AI1284">
            <v>4895</v>
          </cell>
          <cell r="AK1284">
            <v>2586.3636363636365</v>
          </cell>
        </row>
        <row r="1285">
          <cell r="H1285">
            <v>84390366514</v>
          </cell>
          <cell r="I1285">
            <v>31262930</v>
          </cell>
          <cell r="J1285" t="str">
            <v/>
          </cell>
          <cell r="K1285" t="str">
            <v>-</v>
          </cell>
          <cell r="L1285">
            <v>8020</v>
          </cell>
          <cell r="M1285">
            <v>8020</v>
          </cell>
          <cell r="Q1285">
            <v>8550</v>
          </cell>
          <cell r="R1285">
            <v>84390366514</v>
          </cell>
          <cell r="Y1285" t="str">
            <v>쿠션 젤하드 케이스 아이폰12</v>
          </cell>
          <cell r="AC1285">
            <v>1863.6363636363635</v>
          </cell>
          <cell r="AD1285">
            <v>186.36363636363637</v>
          </cell>
          <cell r="AE1285">
            <v>2050</v>
          </cell>
          <cell r="AG1285">
            <v>4450</v>
          </cell>
          <cell r="AH1285">
            <v>445</v>
          </cell>
          <cell r="AI1285">
            <v>4895</v>
          </cell>
          <cell r="AK1285">
            <v>2586.3636363636365</v>
          </cell>
        </row>
        <row r="1286">
          <cell r="H1286">
            <v>84390366353</v>
          </cell>
          <cell r="I1286">
            <v>31262923</v>
          </cell>
          <cell r="J1286" t="str">
            <v/>
          </cell>
          <cell r="K1286" t="str">
            <v>-</v>
          </cell>
          <cell r="L1286">
            <v>8020</v>
          </cell>
          <cell r="M1286">
            <v>8020</v>
          </cell>
          <cell r="Q1286">
            <v>8550</v>
          </cell>
          <cell r="R1286">
            <v>84390366353</v>
          </cell>
          <cell r="Y1286" t="str">
            <v>쿠션 젤하드 케이스 아이폰12미니</v>
          </cell>
          <cell r="AC1286">
            <v>1863.6363636363635</v>
          </cell>
          <cell r="AD1286">
            <v>186.36363636363637</v>
          </cell>
          <cell r="AE1286">
            <v>2050</v>
          </cell>
          <cell r="AG1286">
            <v>4450</v>
          </cell>
          <cell r="AH1286">
            <v>445</v>
          </cell>
          <cell r="AI1286">
            <v>4895</v>
          </cell>
          <cell r="AK1286">
            <v>2586.3636363636365</v>
          </cell>
        </row>
        <row r="1287">
          <cell r="H1287">
            <v>84390366387</v>
          </cell>
          <cell r="I1287">
            <v>31262924</v>
          </cell>
          <cell r="J1287" t="str">
            <v/>
          </cell>
          <cell r="K1287" t="str">
            <v>-</v>
          </cell>
          <cell r="L1287">
            <v>8020</v>
          </cell>
          <cell r="M1287">
            <v>8020</v>
          </cell>
          <cell r="Q1287">
            <v>8550</v>
          </cell>
          <cell r="R1287">
            <v>84390366387</v>
          </cell>
          <cell r="Y1287" t="str">
            <v>쿠션 젤하드 케이스 아이폰12프로</v>
          </cell>
          <cell r="AC1287">
            <v>1863.6363636363635</v>
          </cell>
          <cell r="AD1287">
            <v>186.36363636363637</v>
          </cell>
          <cell r="AE1287">
            <v>2050</v>
          </cell>
          <cell r="AG1287">
            <v>4450</v>
          </cell>
          <cell r="AH1287">
            <v>445</v>
          </cell>
          <cell r="AI1287">
            <v>4895</v>
          </cell>
          <cell r="AK1287">
            <v>2586.3636363636365</v>
          </cell>
        </row>
        <row r="1288">
          <cell r="H1288">
            <v>84390366226</v>
          </cell>
          <cell r="I1288">
            <v>31262914</v>
          </cell>
          <cell r="J1288" t="str">
            <v/>
          </cell>
          <cell r="K1288" t="str">
            <v>-</v>
          </cell>
          <cell r="L1288">
            <v>8020</v>
          </cell>
          <cell r="M1288">
            <v>8020</v>
          </cell>
          <cell r="Q1288">
            <v>8550</v>
          </cell>
          <cell r="R1288">
            <v>84390366226</v>
          </cell>
          <cell r="Y1288" t="str">
            <v>쿠션 젤하드 케이스 아이폰12프로맥스</v>
          </cell>
          <cell r="AC1288">
            <v>1863.6363636363635</v>
          </cell>
          <cell r="AD1288">
            <v>186.36363636363637</v>
          </cell>
          <cell r="AE1288">
            <v>2050</v>
          </cell>
          <cell r="AG1288">
            <v>4450</v>
          </cell>
          <cell r="AH1288">
            <v>445</v>
          </cell>
          <cell r="AI1288">
            <v>4895</v>
          </cell>
          <cell r="AK1288">
            <v>2586.3636363636365</v>
          </cell>
        </row>
        <row r="1289">
          <cell r="H1289">
            <v>84390366275</v>
          </cell>
          <cell r="I1289">
            <v>31262919</v>
          </cell>
          <cell r="J1289" t="str">
            <v/>
          </cell>
          <cell r="K1289" t="str">
            <v>-</v>
          </cell>
          <cell r="L1289">
            <v>8020</v>
          </cell>
          <cell r="M1289">
            <v>8020</v>
          </cell>
          <cell r="Q1289">
            <v>8550</v>
          </cell>
          <cell r="R1289">
            <v>84390366275</v>
          </cell>
          <cell r="Y1289" t="str">
            <v>쿠션 젤하드 케이스 아이폰13</v>
          </cell>
          <cell r="AC1289">
            <v>1863.6363636363635</v>
          </cell>
          <cell r="AD1289">
            <v>186.36363636363637</v>
          </cell>
          <cell r="AE1289">
            <v>2050</v>
          </cell>
          <cell r="AG1289">
            <v>4450</v>
          </cell>
          <cell r="AH1289">
            <v>445</v>
          </cell>
          <cell r="AI1289">
            <v>4895</v>
          </cell>
          <cell r="AK1289">
            <v>2586.3636363636365</v>
          </cell>
        </row>
        <row r="1290">
          <cell r="H1290">
            <v>84390366112</v>
          </cell>
          <cell r="I1290">
            <v>31262907</v>
          </cell>
          <cell r="J1290" t="str">
            <v/>
          </cell>
          <cell r="K1290" t="str">
            <v>-</v>
          </cell>
          <cell r="L1290">
            <v>8020</v>
          </cell>
          <cell r="M1290">
            <v>8020</v>
          </cell>
          <cell r="Q1290">
            <v>8550</v>
          </cell>
          <cell r="R1290">
            <v>84390366112</v>
          </cell>
          <cell r="Y1290" t="str">
            <v>쿠션 젤하드 케이스 아이폰13미니</v>
          </cell>
          <cell r="AC1290">
            <v>1863.6363636363635</v>
          </cell>
          <cell r="AD1290">
            <v>186.36363636363637</v>
          </cell>
          <cell r="AE1290">
            <v>2050</v>
          </cell>
          <cell r="AG1290">
            <v>4450</v>
          </cell>
          <cell r="AH1290">
            <v>445</v>
          </cell>
          <cell r="AI1290">
            <v>4895</v>
          </cell>
          <cell r="AK1290">
            <v>2586.3636363636365</v>
          </cell>
        </row>
        <row r="1291">
          <cell r="H1291">
            <v>84390366201</v>
          </cell>
          <cell r="I1291">
            <v>31262912</v>
          </cell>
          <cell r="J1291" t="str">
            <v/>
          </cell>
          <cell r="K1291" t="str">
            <v>-</v>
          </cell>
          <cell r="L1291">
            <v>8020</v>
          </cell>
          <cell r="M1291">
            <v>8020</v>
          </cell>
          <cell r="Q1291">
            <v>8550</v>
          </cell>
          <cell r="R1291">
            <v>84390366201</v>
          </cell>
          <cell r="Y1291" t="str">
            <v>쿠션 젤하드 케이스 아이폰13프로</v>
          </cell>
          <cell r="AC1291">
            <v>1863.6363636363635</v>
          </cell>
          <cell r="AD1291">
            <v>186.36363636363637</v>
          </cell>
          <cell r="AE1291">
            <v>2050</v>
          </cell>
          <cell r="AG1291">
            <v>4450</v>
          </cell>
          <cell r="AH1291">
            <v>445</v>
          </cell>
          <cell r="AI1291">
            <v>4895</v>
          </cell>
          <cell r="AK1291">
            <v>2586.3636363636365</v>
          </cell>
        </row>
        <row r="1292">
          <cell r="H1292">
            <v>84390366648</v>
          </cell>
          <cell r="I1292">
            <v>31262935</v>
          </cell>
          <cell r="J1292" t="str">
            <v/>
          </cell>
          <cell r="K1292" t="str">
            <v>-</v>
          </cell>
          <cell r="L1292">
            <v>8020</v>
          </cell>
          <cell r="M1292">
            <v>8020</v>
          </cell>
          <cell r="Q1292">
            <v>8550</v>
          </cell>
          <cell r="R1292">
            <v>84390366648</v>
          </cell>
          <cell r="Y1292" t="str">
            <v>쿠션 젤하드 케이스 아이폰13프로맥스</v>
          </cell>
          <cell r="AC1292">
            <v>1863.6363636363635</v>
          </cell>
          <cell r="AD1292">
            <v>186.36363636363637</v>
          </cell>
          <cell r="AE1292">
            <v>2050</v>
          </cell>
          <cell r="AG1292">
            <v>4450</v>
          </cell>
          <cell r="AH1292">
            <v>445</v>
          </cell>
          <cell r="AI1292">
            <v>4895</v>
          </cell>
          <cell r="AK1292">
            <v>2586.3636363636365</v>
          </cell>
        </row>
        <row r="1293">
          <cell r="H1293">
            <v>84390366538</v>
          </cell>
          <cell r="I1293">
            <v>31262931</v>
          </cell>
          <cell r="J1293" t="str">
            <v/>
          </cell>
          <cell r="K1293" t="str">
            <v>-</v>
          </cell>
          <cell r="L1293">
            <v>8020</v>
          </cell>
          <cell r="M1293">
            <v>8020</v>
          </cell>
          <cell r="Q1293">
            <v>8550</v>
          </cell>
          <cell r="R1293">
            <v>84390366538</v>
          </cell>
          <cell r="Y1293" t="str">
            <v>쿠션 젤하드 케이스 아이폰14</v>
          </cell>
          <cell r="AC1293">
            <v>1863.6363636363635</v>
          </cell>
          <cell r="AD1293">
            <v>186.36363636363637</v>
          </cell>
          <cell r="AE1293">
            <v>2050</v>
          </cell>
          <cell r="AG1293">
            <v>4450</v>
          </cell>
          <cell r="AH1293">
            <v>445</v>
          </cell>
          <cell r="AI1293">
            <v>4895</v>
          </cell>
          <cell r="AK1293">
            <v>2586.3636363636365</v>
          </cell>
        </row>
        <row r="1294">
          <cell r="H1294">
            <v>84390366590</v>
          </cell>
          <cell r="I1294">
            <v>31262933</v>
          </cell>
          <cell r="J1294" t="str">
            <v/>
          </cell>
          <cell r="K1294" t="str">
            <v>-</v>
          </cell>
          <cell r="L1294">
            <v>8020</v>
          </cell>
          <cell r="M1294">
            <v>8020</v>
          </cell>
          <cell r="Q1294">
            <v>8550</v>
          </cell>
          <cell r="R1294">
            <v>84390366590</v>
          </cell>
          <cell r="Y1294" t="str">
            <v>쿠션 젤하드 케이스 아이폰14프로</v>
          </cell>
          <cell r="AC1294">
            <v>1863.6363636363635</v>
          </cell>
          <cell r="AD1294">
            <v>186.36363636363637</v>
          </cell>
          <cell r="AE1294">
            <v>2050</v>
          </cell>
          <cell r="AG1294">
            <v>4450</v>
          </cell>
          <cell r="AH1294">
            <v>445</v>
          </cell>
          <cell r="AI1294">
            <v>4895</v>
          </cell>
          <cell r="AK1294">
            <v>2586.3636363636365</v>
          </cell>
        </row>
        <row r="1295">
          <cell r="H1295">
            <v>84390366439</v>
          </cell>
          <cell r="I1295">
            <v>31262926</v>
          </cell>
          <cell r="J1295" t="str">
            <v/>
          </cell>
          <cell r="K1295" t="str">
            <v>-</v>
          </cell>
          <cell r="L1295">
            <v>8020</v>
          </cell>
          <cell r="M1295">
            <v>8020</v>
          </cell>
          <cell r="Q1295">
            <v>8550</v>
          </cell>
          <cell r="R1295">
            <v>84390366439</v>
          </cell>
          <cell r="Y1295" t="str">
            <v>쿠션 젤하드 케이스 아이폰14프로맥스</v>
          </cell>
          <cell r="AC1295">
            <v>1863.6363636363635</v>
          </cell>
          <cell r="AD1295">
            <v>186.36363636363637</v>
          </cell>
          <cell r="AE1295">
            <v>2050</v>
          </cell>
          <cell r="AG1295">
            <v>4450</v>
          </cell>
          <cell r="AH1295">
            <v>445</v>
          </cell>
          <cell r="AI1295">
            <v>4895</v>
          </cell>
          <cell r="AK1295">
            <v>2586.3636363636365</v>
          </cell>
        </row>
        <row r="1296">
          <cell r="H1296">
            <v>84390366487</v>
          </cell>
          <cell r="I1296">
            <v>31262929</v>
          </cell>
          <cell r="J1296" t="str">
            <v/>
          </cell>
          <cell r="K1296" t="str">
            <v>-</v>
          </cell>
          <cell r="L1296">
            <v>8020</v>
          </cell>
          <cell r="M1296">
            <v>8020</v>
          </cell>
          <cell r="Q1296">
            <v>8550</v>
          </cell>
          <cell r="R1296">
            <v>84390366487</v>
          </cell>
          <cell r="Y1296" t="str">
            <v>쿠션 젤하드 케이스 아이폰14플러스</v>
          </cell>
          <cell r="AC1296">
            <v>1863.6363636363635</v>
          </cell>
          <cell r="AD1296">
            <v>186.36363636363637</v>
          </cell>
          <cell r="AE1296">
            <v>2050</v>
          </cell>
          <cell r="AG1296">
            <v>4450</v>
          </cell>
          <cell r="AH1296">
            <v>445</v>
          </cell>
          <cell r="AI1296">
            <v>4895</v>
          </cell>
          <cell r="AK1296">
            <v>2586.3636363636365</v>
          </cell>
        </row>
        <row r="1297">
          <cell r="H1297">
            <v>85255844778</v>
          </cell>
          <cell r="I1297">
            <v>33574194</v>
          </cell>
          <cell r="J1297" t="str">
            <v/>
          </cell>
          <cell r="K1297" t="str">
            <v>-</v>
          </cell>
          <cell r="L1297">
            <v>7870</v>
          </cell>
          <cell r="M1297">
            <v>7870</v>
          </cell>
          <cell r="Q1297">
            <v>7870</v>
          </cell>
          <cell r="R1297">
            <v>85255844778</v>
          </cell>
          <cell r="Y1297" t="str">
            <v>클리어 카드 하드 케이스 갤럭시 S23</v>
          </cell>
          <cell r="AC1297">
            <v>2490.9090909090905</v>
          </cell>
          <cell r="AD1297">
            <v>249.09090909090907</v>
          </cell>
          <cell r="AE1297">
            <v>2740</v>
          </cell>
          <cell r="AG1297">
            <v>4045.454545454545</v>
          </cell>
          <cell r="AH1297">
            <v>404.54545454545496</v>
          </cell>
          <cell r="AI1297">
            <v>4450</v>
          </cell>
          <cell r="AK1297">
            <v>1554.5454545454545</v>
          </cell>
        </row>
        <row r="1298">
          <cell r="H1298">
            <v>85255844808</v>
          </cell>
          <cell r="I1298">
            <v>33574195</v>
          </cell>
          <cell r="J1298" t="str">
            <v/>
          </cell>
          <cell r="K1298" t="str">
            <v>-</v>
          </cell>
          <cell r="L1298">
            <v>7290</v>
          </cell>
          <cell r="M1298">
            <v>7290</v>
          </cell>
          <cell r="Q1298">
            <v>7780</v>
          </cell>
          <cell r="R1298">
            <v>85255844808</v>
          </cell>
          <cell r="Y1298" t="str">
            <v>클리어 카드 하드 케이스 갤럭시 S23울트라</v>
          </cell>
          <cell r="AC1298">
            <v>2490.9090909090905</v>
          </cell>
          <cell r="AD1298">
            <v>249.09090909090907</v>
          </cell>
          <cell r="AE1298">
            <v>2740</v>
          </cell>
          <cell r="AG1298">
            <v>4045.454545454545</v>
          </cell>
          <cell r="AH1298">
            <v>404.54545454545496</v>
          </cell>
          <cell r="AI1298">
            <v>4450</v>
          </cell>
          <cell r="AK1298">
            <v>1554.5454545454545</v>
          </cell>
        </row>
        <row r="1299">
          <cell r="H1299">
            <v>85255844836</v>
          </cell>
          <cell r="I1299">
            <v>33574196</v>
          </cell>
          <cell r="J1299" t="str">
            <v/>
          </cell>
          <cell r="K1299" t="str">
            <v>-</v>
          </cell>
          <cell r="L1299">
            <v>7290</v>
          </cell>
          <cell r="M1299">
            <v>7290</v>
          </cell>
          <cell r="Q1299">
            <v>7780</v>
          </cell>
          <cell r="R1299">
            <v>85255844836</v>
          </cell>
          <cell r="Y1299" t="str">
            <v>클리어 카드 하드 케이스 갤럭시 S23플러스</v>
          </cell>
          <cell r="AC1299">
            <v>2490.9090909090905</v>
          </cell>
          <cell r="AD1299">
            <v>249.09090909090907</v>
          </cell>
          <cell r="AE1299">
            <v>2740</v>
          </cell>
          <cell r="AG1299">
            <v>4045.454545454545</v>
          </cell>
          <cell r="AH1299">
            <v>404.54545454545496</v>
          </cell>
          <cell r="AI1299">
            <v>4450</v>
          </cell>
          <cell r="AK1299">
            <v>1554.5454545454545</v>
          </cell>
        </row>
        <row r="1300">
          <cell r="H1300">
            <v>84390188466</v>
          </cell>
          <cell r="I1300">
            <v>31262558</v>
          </cell>
          <cell r="J1300" t="str">
            <v/>
          </cell>
          <cell r="K1300" t="str">
            <v>-</v>
          </cell>
          <cell r="L1300">
            <v>8020</v>
          </cell>
          <cell r="M1300">
            <v>8020</v>
          </cell>
          <cell r="Q1300">
            <v>8550</v>
          </cell>
          <cell r="R1300">
            <v>84390188466</v>
          </cell>
          <cell r="Y1300" t="str">
            <v>클리어 카드 하드 케이스 아이폰12</v>
          </cell>
          <cell r="AC1300">
            <v>2490.9090909090905</v>
          </cell>
          <cell r="AD1300">
            <v>249.09090909090907</v>
          </cell>
          <cell r="AE1300">
            <v>2740</v>
          </cell>
          <cell r="AG1300">
            <v>4450</v>
          </cell>
          <cell r="AH1300">
            <v>445</v>
          </cell>
          <cell r="AI1300">
            <v>4895</v>
          </cell>
          <cell r="AK1300">
            <v>1959.0909090909095</v>
          </cell>
        </row>
        <row r="1301">
          <cell r="H1301">
            <v>84390188324</v>
          </cell>
          <cell r="I1301">
            <v>31262551</v>
          </cell>
          <cell r="J1301" t="str">
            <v/>
          </cell>
          <cell r="K1301" t="str">
            <v>-</v>
          </cell>
          <cell r="L1301">
            <v>8020</v>
          </cell>
          <cell r="M1301">
            <v>8020</v>
          </cell>
          <cell r="Q1301">
            <v>8550</v>
          </cell>
          <cell r="R1301">
            <v>84390188324</v>
          </cell>
          <cell r="Y1301" t="str">
            <v>클리어 카드 하드 케이스 아이폰12미니</v>
          </cell>
          <cell r="AC1301">
            <v>2490.9090909090905</v>
          </cell>
          <cell r="AD1301">
            <v>249.09090909090907</v>
          </cell>
          <cell r="AE1301">
            <v>2740</v>
          </cell>
          <cell r="AG1301">
            <v>4450</v>
          </cell>
          <cell r="AH1301">
            <v>445</v>
          </cell>
          <cell r="AI1301">
            <v>4895</v>
          </cell>
          <cell r="AK1301">
            <v>1959.0909090909095</v>
          </cell>
        </row>
        <row r="1302">
          <cell r="H1302">
            <v>84390188361</v>
          </cell>
          <cell r="I1302">
            <v>31262554</v>
          </cell>
          <cell r="J1302" t="str">
            <v/>
          </cell>
          <cell r="K1302" t="str">
            <v>-</v>
          </cell>
          <cell r="L1302">
            <v>8020</v>
          </cell>
          <cell r="M1302">
            <v>8020</v>
          </cell>
          <cell r="Q1302">
            <v>8550</v>
          </cell>
          <cell r="R1302">
            <v>84390188361</v>
          </cell>
          <cell r="Y1302" t="str">
            <v>클리어 카드 하드 케이스 아이폰12프로</v>
          </cell>
          <cell r="AC1302">
            <v>2490.9090909090905</v>
          </cell>
          <cell r="AD1302">
            <v>249.09090909090907</v>
          </cell>
          <cell r="AE1302">
            <v>2740</v>
          </cell>
          <cell r="AG1302">
            <v>4450</v>
          </cell>
          <cell r="AH1302">
            <v>445</v>
          </cell>
          <cell r="AI1302">
            <v>4895</v>
          </cell>
          <cell r="AK1302">
            <v>1959.0909090909095</v>
          </cell>
        </row>
        <row r="1303">
          <cell r="H1303">
            <v>84390188375</v>
          </cell>
          <cell r="I1303">
            <v>31262555</v>
          </cell>
          <cell r="J1303" t="str">
            <v/>
          </cell>
          <cell r="K1303" t="str">
            <v>-</v>
          </cell>
          <cell r="L1303">
            <v>8020</v>
          </cell>
          <cell r="M1303">
            <v>8020</v>
          </cell>
          <cell r="Q1303">
            <v>8550</v>
          </cell>
          <cell r="R1303">
            <v>84390188375</v>
          </cell>
          <cell r="Y1303" t="str">
            <v>클리어 카드 하드 케이스 아이폰12프로맥스</v>
          </cell>
          <cell r="AC1303">
            <v>2490.9090909090905</v>
          </cell>
          <cell r="AD1303">
            <v>249.09090909090907</v>
          </cell>
          <cell r="AE1303">
            <v>2740</v>
          </cell>
          <cell r="AG1303">
            <v>4450</v>
          </cell>
          <cell r="AH1303">
            <v>445</v>
          </cell>
          <cell r="AI1303">
            <v>4895</v>
          </cell>
          <cell r="AK1303">
            <v>1959.0909090909095</v>
          </cell>
        </row>
        <row r="1304">
          <cell r="H1304">
            <v>84390188435</v>
          </cell>
          <cell r="I1304">
            <v>31262557</v>
          </cell>
          <cell r="J1304" t="str">
            <v/>
          </cell>
          <cell r="K1304" t="str">
            <v>-</v>
          </cell>
          <cell r="L1304">
            <v>8020</v>
          </cell>
          <cell r="M1304">
            <v>8020</v>
          </cell>
          <cell r="Q1304">
            <v>8550</v>
          </cell>
          <cell r="R1304">
            <v>84390188435</v>
          </cell>
          <cell r="Y1304" t="str">
            <v>클리어 카드 하드 케이스 아이폰13</v>
          </cell>
          <cell r="AC1304">
            <v>2490.9090909090905</v>
          </cell>
          <cell r="AD1304">
            <v>249.09090909090907</v>
          </cell>
          <cell r="AE1304">
            <v>2740</v>
          </cell>
          <cell r="AG1304">
            <v>4450</v>
          </cell>
          <cell r="AH1304">
            <v>445</v>
          </cell>
          <cell r="AI1304">
            <v>4895</v>
          </cell>
          <cell r="AK1304">
            <v>1959.0909090909095</v>
          </cell>
        </row>
        <row r="1305">
          <cell r="H1305">
            <v>84390188273</v>
          </cell>
          <cell r="I1305">
            <v>31262547</v>
          </cell>
          <cell r="J1305" t="str">
            <v/>
          </cell>
          <cell r="K1305" t="str">
            <v>-</v>
          </cell>
          <cell r="L1305">
            <v>8020</v>
          </cell>
          <cell r="M1305">
            <v>8020</v>
          </cell>
          <cell r="Q1305">
            <v>8550</v>
          </cell>
          <cell r="R1305">
            <v>84390188273</v>
          </cell>
          <cell r="Y1305" t="str">
            <v>클리어 카드 하드 케이스 아이폰13미니</v>
          </cell>
          <cell r="AC1305">
            <v>2490.9090909090905</v>
          </cell>
          <cell r="AD1305">
            <v>249.09090909090907</v>
          </cell>
          <cell r="AE1305">
            <v>2740</v>
          </cell>
          <cell r="AG1305">
            <v>4450</v>
          </cell>
          <cell r="AH1305">
            <v>445</v>
          </cell>
          <cell r="AI1305">
            <v>4895</v>
          </cell>
          <cell r="AK1305">
            <v>1959.0909090909095</v>
          </cell>
        </row>
        <row r="1306">
          <cell r="H1306">
            <v>84390188287</v>
          </cell>
          <cell r="I1306">
            <v>31262548</v>
          </cell>
          <cell r="J1306" t="str">
            <v/>
          </cell>
          <cell r="K1306" t="str">
            <v>-</v>
          </cell>
          <cell r="L1306">
            <v>8020</v>
          </cell>
          <cell r="M1306">
            <v>8020</v>
          </cell>
          <cell r="Q1306">
            <v>8550</v>
          </cell>
          <cell r="R1306">
            <v>84390188287</v>
          </cell>
          <cell r="Y1306" t="str">
            <v>클리어 카드 하드 케이스 아이폰13프로</v>
          </cell>
          <cell r="AC1306">
            <v>2490.9090909090905</v>
          </cell>
          <cell r="AD1306">
            <v>249.09090909090907</v>
          </cell>
          <cell r="AE1306">
            <v>2740</v>
          </cell>
          <cell r="AG1306">
            <v>4450</v>
          </cell>
          <cell r="AH1306">
            <v>445</v>
          </cell>
          <cell r="AI1306">
            <v>4895</v>
          </cell>
          <cell r="AK1306">
            <v>1959.0909090909095</v>
          </cell>
        </row>
        <row r="1307">
          <cell r="H1307">
            <v>84390188306</v>
          </cell>
          <cell r="I1307">
            <v>31262549</v>
          </cell>
          <cell r="J1307" t="str">
            <v/>
          </cell>
          <cell r="K1307" t="str">
            <v>-</v>
          </cell>
          <cell r="L1307">
            <v>8020</v>
          </cell>
          <cell r="M1307">
            <v>8020</v>
          </cell>
          <cell r="Q1307">
            <v>8550</v>
          </cell>
          <cell r="R1307">
            <v>84390188306</v>
          </cell>
          <cell r="Y1307" t="str">
            <v>클리어 카드 하드 케이스 아이폰13프로맥스</v>
          </cell>
          <cell r="AC1307">
            <v>2490.9090909090905</v>
          </cell>
          <cell r="AD1307">
            <v>249.09090909090907</v>
          </cell>
          <cell r="AE1307">
            <v>2740</v>
          </cell>
          <cell r="AG1307">
            <v>4450</v>
          </cell>
          <cell r="AH1307">
            <v>445</v>
          </cell>
          <cell r="AI1307">
            <v>4895</v>
          </cell>
          <cell r="AK1307">
            <v>1959.0909090909095</v>
          </cell>
        </row>
        <row r="1308">
          <cell r="H1308">
            <v>84390188317</v>
          </cell>
          <cell r="I1308">
            <v>31262550</v>
          </cell>
          <cell r="J1308">
            <v>-1</v>
          </cell>
          <cell r="K1308" t="str">
            <v>-</v>
          </cell>
          <cell r="L1308">
            <v>8020</v>
          </cell>
          <cell r="M1308">
            <v>8020</v>
          </cell>
          <cell r="Q1308">
            <v>8550</v>
          </cell>
          <cell r="R1308">
            <v>84390188317</v>
          </cell>
          <cell r="Y1308" t="str">
            <v>클리어 카드 하드 케이스 아이폰14</v>
          </cell>
          <cell r="AC1308">
            <v>2490.9090909090905</v>
          </cell>
          <cell r="AD1308">
            <v>249.09090909090907</v>
          </cell>
          <cell r="AE1308">
            <v>2740</v>
          </cell>
          <cell r="AG1308">
            <v>4450</v>
          </cell>
          <cell r="AH1308">
            <v>445</v>
          </cell>
          <cell r="AI1308">
            <v>4895</v>
          </cell>
          <cell r="AK1308">
            <v>1959.0909090909095</v>
          </cell>
        </row>
        <row r="1309">
          <cell r="H1309">
            <v>84390188401</v>
          </cell>
          <cell r="I1309">
            <v>31262556</v>
          </cell>
          <cell r="J1309" t="str">
            <v/>
          </cell>
          <cell r="K1309" t="str">
            <v>-</v>
          </cell>
          <cell r="L1309">
            <v>8020</v>
          </cell>
          <cell r="M1309">
            <v>8020</v>
          </cell>
          <cell r="Q1309">
            <v>8550</v>
          </cell>
          <cell r="R1309">
            <v>84390188401</v>
          </cell>
          <cell r="Y1309" t="str">
            <v>클리어 카드 하드 케이스 아이폰14프로</v>
          </cell>
          <cell r="AC1309">
            <v>2490.9090909090905</v>
          </cell>
          <cell r="AD1309">
            <v>249.09090909090907</v>
          </cell>
          <cell r="AE1309">
            <v>2740</v>
          </cell>
          <cell r="AG1309">
            <v>4450</v>
          </cell>
          <cell r="AH1309">
            <v>445</v>
          </cell>
          <cell r="AI1309">
            <v>4895</v>
          </cell>
          <cell r="AK1309">
            <v>1959.0909090909095</v>
          </cell>
        </row>
        <row r="1310">
          <cell r="H1310">
            <v>84390188334</v>
          </cell>
          <cell r="I1310">
            <v>31262552</v>
          </cell>
          <cell r="J1310" t="str">
            <v/>
          </cell>
          <cell r="K1310" t="str">
            <v>-</v>
          </cell>
          <cell r="L1310">
            <v>8020</v>
          </cell>
          <cell r="M1310">
            <v>8020</v>
          </cell>
          <cell r="Q1310">
            <v>8550</v>
          </cell>
          <cell r="R1310">
            <v>84390188334</v>
          </cell>
          <cell r="Y1310" t="str">
            <v>클리어 카드 하드 케이스 아이폰14프로맥스</v>
          </cell>
          <cell r="AC1310">
            <v>2490.9090909090905</v>
          </cell>
          <cell r="AD1310">
            <v>249.09090909090907</v>
          </cell>
          <cell r="AE1310">
            <v>2740</v>
          </cell>
          <cell r="AG1310">
            <v>4450</v>
          </cell>
          <cell r="AH1310">
            <v>445</v>
          </cell>
          <cell r="AI1310">
            <v>4895</v>
          </cell>
          <cell r="AK1310">
            <v>1959.0909090909095</v>
          </cell>
        </row>
        <row r="1311">
          <cell r="H1311">
            <v>84390188347</v>
          </cell>
          <cell r="I1311">
            <v>31262553</v>
          </cell>
          <cell r="J1311" t="str">
            <v/>
          </cell>
          <cell r="K1311" t="str">
            <v>-</v>
          </cell>
          <cell r="L1311">
            <v>8020</v>
          </cell>
          <cell r="M1311">
            <v>8020</v>
          </cell>
          <cell r="Q1311">
            <v>8550</v>
          </cell>
          <cell r="R1311">
            <v>84390188347</v>
          </cell>
          <cell r="Y1311" t="str">
            <v>클리어 카드 하드 케이스 아이폰14플러스</v>
          </cell>
          <cell r="AC1311">
            <v>2490.9090909090905</v>
          </cell>
          <cell r="AD1311">
            <v>249.09090909090907</v>
          </cell>
          <cell r="AE1311">
            <v>2740</v>
          </cell>
          <cell r="AG1311">
            <v>4450</v>
          </cell>
          <cell r="AH1311">
            <v>445</v>
          </cell>
          <cell r="AI1311">
            <v>4895</v>
          </cell>
          <cell r="AK1311">
            <v>1959.0909090909095</v>
          </cell>
        </row>
        <row r="1312">
          <cell r="H1312">
            <v>84388126748</v>
          </cell>
          <cell r="I1312">
            <v>31257691</v>
          </cell>
          <cell r="J1312" t="str">
            <v/>
          </cell>
          <cell r="K1312" t="str">
            <v>-</v>
          </cell>
          <cell r="L1312">
            <v>8020</v>
          </cell>
          <cell r="M1312">
            <v>8020</v>
          </cell>
          <cell r="Q1312">
            <v>8550</v>
          </cell>
          <cell r="R1312">
            <v>84388126748</v>
          </cell>
          <cell r="Y1312" t="str">
            <v>투명 라인 케이스 13프로맥스</v>
          </cell>
          <cell r="AC1312">
            <v>2272.7272727272725</v>
          </cell>
          <cell r="AD1312">
            <v>227.27272727272725</v>
          </cell>
          <cell r="AE1312">
            <v>2500</v>
          </cell>
          <cell r="AG1312">
            <v>4450</v>
          </cell>
          <cell r="AH1312">
            <v>445</v>
          </cell>
          <cell r="AI1312">
            <v>4895</v>
          </cell>
          <cell r="AK1312">
            <v>2177.2727272727275</v>
          </cell>
        </row>
        <row r="1313">
          <cell r="H1313">
            <v>84388126783</v>
          </cell>
          <cell r="I1313">
            <v>31257695</v>
          </cell>
          <cell r="J1313" t="str">
            <v/>
          </cell>
          <cell r="K1313" t="str">
            <v>-</v>
          </cell>
          <cell r="L1313">
            <v>8020</v>
          </cell>
          <cell r="M1313">
            <v>8020</v>
          </cell>
          <cell r="Q1313">
            <v>8550</v>
          </cell>
          <cell r="R1313">
            <v>84388126783</v>
          </cell>
          <cell r="Y1313" t="str">
            <v>투명 라인 케이스 갤럭시S21</v>
          </cell>
          <cell r="AC1313">
            <v>2272.7272727272725</v>
          </cell>
          <cell r="AD1313">
            <v>227.27272727272725</v>
          </cell>
          <cell r="AE1313">
            <v>2500</v>
          </cell>
          <cell r="AG1313">
            <v>4450</v>
          </cell>
          <cell r="AH1313">
            <v>445</v>
          </cell>
          <cell r="AI1313">
            <v>4895</v>
          </cell>
          <cell r="AK1313">
            <v>2177.2727272727275</v>
          </cell>
        </row>
        <row r="1314">
          <cell r="H1314">
            <v>84388126767</v>
          </cell>
          <cell r="I1314">
            <v>31257693</v>
          </cell>
          <cell r="J1314" t="str">
            <v/>
          </cell>
          <cell r="K1314" t="str">
            <v>-</v>
          </cell>
          <cell r="L1314">
            <v>8020</v>
          </cell>
          <cell r="M1314">
            <v>8020</v>
          </cell>
          <cell r="Q1314">
            <v>8550</v>
          </cell>
          <cell r="R1314">
            <v>84388126767</v>
          </cell>
          <cell r="Y1314" t="str">
            <v>투명 라인 케이스 갤럭시S21울트라</v>
          </cell>
          <cell r="AC1314">
            <v>2272.7272727272725</v>
          </cell>
          <cell r="AD1314">
            <v>227.27272727272725</v>
          </cell>
          <cell r="AE1314">
            <v>2500</v>
          </cell>
          <cell r="AG1314">
            <v>4450</v>
          </cell>
          <cell r="AH1314">
            <v>445</v>
          </cell>
          <cell r="AI1314">
            <v>4895</v>
          </cell>
          <cell r="AK1314">
            <v>2177.2727272727275</v>
          </cell>
        </row>
        <row r="1315">
          <cell r="H1315">
            <v>85255848082</v>
          </cell>
          <cell r="I1315">
            <v>33574200</v>
          </cell>
          <cell r="J1315" t="str">
            <v/>
          </cell>
          <cell r="K1315" t="str">
            <v>-</v>
          </cell>
          <cell r="L1315">
            <v>7290</v>
          </cell>
          <cell r="M1315">
            <v>7290</v>
          </cell>
          <cell r="Q1315">
            <v>7780</v>
          </cell>
          <cell r="R1315">
            <v>85255848082</v>
          </cell>
          <cell r="Y1315" t="str">
            <v>투명 라인 케이스 블랙 갤럭시 S23</v>
          </cell>
          <cell r="AC1315">
            <v>2272.7272727272725</v>
          </cell>
          <cell r="AD1315">
            <v>227.27272727272725</v>
          </cell>
          <cell r="AE1315">
            <v>2500</v>
          </cell>
          <cell r="AG1315">
            <v>4045.454545454545</v>
          </cell>
          <cell r="AH1315">
            <v>404.54545454545496</v>
          </cell>
          <cell r="AI1315">
            <v>4450</v>
          </cell>
          <cell r="AK1315">
            <v>1772.7272727272725</v>
          </cell>
        </row>
        <row r="1316">
          <cell r="H1316">
            <v>85255848104</v>
          </cell>
          <cell r="I1316">
            <v>33574201</v>
          </cell>
          <cell r="J1316" t="str">
            <v/>
          </cell>
          <cell r="K1316" t="str">
            <v>-</v>
          </cell>
          <cell r="L1316">
            <v>7290</v>
          </cell>
          <cell r="M1316">
            <v>7290</v>
          </cell>
          <cell r="Q1316">
            <v>7780</v>
          </cell>
          <cell r="R1316">
            <v>85255848104</v>
          </cell>
          <cell r="Y1316" t="str">
            <v>투명 라인 케이스 블랙 갤럭시 S23울트라</v>
          </cell>
          <cell r="AC1316">
            <v>2272.7272727272725</v>
          </cell>
          <cell r="AD1316">
            <v>227.27272727272725</v>
          </cell>
          <cell r="AE1316">
            <v>2500</v>
          </cell>
          <cell r="AG1316">
            <v>4045.454545454545</v>
          </cell>
          <cell r="AH1316">
            <v>404.54545454545496</v>
          </cell>
          <cell r="AI1316">
            <v>4450</v>
          </cell>
          <cell r="AK1316">
            <v>1772.7272727272725</v>
          </cell>
        </row>
        <row r="1317">
          <cell r="H1317">
            <v>85255848170</v>
          </cell>
          <cell r="I1317">
            <v>33574202</v>
          </cell>
          <cell r="J1317" t="str">
            <v/>
          </cell>
          <cell r="K1317" t="str">
            <v>-</v>
          </cell>
          <cell r="L1317">
            <v>7290</v>
          </cell>
          <cell r="M1317">
            <v>7290</v>
          </cell>
          <cell r="Q1317">
            <v>7780</v>
          </cell>
          <cell r="R1317">
            <v>85255848170</v>
          </cell>
          <cell r="Y1317" t="str">
            <v>투명 라인 케이스 블랙 갤럭시 S23플러스</v>
          </cell>
          <cell r="AC1317">
            <v>2272.7272727272725</v>
          </cell>
          <cell r="AD1317">
            <v>227.27272727272725</v>
          </cell>
          <cell r="AE1317">
            <v>2500</v>
          </cell>
          <cell r="AG1317">
            <v>4045.454545454545</v>
          </cell>
          <cell r="AH1317">
            <v>404.54545454545496</v>
          </cell>
          <cell r="AI1317">
            <v>4450</v>
          </cell>
          <cell r="AK1317">
            <v>1772.7272727272725</v>
          </cell>
        </row>
        <row r="1318">
          <cell r="H1318">
            <v>84388126582</v>
          </cell>
          <cell r="I1318">
            <v>31257674</v>
          </cell>
          <cell r="J1318" t="str">
            <v/>
          </cell>
          <cell r="K1318" t="str">
            <v>-</v>
          </cell>
          <cell r="L1318">
            <v>8020</v>
          </cell>
          <cell r="M1318">
            <v>8020</v>
          </cell>
          <cell r="Q1318">
            <v>8550</v>
          </cell>
          <cell r="R1318">
            <v>84388126582</v>
          </cell>
          <cell r="Y1318" t="str">
            <v>투명 라인 케이스 블랙 갤럭시S21플러스</v>
          </cell>
          <cell r="AC1318">
            <v>2272.7272727272725</v>
          </cell>
          <cell r="AD1318">
            <v>227.27272727272725</v>
          </cell>
          <cell r="AE1318">
            <v>2500</v>
          </cell>
          <cell r="AG1318">
            <v>4450</v>
          </cell>
          <cell r="AH1318">
            <v>445</v>
          </cell>
          <cell r="AI1318">
            <v>4895</v>
          </cell>
          <cell r="AK1318">
            <v>2177.2727272727275</v>
          </cell>
        </row>
        <row r="1319">
          <cell r="H1319">
            <v>84388126607</v>
          </cell>
          <cell r="I1319">
            <v>31257676</v>
          </cell>
          <cell r="J1319" t="str">
            <v/>
          </cell>
          <cell r="K1319" t="str">
            <v>-</v>
          </cell>
          <cell r="L1319">
            <v>8020</v>
          </cell>
          <cell r="M1319">
            <v>8020</v>
          </cell>
          <cell r="Q1319">
            <v>8550</v>
          </cell>
          <cell r="R1319">
            <v>84388126607</v>
          </cell>
          <cell r="Y1319" t="str">
            <v>투명 라인 케이스 블랙 갤럭시S22</v>
          </cell>
          <cell r="AC1319">
            <v>2272.7272727272725</v>
          </cell>
          <cell r="AD1319">
            <v>227.27272727272725</v>
          </cell>
          <cell r="AE1319">
            <v>2500</v>
          </cell>
          <cell r="AG1319">
            <v>4450</v>
          </cell>
          <cell r="AH1319">
            <v>445</v>
          </cell>
          <cell r="AI1319">
            <v>4895</v>
          </cell>
          <cell r="AK1319">
            <v>2177.2727272727275</v>
          </cell>
        </row>
        <row r="1320">
          <cell r="H1320">
            <v>84388126595</v>
          </cell>
          <cell r="I1320">
            <v>31257675</v>
          </cell>
          <cell r="J1320" t="str">
            <v/>
          </cell>
          <cell r="K1320" t="str">
            <v>-</v>
          </cell>
          <cell r="L1320">
            <v>8020</v>
          </cell>
          <cell r="M1320">
            <v>8020</v>
          </cell>
          <cell r="Q1320">
            <v>8550</v>
          </cell>
          <cell r="R1320">
            <v>84388126595</v>
          </cell>
          <cell r="Y1320" t="str">
            <v>투명 라인 케이스 블랙 갤럭시S22울트라</v>
          </cell>
          <cell r="AC1320">
            <v>2272.7272727272725</v>
          </cell>
          <cell r="AD1320">
            <v>227.27272727272725</v>
          </cell>
          <cell r="AE1320">
            <v>2500</v>
          </cell>
          <cell r="AG1320">
            <v>4450</v>
          </cell>
          <cell r="AH1320">
            <v>445</v>
          </cell>
          <cell r="AI1320">
            <v>4895</v>
          </cell>
          <cell r="AK1320">
            <v>2177.2727272727275</v>
          </cell>
        </row>
        <row r="1321">
          <cell r="H1321">
            <v>84388126653</v>
          </cell>
          <cell r="I1321">
            <v>31257681</v>
          </cell>
          <cell r="J1321" t="str">
            <v/>
          </cell>
          <cell r="K1321" t="str">
            <v>-</v>
          </cell>
          <cell r="L1321">
            <v>8020</v>
          </cell>
          <cell r="M1321">
            <v>8020</v>
          </cell>
          <cell r="Q1321">
            <v>8550</v>
          </cell>
          <cell r="R1321">
            <v>84388126653</v>
          </cell>
          <cell r="Y1321" t="str">
            <v>투명 라인 케이스 블랙 갤럭시S22플러스</v>
          </cell>
          <cell r="AC1321">
            <v>2272.7272727272725</v>
          </cell>
          <cell r="AD1321">
            <v>227.27272727272725</v>
          </cell>
          <cell r="AE1321">
            <v>2500</v>
          </cell>
          <cell r="AG1321">
            <v>4450</v>
          </cell>
          <cell r="AH1321">
            <v>445</v>
          </cell>
          <cell r="AI1321">
            <v>4895</v>
          </cell>
          <cell r="AK1321">
            <v>2177.2727272727275</v>
          </cell>
        </row>
        <row r="1322">
          <cell r="H1322">
            <v>84388126731</v>
          </cell>
          <cell r="I1322">
            <v>31257689</v>
          </cell>
          <cell r="J1322" t="str">
            <v/>
          </cell>
          <cell r="K1322" t="str">
            <v>-</v>
          </cell>
          <cell r="L1322">
            <v>8020</v>
          </cell>
          <cell r="M1322">
            <v>8020</v>
          </cell>
          <cell r="Q1322">
            <v>8550</v>
          </cell>
          <cell r="R1322">
            <v>84388126731</v>
          </cell>
          <cell r="Y1322" t="str">
            <v>투명 라인 케이스 블랙 아이폰12</v>
          </cell>
          <cell r="AC1322">
            <v>2272.7272727272725</v>
          </cell>
          <cell r="AD1322">
            <v>227.27272727272725</v>
          </cell>
          <cell r="AE1322">
            <v>2500</v>
          </cell>
          <cell r="AG1322">
            <v>4450</v>
          </cell>
          <cell r="AH1322">
            <v>445</v>
          </cell>
          <cell r="AI1322">
            <v>4895</v>
          </cell>
          <cell r="AK1322">
            <v>2177.2727272727275</v>
          </cell>
        </row>
        <row r="1323">
          <cell r="H1323">
            <v>84388126774</v>
          </cell>
          <cell r="I1323">
            <v>31257694</v>
          </cell>
          <cell r="J1323" t="str">
            <v/>
          </cell>
          <cell r="K1323" t="str">
            <v>-</v>
          </cell>
          <cell r="L1323">
            <v>8020</v>
          </cell>
          <cell r="M1323">
            <v>8020</v>
          </cell>
          <cell r="Q1323">
            <v>8550</v>
          </cell>
          <cell r="R1323">
            <v>84388126774</v>
          </cell>
          <cell r="Y1323" t="str">
            <v>투명 라인 케이스 블랙 아이폰12미니</v>
          </cell>
          <cell r="AC1323">
            <v>2272.7272727272725</v>
          </cell>
          <cell r="AD1323">
            <v>227.27272727272725</v>
          </cell>
          <cell r="AE1323">
            <v>2500</v>
          </cell>
          <cell r="AG1323">
            <v>4450</v>
          </cell>
          <cell r="AH1323">
            <v>445</v>
          </cell>
          <cell r="AI1323">
            <v>4895</v>
          </cell>
          <cell r="AK1323">
            <v>2177.2727272727275</v>
          </cell>
        </row>
        <row r="1324">
          <cell r="H1324">
            <v>84388126702</v>
          </cell>
          <cell r="I1324">
            <v>31257686</v>
          </cell>
          <cell r="J1324" t="str">
            <v/>
          </cell>
          <cell r="K1324" t="str">
            <v>-</v>
          </cell>
          <cell r="L1324">
            <v>8020</v>
          </cell>
          <cell r="M1324">
            <v>8020</v>
          </cell>
          <cell r="Q1324">
            <v>8550</v>
          </cell>
          <cell r="R1324">
            <v>84388126702</v>
          </cell>
          <cell r="Y1324" t="str">
            <v>투명 라인 케이스 블랙 아이폰12프로</v>
          </cell>
          <cell r="AC1324">
            <v>2272.7272727272725</v>
          </cell>
          <cell r="AD1324">
            <v>227.27272727272725</v>
          </cell>
          <cell r="AE1324">
            <v>2500</v>
          </cell>
          <cell r="AG1324">
            <v>4450</v>
          </cell>
          <cell r="AH1324">
            <v>445</v>
          </cell>
          <cell r="AI1324">
            <v>4895</v>
          </cell>
          <cell r="AK1324">
            <v>2177.2727272727275</v>
          </cell>
        </row>
        <row r="1325">
          <cell r="H1325">
            <v>84388126683</v>
          </cell>
          <cell r="I1325">
            <v>31257685</v>
          </cell>
          <cell r="J1325" t="str">
            <v/>
          </cell>
          <cell r="K1325" t="str">
            <v>-</v>
          </cell>
          <cell r="L1325">
            <v>8020</v>
          </cell>
          <cell r="M1325">
            <v>8020</v>
          </cell>
          <cell r="Q1325">
            <v>8550</v>
          </cell>
          <cell r="R1325">
            <v>84388126683</v>
          </cell>
          <cell r="Y1325" t="str">
            <v>투명 라인 케이스 블랙 아이폰12프로맥스</v>
          </cell>
          <cell r="AC1325">
            <v>2272.7272727272725</v>
          </cell>
          <cell r="AD1325">
            <v>227.27272727272725</v>
          </cell>
          <cell r="AE1325">
            <v>2500</v>
          </cell>
          <cell r="AG1325">
            <v>4450</v>
          </cell>
          <cell r="AH1325">
            <v>445</v>
          </cell>
          <cell r="AI1325">
            <v>4895</v>
          </cell>
          <cell r="AK1325">
            <v>2177.2727272727275</v>
          </cell>
        </row>
        <row r="1326">
          <cell r="H1326">
            <v>84388126663</v>
          </cell>
          <cell r="I1326">
            <v>31257683</v>
          </cell>
          <cell r="J1326" t="str">
            <v/>
          </cell>
          <cell r="K1326" t="str">
            <v>-</v>
          </cell>
          <cell r="L1326">
            <v>8020</v>
          </cell>
          <cell r="M1326">
            <v>8020</v>
          </cell>
          <cell r="Q1326">
            <v>8550</v>
          </cell>
          <cell r="R1326">
            <v>84388126663</v>
          </cell>
          <cell r="Y1326" t="str">
            <v>투명 라인 케이스 블랙 아이폰13</v>
          </cell>
          <cell r="AC1326">
            <v>2272.7272727272725</v>
          </cell>
          <cell r="AD1326">
            <v>227.27272727272725</v>
          </cell>
          <cell r="AE1326">
            <v>2500</v>
          </cell>
          <cell r="AG1326">
            <v>4450</v>
          </cell>
          <cell r="AH1326">
            <v>445</v>
          </cell>
          <cell r="AI1326">
            <v>4895</v>
          </cell>
          <cell r="AK1326">
            <v>2177.2727272727275</v>
          </cell>
        </row>
        <row r="1327">
          <cell r="H1327">
            <v>84388126617</v>
          </cell>
          <cell r="I1327">
            <v>31257677</v>
          </cell>
          <cell r="J1327" t="str">
            <v/>
          </cell>
          <cell r="K1327" t="str">
            <v>-</v>
          </cell>
          <cell r="L1327">
            <v>8020</v>
          </cell>
          <cell r="M1327">
            <v>8020</v>
          </cell>
          <cell r="Q1327">
            <v>8550</v>
          </cell>
          <cell r="R1327">
            <v>84388126617</v>
          </cell>
          <cell r="Y1327" t="str">
            <v>투명 라인 케이스 블랙 아이폰13미니</v>
          </cell>
          <cell r="AC1327">
            <v>2272.7272727272725</v>
          </cell>
          <cell r="AD1327">
            <v>227.27272727272725</v>
          </cell>
          <cell r="AE1327">
            <v>2500</v>
          </cell>
          <cell r="AG1327">
            <v>4450</v>
          </cell>
          <cell r="AH1327">
            <v>445</v>
          </cell>
          <cell r="AI1327">
            <v>4895</v>
          </cell>
          <cell r="AK1327">
            <v>2177.2727272727275</v>
          </cell>
        </row>
        <row r="1328">
          <cell r="H1328">
            <v>84388126856</v>
          </cell>
          <cell r="I1328">
            <v>31257701</v>
          </cell>
          <cell r="J1328" t="str">
            <v/>
          </cell>
          <cell r="K1328" t="str">
            <v>-</v>
          </cell>
          <cell r="L1328">
            <v>8020</v>
          </cell>
          <cell r="M1328">
            <v>8020</v>
          </cell>
          <cell r="Q1328">
            <v>8550</v>
          </cell>
          <cell r="R1328">
            <v>84388126856</v>
          </cell>
          <cell r="Y1328" t="str">
            <v>투명 라인 케이스 블랙 아이폰13프로</v>
          </cell>
          <cell r="AC1328">
            <v>2272.7272727272725</v>
          </cell>
          <cell r="AD1328">
            <v>227.27272727272725</v>
          </cell>
          <cell r="AE1328">
            <v>2500</v>
          </cell>
          <cell r="AG1328">
            <v>4450</v>
          </cell>
          <cell r="AH1328">
            <v>445</v>
          </cell>
          <cell r="AI1328">
            <v>4895</v>
          </cell>
          <cell r="AK1328">
            <v>2177.2727272727275</v>
          </cell>
        </row>
        <row r="1329">
          <cell r="H1329">
            <v>84388126839</v>
          </cell>
          <cell r="I1329">
            <v>31257699</v>
          </cell>
          <cell r="J1329" t="str">
            <v/>
          </cell>
          <cell r="K1329" t="str">
            <v>-</v>
          </cell>
          <cell r="L1329">
            <v>8020</v>
          </cell>
          <cell r="M1329">
            <v>8020</v>
          </cell>
          <cell r="Q1329">
            <v>8550</v>
          </cell>
          <cell r="R1329">
            <v>84388126839</v>
          </cell>
          <cell r="Y1329" t="str">
            <v>투명 라인 케이스 블랙 아이폰14</v>
          </cell>
          <cell r="AC1329">
            <v>2272.7272727272725</v>
          </cell>
          <cell r="AD1329">
            <v>227.27272727272725</v>
          </cell>
          <cell r="AE1329">
            <v>2500</v>
          </cell>
          <cell r="AG1329">
            <v>4450</v>
          </cell>
          <cell r="AH1329">
            <v>445</v>
          </cell>
          <cell r="AI1329">
            <v>4895</v>
          </cell>
          <cell r="AK1329">
            <v>2177.2727272727275</v>
          </cell>
        </row>
        <row r="1330">
          <cell r="H1330">
            <v>84388126819</v>
          </cell>
          <cell r="I1330">
            <v>31257698</v>
          </cell>
          <cell r="J1330" t="str">
            <v/>
          </cell>
          <cell r="K1330" t="str">
            <v>-</v>
          </cell>
          <cell r="L1330">
            <v>8020</v>
          </cell>
          <cell r="M1330">
            <v>8020</v>
          </cell>
          <cell r="Q1330">
            <v>8550</v>
          </cell>
          <cell r="R1330">
            <v>84388126819</v>
          </cell>
          <cell r="Y1330" t="str">
            <v>투명 라인 케이스 블랙 아이폰14프로</v>
          </cell>
          <cell r="AC1330">
            <v>2272.7272727272725</v>
          </cell>
          <cell r="AD1330">
            <v>227.27272727272725</v>
          </cell>
          <cell r="AE1330">
            <v>2500</v>
          </cell>
          <cell r="AG1330">
            <v>4450</v>
          </cell>
          <cell r="AH1330">
            <v>445</v>
          </cell>
          <cell r="AI1330">
            <v>4895</v>
          </cell>
          <cell r="AK1330">
            <v>2177.2727272727275</v>
          </cell>
        </row>
        <row r="1331">
          <cell r="H1331">
            <v>84388126802</v>
          </cell>
          <cell r="I1331">
            <v>31257697</v>
          </cell>
          <cell r="J1331" t="str">
            <v/>
          </cell>
          <cell r="K1331" t="str">
            <v>-</v>
          </cell>
          <cell r="L1331">
            <v>8020</v>
          </cell>
          <cell r="M1331">
            <v>8020</v>
          </cell>
          <cell r="Q1331">
            <v>8550</v>
          </cell>
          <cell r="R1331">
            <v>84388126802</v>
          </cell>
          <cell r="Y1331" t="str">
            <v>투명 라인 케이스 블랙 아이폰14프로맥스</v>
          </cell>
          <cell r="AC1331">
            <v>2272.7272727272725</v>
          </cell>
          <cell r="AD1331">
            <v>227.27272727272725</v>
          </cell>
          <cell r="AE1331">
            <v>2500</v>
          </cell>
          <cell r="AG1331">
            <v>4450</v>
          </cell>
          <cell r="AH1331">
            <v>445</v>
          </cell>
          <cell r="AI1331">
            <v>4895</v>
          </cell>
          <cell r="AK1331">
            <v>2177.2727272727275</v>
          </cell>
        </row>
        <row r="1332">
          <cell r="H1332">
            <v>84388126874</v>
          </cell>
          <cell r="I1332">
            <v>31257704</v>
          </cell>
          <cell r="J1332" t="str">
            <v/>
          </cell>
          <cell r="K1332" t="str">
            <v>-</v>
          </cell>
          <cell r="L1332">
            <v>8020</v>
          </cell>
          <cell r="M1332">
            <v>8020</v>
          </cell>
          <cell r="Q1332">
            <v>8550</v>
          </cell>
          <cell r="R1332">
            <v>84388126874</v>
          </cell>
          <cell r="Y1332" t="str">
            <v>투명 라인 케이스 블랙 아이폰14플러스</v>
          </cell>
          <cell r="AC1332">
            <v>2272.7272727272725</v>
          </cell>
          <cell r="AD1332">
            <v>227.27272727272725</v>
          </cell>
          <cell r="AE1332">
            <v>2500</v>
          </cell>
          <cell r="AG1332">
            <v>4450</v>
          </cell>
          <cell r="AH1332">
            <v>445</v>
          </cell>
          <cell r="AI1332">
            <v>4895</v>
          </cell>
          <cell r="AK1332">
            <v>2177.2727272727275</v>
          </cell>
        </row>
        <row r="1333">
          <cell r="H1333">
            <v>85255848272</v>
          </cell>
          <cell r="I1333">
            <v>33574203</v>
          </cell>
          <cell r="J1333" t="str">
            <v/>
          </cell>
          <cell r="K1333" t="str">
            <v>-</v>
          </cell>
          <cell r="L1333">
            <v>7290</v>
          </cell>
          <cell r="M1333">
            <v>7290</v>
          </cell>
          <cell r="Q1333">
            <v>7780</v>
          </cell>
          <cell r="R1333">
            <v>85255848272</v>
          </cell>
          <cell r="Y1333" t="str">
            <v>투명 라인 케이스 화이트 갤럭시 S23</v>
          </cell>
          <cell r="AC1333">
            <v>2272.7272727272725</v>
          </cell>
          <cell r="AD1333">
            <v>227.27272727272725</v>
          </cell>
          <cell r="AE1333">
            <v>2500</v>
          </cell>
          <cell r="AG1333">
            <v>4045.454545454545</v>
          </cell>
          <cell r="AH1333">
            <v>404.54545454545496</v>
          </cell>
          <cell r="AI1333">
            <v>4450</v>
          </cell>
          <cell r="AK1333">
            <v>1772.7272727272725</v>
          </cell>
        </row>
        <row r="1334">
          <cell r="H1334">
            <v>85255848315</v>
          </cell>
          <cell r="I1334">
            <v>33574204</v>
          </cell>
          <cell r="J1334" t="str">
            <v/>
          </cell>
          <cell r="K1334" t="str">
            <v>-</v>
          </cell>
          <cell r="L1334">
            <v>7290</v>
          </cell>
          <cell r="M1334">
            <v>7290</v>
          </cell>
          <cell r="Q1334">
            <v>7780</v>
          </cell>
          <cell r="R1334">
            <v>85255848315</v>
          </cell>
          <cell r="Y1334" t="str">
            <v>투명 라인 케이스 화이트 갤럭시 S23울트라</v>
          </cell>
          <cell r="AC1334">
            <v>2272.7272727272725</v>
          </cell>
          <cell r="AD1334">
            <v>227.27272727272725</v>
          </cell>
          <cell r="AE1334">
            <v>2500</v>
          </cell>
          <cell r="AG1334">
            <v>4045.454545454545</v>
          </cell>
          <cell r="AH1334">
            <v>404.54545454545496</v>
          </cell>
          <cell r="AI1334">
            <v>4450</v>
          </cell>
          <cell r="AK1334">
            <v>1772.7272727272725</v>
          </cell>
        </row>
        <row r="1335">
          <cell r="H1335">
            <v>85255848355</v>
          </cell>
          <cell r="I1335">
            <v>33574205</v>
          </cell>
          <cell r="J1335" t="str">
            <v/>
          </cell>
          <cell r="K1335" t="str">
            <v>-</v>
          </cell>
          <cell r="L1335">
            <v>7290</v>
          </cell>
          <cell r="M1335">
            <v>7290</v>
          </cell>
          <cell r="Q1335">
            <v>7780</v>
          </cell>
          <cell r="R1335">
            <v>85255848355</v>
          </cell>
          <cell r="Y1335" t="str">
            <v>투명 라인 케이스 화이트 갤럭시 S23플러스</v>
          </cell>
          <cell r="AC1335">
            <v>2272.7272727272725</v>
          </cell>
          <cell r="AD1335">
            <v>227.27272727272725</v>
          </cell>
          <cell r="AE1335">
            <v>2500</v>
          </cell>
          <cell r="AG1335">
            <v>4045.454545454545</v>
          </cell>
          <cell r="AH1335">
            <v>404.54545454545496</v>
          </cell>
          <cell r="AI1335">
            <v>4450</v>
          </cell>
          <cell r="AK1335">
            <v>1772.7272727272725</v>
          </cell>
        </row>
        <row r="1336">
          <cell r="H1336">
            <v>84606519864</v>
          </cell>
          <cell r="I1336">
            <v>31778197</v>
          </cell>
          <cell r="J1336" t="str">
            <v/>
          </cell>
          <cell r="K1336" t="str">
            <v>-</v>
          </cell>
          <cell r="L1336">
            <v>8020</v>
          </cell>
          <cell r="M1336">
            <v>8020</v>
          </cell>
          <cell r="Q1336">
            <v>8550</v>
          </cell>
          <cell r="R1336">
            <v>84606519864</v>
          </cell>
          <cell r="Y1336" t="str">
            <v>투명 라인 케이스 화이트 갤럭시S21</v>
          </cell>
          <cell r="AC1336">
            <v>2272.7272727272725</v>
          </cell>
          <cell r="AD1336">
            <v>227.27272727272725</v>
          </cell>
          <cell r="AE1336">
            <v>2500</v>
          </cell>
          <cell r="AG1336">
            <v>4450</v>
          </cell>
          <cell r="AH1336">
            <v>445</v>
          </cell>
          <cell r="AI1336">
            <v>4895</v>
          </cell>
          <cell r="AK1336">
            <v>2177.2727272727275</v>
          </cell>
        </row>
        <row r="1337">
          <cell r="H1337">
            <v>84606519916</v>
          </cell>
          <cell r="I1337">
            <v>31778201</v>
          </cell>
          <cell r="J1337" t="str">
            <v/>
          </cell>
          <cell r="K1337" t="str">
            <v>-</v>
          </cell>
          <cell r="L1337">
            <v>8020</v>
          </cell>
          <cell r="M1337">
            <v>8020</v>
          </cell>
          <cell r="Q1337">
            <v>8550</v>
          </cell>
          <cell r="R1337">
            <v>84606519916</v>
          </cell>
          <cell r="Y1337" t="str">
            <v>투명 라인 케이스 화이트 갤럭시S21울트라</v>
          </cell>
          <cell r="AC1337">
            <v>2272.7272727272725</v>
          </cell>
          <cell r="AD1337">
            <v>227.27272727272725</v>
          </cell>
          <cell r="AE1337">
            <v>2500</v>
          </cell>
          <cell r="AG1337">
            <v>4450</v>
          </cell>
          <cell r="AH1337">
            <v>445</v>
          </cell>
          <cell r="AI1337">
            <v>4895</v>
          </cell>
          <cell r="AK1337">
            <v>2177.2727272727275</v>
          </cell>
        </row>
        <row r="1338">
          <cell r="H1338">
            <v>84606519950</v>
          </cell>
          <cell r="I1338">
            <v>31778205</v>
          </cell>
          <cell r="J1338" t="str">
            <v/>
          </cell>
          <cell r="K1338" t="str">
            <v>-</v>
          </cell>
          <cell r="L1338">
            <v>8020</v>
          </cell>
          <cell r="M1338">
            <v>8020</v>
          </cell>
          <cell r="Q1338">
            <v>8550</v>
          </cell>
          <cell r="R1338">
            <v>84606519950</v>
          </cell>
          <cell r="Y1338" t="str">
            <v>투명 라인 케이스 화이트 갤럭시S21플러스</v>
          </cell>
          <cell r="AC1338">
            <v>2272.7272727272725</v>
          </cell>
          <cell r="AD1338">
            <v>227.27272727272725</v>
          </cell>
          <cell r="AE1338">
            <v>2500</v>
          </cell>
          <cell r="AG1338">
            <v>4450</v>
          </cell>
          <cell r="AH1338">
            <v>445</v>
          </cell>
          <cell r="AI1338">
            <v>4895</v>
          </cell>
          <cell r="AK1338">
            <v>2177.2727272727275</v>
          </cell>
        </row>
        <row r="1339">
          <cell r="H1339">
            <v>84606519960</v>
          </cell>
          <cell r="I1339">
            <v>31778207</v>
          </cell>
          <cell r="J1339" t="str">
            <v/>
          </cell>
          <cell r="K1339" t="str">
            <v>-</v>
          </cell>
          <cell r="L1339">
            <v>8020</v>
          </cell>
          <cell r="M1339">
            <v>8020</v>
          </cell>
          <cell r="Q1339">
            <v>8550</v>
          </cell>
          <cell r="R1339">
            <v>84606519960</v>
          </cell>
          <cell r="Y1339" t="str">
            <v>투명 라인 케이스 화이트 갤럭시S22</v>
          </cell>
          <cell r="AC1339">
            <v>2272.7272727272725</v>
          </cell>
          <cell r="AD1339">
            <v>227.27272727272725</v>
          </cell>
          <cell r="AE1339">
            <v>2500</v>
          </cell>
          <cell r="AG1339">
            <v>4450</v>
          </cell>
          <cell r="AH1339">
            <v>445</v>
          </cell>
          <cell r="AI1339">
            <v>4895</v>
          </cell>
          <cell r="AK1339">
            <v>2177.2727272727275</v>
          </cell>
        </row>
        <row r="1340">
          <cell r="H1340">
            <v>84606519973</v>
          </cell>
          <cell r="I1340">
            <v>31778211</v>
          </cell>
          <cell r="J1340" t="str">
            <v/>
          </cell>
          <cell r="K1340" t="str">
            <v>-</v>
          </cell>
          <cell r="L1340">
            <v>8020</v>
          </cell>
          <cell r="M1340">
            <v>8020</v>
          </cell>
          <cell r="Q1340">
            <v>8550</v>
          </cell>
          <cell r="R1340">
            <v>84606519973</v>
          </cell>
          <cell r="Y1340" t="str">
            <v>투명 라인 케이스 화이트 갤럭시S22울트라</v>
          </cell>
          <cell r="AC1340">
            <v>2272.7272727272725</v>
          </cell>
          <cell r="AD1340">
            <v>227.27272727272725</v>
          </cell>
          <cell r="AE1340">
            <v>2500</v>
          </cell>
          <cell r="AG1340">
            <v>4450</v>
          </cell>
          <cell r="AH1340">
            <v>445</v>
          </cell>
          <cell r="AI1340">
            <v>4895</v>
          </cell>
          <cell r="AK1340">
            <v>2177.2727272727275</v>
          </cell>
        </row>
        <row r="1341">
          <cell r="H1341">
            <v>84606519812</v>
          </cell>
          <cell r="I1341">
            <v>31778190</v>
          </cell>
          <cell r="J1341" t="str">
            <v/>
          </cell>
          <cell r="K1341" t="str">
            <v>-</v>
          </cell>
          <cell r="L1341">
            <v>8020</v>
          </cell>
          <cell r="M1341">
            <v>8020</v>
          </cell>
          <cell r="Q1341">
            <v>8550</v>
          </cell>
          <cell r="R1341">
            <v>84606519812</v>
          </cell>
          <cell r="Y1341" t="str">
            <v>투명 라인 케이스 화이트 갤럭시S22플러스</v>
          </cell>
          <cell r="AC1341">
            <v>2272.7272727272725</v>
          </cell>
          <cell r="AD1341">
            <v>227.27272727272725</v>
          </cell>
          <cell r="AE1341">
            <v>2500</v>
          </cell>
          <cell r="AG1341">
            <v>4450</v>
          </cell>
          <cell r="AH1341">
            <v>445</v>
          </cell>
          <cell r="AI1341">
            <v>4895</v>
          </cell>
          <cell r="AK1341">
            <v>2177.2727272727275</v>
          </cell>
        </row>
        <row r="1342">
          <cell r="H1342">
            <v>84606519964</v>
          </cell>
          <cell r="I1342">
            <v>31778208</v>
          </cell>
          <cell r="J1342" t="str">
            <v/>
          </cell>
          <cell r="K1342" t="str">
            <v>-</v>
          </cell>
          <cell r="L1342">
            <v>8020</v>
          </cell>
          <cell r="M1342">
            <v>8020</v>
          </cell>
          <cell r="Q1342">
            <v>8550</v>
          </cell>
          <cell r="R1342">
            <v>84606519964</v>
          </cell>
          <cell r="Y1342" t="str">
            <v>투명 라인 케이스 화이트 아이폰 13프로맥스</v>
          </cell>
          <cell r="AC1342">
            <v>2272.7272727272725</v>
          </cell>
          <cell r="AD1342">
            <v>227.27272727272725</v>
          </cell>
          <cell r="AE1342">
            <v>2500</v>
          </cell>
          <cell r="AG1342">
            <v>4450</v>
          </cell>
          <cell r="AH1342">
            <v>445</v>
          </cell>
          <cell r="AI1342">
            <v>4895</v>
          </cell>
          <cell r="AK1342">
            <v>2177.2727272727275</v>
          </cell>
        </row>
        <row r="1343">
          <cell r="H1343">
            <v>84606519943</v>
          </cell>
          <cell r="I1343">
            <v>31778204</v>
          </cell>
          <cell r="J1343" t="str">
            <v/>
          </cell>
          <cell r="K1343" t="str">
            <v>-</v>
          </cell>
          <cell r="L1343">
            <v>8020</v>
          </cell>
          <cell r="M1343">
            <v>8020</v>
          </cell>
          <cell r="Q1343">
            <v>8550</v>
          </cell>
          <cell r="R1343">
            <v>84606519943</v>
          </cell>
          <cell r="Y1343" t="str">
            <v>투명 라인 케이스 화이트 아이폰12</v>
          </cell>
          <cell r="AC1343">
            <v>2272.7272727272725</v>
          </cell>
          <cell r="AD1343">
            <v>227.27272727272725</v>
          </cell>
          <cell r="AE1343">
            <v>2500</v>
          </cell>
          <cell r="AG1343">
            <v>4450</v>
          </cell>
          <cell r="AH1343">
            <v>445</v>
          </cell>
          <cell r="AI1343">
            <v>4895</v>
          </cell>
          <cell r="AK1343">
            <v>2177.2727272727275</v>
          </cell>
        </row>
        <row r="1344">
          <cell r="H1344">
            <v>84606519899</v>
          </cell>
          <cell r="I1344">
            <v>31778199</v>
          </cell>
          <cell r="J1344" t="str">
            <v/>
          </cell>
          <cell r="K1344" t="str">
            <v>-</v>
          </cell>
          <cell r="L1344">
            <v>8020</v>
          </cell>
          <cell r="M1344">
            <v>8020</v>
          </cell>
          <cell r="Q1344">
            <v>8550</v>
          </cell>
          <cell r="R1344">
            <v>84606519899</v>
          </cell>
          <cell r="Y1344" t="str">
            <v>투명 라인 케이스 화이트 아이폰12미니</v>
          </cell>
          <cell r="AC1344">
            <v>2272.7272727272725</v>
          </cell>
          <cell r="AD1344">
            <v>227.27272727272725</v>
          </cell>
          <cell r="AE1344">
            <v>2500</v>
          </cell>
          <cell r="AG1344">
            <v>4450</v>
          </cell>
          <cell r="AH1344">
            <v>445</v>
          </cell>
          <cell r="AI1344">
            <v>4895</v>
          </cell>
          <cell r="AK1344">
            <v>2177.2727272727275</v>
          </cell>
        </row>
        <row r="1345">
          <cell r="H1345">
            <v>84606519910</v>
          </cell>
          <cell r="I1345">
            <v>31778200</v>
          </cell>
          <cell r="J1345" t="str">
            <v/>
          </cell>
          <cell r="K1345" t="str">
            <v>-</v>
          </cell>
          <cell r="L1345">
            <v>8020</v>
          </cell>
          <cell r="M1345">
            <v>8020</v>
          </cell>
          <cell r="Q1345">
            <v>8550</v>
          </cell>
          <cell r="R1345">
            <v>84606519910</v>
          </cell>
          <cell r="Y1345" t="str">
            <v>투명 라인 케이스 화이트 아이폰12프로</v>
          </cell>
          <cell r="AC1345">
            <v>2272.7272727272725</v>
          </cell>
          <cell r="AD1345">
            <v>227.27272727272725</v>
          </cell>
          <cell r="AE1345">
            <v>2500</v>
          </cell>
          <cell r="AG1345">
            <v>4450</v>
          </cell>
          <cell r="AH1345">
            <v>445</v>
          </cell>
          <cell r="AI1345">
            <v>4895</v>
          </cell>
          <cell r="AK1345">
            <v>2177.2727272727275</v>
          </cell>
        </row>
        <row r="1346">
          <cell r="H1346">
            <v>84606519925</v>
          </cell>
          <cell r="I1346">
            <v>31778202</v>
          </cell>
          <cell r="J1346" t="str">
            <v/>
          </cell>
          <cell r="K1346" t="str">
            <v>-</v>
          </cell>
          <cell r="L1346">
            <v>8020</v>
          </cell>
          <cell r="M1346">
            <v>8020</v>
          </cell>
          <cell r="Q1346">
            <v>8550</v>
          </cell>
          <cell r="R1346">
            <v>84606519925</v>
          </cell>
          <cell r="Y1346" t="str">
            <v>투명 라인 케이스 화이트 아이폰12프로맥스</v>
          </cell>
          <cell r="AC1346">
            <v>2272.7272727272725</v>
          </cell>
          <cell r="AD1346">
            <v>227.27272727272725</v>
          </cell>
          <cell r="AE1346">
            <v>2500</v>
          </cell>
          <cell r="AG1346">
            <v>4450</v>
          </cell>
          <cell r="AH1346">
            <v>445</v>
          </cell>
          <cell r="AI1346">
            <v>4895</v>
          </cell>
          <cell r="AK1346">
            <v>2177.2727272727275</v>
          </cell>
        </row>
        <row r="1347">
          <cell r="H1347">
            <v>84606519881</v>
          </cell>
          <cell r="I1347">
            <v>31778198</v>
          </cell>
          <cell r="J1347" t="str">
            <v/>
          </cell>
          <cell r="K1347" t="str">
            <v>-</v>
          </cell>
          <cell r="L1347">
            <v>8020</v>
          </cell>
          <cell r="M1347">
            <v>8020</v>
          </cell>
          <cell r="Q1347">
            <v>8550</v>
          </cell>
          <cell r="R1347">
            <v>84606519881</v>
          </cell>
          <cell r="Y1347" t="str">
            <v>투명 라인 케이스 화이트 아이폰13</v>
          </cell>
          <cell r="AC1347">
            <v>2272.7272727272725</v>
          </cell>
          <cell r="AD1347">
            <v>227.27272727272725</v>
          </cell>
          <cell r="AE1347">
            <v>2500</v>
          </cell>
          <cell r="AG1347">
            <v>4450</v>
          </cell>
          <cell r="AH1347">
            <v>445</v>
          </cell>
          <cell r="AI1347">
            <v>4895</v>
          </cell>
          <cell r="AK1347">
            <v>2177.2727272727275</v>
          </cell>
        </row>
        <row r="1348">
          <cell r="H1348">
            <v>84606519794</v>
          </cell>
          <cell r="I1348">
            <v>31778187</v>
          </cell>
          <cell r="J1348" t="str">
            <v/>
          </cell>
          <cell r="K1348" t="str">
            <v>-</v>
          </cell>
          <cell r="L1348">
            <v>8020</v>
          </cell>
          <cell r="M1348">
            <v>8020</v>
          </cell>
          <cell r="Q1348">
            <v>8550</v>
          </cell>
          <cell r="R1348">
            <v>84606519794</v>
          </cell>
          <cell r="Y1348" t="str">
            <v>투명 라인 케이스 화이트 아이폰13미니</v>
          </cell>
          <cell r="AC1348">
            <v>2272.7272727272725</v>
          </cell>
          <cell r="AD1348">
            <v>227.27272727272725</v>
          </cell>
          <cell r="AE1348">
            <v>2500</v>
          </cell>
          <cell r="AG1348">
            <v>4450</v>
          </cell>
          <cell r="AH1348">
            <v>445</v>
          </cell>
          <cell r="AI1348">
            <v>4895</v>
          </cell>
          <cell r="AK1348">
            <v>2177.2727272727275</v>
          </cell>
        </row>
        <row r="1349">
          <cell r="H1349">
            <v>84606519984</v>
          </cell>
          <cell r="I1349">
            <v>31778213</v>
          </cell>
          <cell r="J1349" t="str">
            <v/>
          </cell>
          <cell r="K1349" t="str">
            <v>-</v>
          </cell>
          <cell r="L1349">
            <v>8020</v>
          </cell>
          <cell r="M1349">
            <v>8020</v>
          </cell>
          <cell r="Q1349">
            <v>8550</v>
          </cell>
          <cell r="R1349">
            <v>84606519984</v>
          </cell>
          <cell r="Y1349" t="str">
            <v>투명 라인 케이스 화이트 아이폰13프로</v>
          </cell>
          <cell r="AC1349">
            <v>2272.7272727272725</v>
          </cell>
          <cell r="AD1349">
            <v>227.27272727272725</v>
          </cell>
          <cell r="AE1349">
            <v>2500</v>
          </cell>
          <cell r="AG1349">
            <v>4450</v>
          </cell>
          <cell r="AH1349">
            <v>445</v>
          </cell>
          <cell r="AI1349">
            <v>4895</v>
          </cell>
          <cell r="AK1349">
            <v>2177.2727272727275</v>
          </cell>
        </row>
        <row r="1350">
          <cell r="H1350">
            <v>84606519993</v>
          </cell>
          <cell r="I1350">
            <v>31778216</v>
          </cell>
          <cell r="J1350" t="str">
            <v/>
          </cell>
          <cell r="K1350" t="str">
            <v>-</v>
          </cell>
          <cell r="L1350">
            <v>8020</v>
          </cell>
          <cell r="M1350">
            <v>8020</v>
          </cell>
          <cell r="Q1350">
            <v>8550</v>
          </cell>
          <cell r="R1350">
            <v>84606519993</v>
          </cell>
          <cell r="Y1350" t="str">
            <v>투명 라인 케이스 화이트 아이폰14</v>
          </cell>
          <cell r="AC1350">
            <v>2272.7272727272725</v>
          </cell>
          <cell r="AD1350">
            <v>227.27272727272725</v>
          </cell>
          <cell r="AE1350">
            <v>2500</v>
          </cell>
          <cell r="AG1350">
            <v>4450</v>
          </cell>
          <cell r="AH1350">
            <v>445</v>
          </cell>
          <cell r="AI1350">
            <v>4895</v>
          </cell>
          <cell r="AK1350">
            <v>2177.2727272727275</v>
          </cell>
        </row>
        <row r="1351">
          <cell r="H1351">
            <v>84606520001</v>
          </cell>
          <cell r="I1351">
            <v>31778219</v>
          </cell>
          <cell r="J1351" t="str">
            <v/>
          </cell>
          <cell r="K1351" t="str">
            <v>-</v>
          </cell>
          <cell r="L1351">
            <v>8020</v>
          </cell>
          <cell r="M1351">
            <v>8020</v>
          </cell>
          <cell r="Q1351">
            <v>8550</v>
          </cell>
          <cell r="R1351">
            <v>84606520001</v>
          </cell>
          <cell r="Y1351" t="str">
            <v>투명 라인 케이스 화이트 아이폰14프로</v>
          </cell>
          <cell r="AC1351">
            <v>2272.7272727272725</v>
          </cell>
          <cell r="AD1351">
            <v>227.27272727272725</v>
          </cell>
          <cell r="AE1351">
            <v>2500</v>
          </cell>
          <cell r="AG1351">
            <v>4450</v>
          </cell>
          <cell r="AH1351">
            <v>445</v>
          </cell>
          <cell r="AI1351">
            <v>4895</v>
          </cell>
          <cell r="AK1351">
            <v>2177.2727272727275</v>
          </cell>
        </row>
        <row r="1352">
          <cell r="H1352">
            <v>84606520009</v>
          </cell>
          <cell r="I1352">
            <v>31778222</v>
          </cell>
          <cell r="J1352" t="str">
            <v/>
          </cell>
          <cell r="K1352" t="str">
            <v>-</v>
          </cell>
          <cell r="L1352">
            <v>8020</v>
          </cell>
          <cell r="M1352">
            <v>8020</v>
          </cell>
          <cell r="Q1352">
            <v>8550</v>
          </cell>
          <cell r="R1352">
            <v>84606520009</v>
          </cell>
          <cell r="Y1352" t="str">
            <v>투명 라인 케이스 화이트 아이폰14프로맥스</v>
          </cell>
          <cell r="AC1352">
            <v>2272.7272727272725</v>
          </cell>
          <cell r="AD1352">
            <v>227.27272727272725</v>
          </cell>
          <cell r="AE1352">
            <v>2500</v>
          </cell>
          <cell r="AG1352">
            <v>4450</v>
          </cell>
          <cell r="AH1352">
            <v>445</v>
          </cell>
          <cell r="AI1352">
            <v>4895</v>
          </cell>
          <cell r="AK1352">
            <v>2177.2727272727275</v>
          </cell>
        </row>
        <row r="1353">
          <cell r="H1353">
            <v>84606520019</v>
          </cell>
          <cell r="I1353">
            <v>31778224</v>
          </cell>
          <cell r="J1353" t="str">
            <v/>
          </cell>
          <cell r="K1353" t="str">
            <v>-</v>
          </cell>
          <cell r="L1353">
            <v>8020</v>
          </cell>
          <cell r="M1353">
            <v>8020</v>
          </cell>
          <cell r="Q1353">
            <v>8550</v>
          </cell>
          <cell r="R1353">
            <v>84606520019</v>
          </cell>
          <cell r="Y1353" t="str">
            <v>투명 라인 케이스 화이트 아이폰14플러스</v>
          </cell>
          <cell r="AC1353">
            <v>2272.7272727272725</v>
          </cell>
          <cell r="AD1353">
            <v>227.27272727272725</v>
          </cell>
          <cell r="AE1353">
            <v>2500</v>
          </cell>
          <cell r="AG1353">
            <v>4450</v>
          </cell>
          <cell r="AH1353">
            <v>445</v>
          </cell>
          <cell r="AI1353">
            <v>4895</v>
          </cell>
          <cell r="AK1353">
            <v>2177.2727272727275</v>
          </cell>
        </row>
        <row r="1354">
          <cell r="H1354">
            <v>84375322864</v>
          </cell>
          <cell r="I1354">
            <v>31219033</v>
          </cell>
          <cell r="J1354" t="str">
            <v/>
          </cell>
          <cell r="K1354" t="str">
            <v>-</v>
          </cell>
          <cell r="L1354">
            <v>12530</v>
          </cell>
          <cell r="M1354">
            <v>12530</v>
          </cell>
          <cell r="Q1354">
            <v>13360</v>
          </cell>
          <cell r="R1354">
            <v>84375322864</v>
          </cell>
          <cell r="Y1354" t="str">
            <v>하프미러 케이스 갤럭시S21</v>
          </cell>
          <cell r="AC1354">
            <v>3999.9999999999995</v>
          </cell>
          <cell r="AD1354">
            <v>400</v>
          </cell>
          <cell r="AE1354">
            <v>4400</v>
          </cell>
          <cell r="AG1354">
            <v>6949.9999999999991</v>
          </cell>
          <cell r="AH1354">
            <v>695.00000000000091</v>
          </cell>
          <cell r="AI1354">
            <v>7645</v>
          </cell>
          <cell r="AK1354">
            <v>2949.9999999999995</v>
          </cell>
        </row>
        <row r="1355">
          <cell r="H1355">
            <v>84375322818</v>
          </cell>
          <cell r="I1355">
            <v>31219029</v>
          </cell>
          <cell r="J1355" t="str">
            <v/>
          </cell>
          <cell r="K1355" t="str">
            <v>-</v>
          </cell>
          <cell r="L1355">
            <v>12530</v>
          </cell>
          <cell r="M1355">
            <v>12530</v>
          </cell>
          <cell r="Q1355">
            <v>13360</v>
          </cell>
          <cell r="R1355">
            <v>84375322818</v>
          </cell>
          <cell r="Y1355" t="str">
            <v>하프미러 케이스 갤럭시S21울트라</v>
          </cell>
          <cell r="AC1355">
            <v>3999.9999999999995</v>
          </cell>
          <cell r="AD1355">
            <v>400</v>
          </cell>
          <cell r="AE1355">
            <v>4400</v>
          </cell>
          <cell r="AG1355">
            <v>6949.9999999999991</v>
          </cell>
          <cell r="AH1355">
            <v>695.00000000000091</v>
          </cell>
          <cell r="AI1355">
            <v>7645</v>
          </cell>
          <cell r="AK1355">
            <v>2949.9999999999995</v>
          </cell>
        </row>
        <row r="1356">
          <cell r="H1356">
            <v>84375322829</v>
          </cell>
          <cell r="I1356">
            <v>31219030</v>
          </cell>
          <cell r="J1356" t="str">
            <v/>
          </cell>
          <cell r="K1356" t="str">
            <v>-</v>
          </cell>
          <cell r="L1356">
            <v>12530</v>
          </cell>
          <cell r="M1356">
            <v>12530</v>
          </cell>
          <cell r="Q1356">
            <v>13360</v>
          </cell>
          <cell r="R1356">
            <v>84375322829</v>
          </cell>
          <cell r="Y1356" t="str">
            <v>하프미러 케이스 갤럭시S21플러스</v>
          </cell>
          <cell r="AC1356">
            <v>3999.9999999999995</v>
          </cell>
          <cell r="AD1356">
            <v>400</v>
          </cell>
          <cell r="AE1356">
            <v>4400</v>
          </cell>
          <cell r="AG1356">
            <v>6949.9999999999991</v>
          </cell>
          <cell r="AH1356">
            <v>695.00000000000091</v>
          </cell>
          <cell r="AI1356">
            <v>7645</v>
          </cell>
          <cell r="AK1356">
            <v>2949.9999999999995</v>
          </cell>
        </row>
        <row r="1357">
          <cell r="H1357">
            <v>84375322846</v>
          </cell>
          <cell r="I1357">
            <v>31219031</v>
          </cell>
          <cell r="J1357" t="str">
            <v/>
          </cell>
          <cell r="K1357" t="str">
            <v>-</v>
          </cell>
          <cell r="L1357">
            <v>13690</v>
          </cell>
          <cell r="M1357">
            <v>13690</v>
          </cell>
          <cell r="Q1357">
            <v>13690</v>
          </cell>
          <cell r="R1357">
            <v>84375322846</v>
          </cell>
          <cell r="Y1357" t="str">
            <v>하프미러 케이스 갤럭시S22</v>
          </cell>
          <cell r="AC1357">
            <v>3999.9999999999995</v>
          </cell>
          <cell r="AD1357">
            <v>400</v>
          </cell>
          <cell r="AE1357">
            <v>4400</v>
          </cell>
          <cell r="AG1357">
            <v>6949.9999999999991</v>
          </cell>
          <cell r="AH1357">
            <v>695.00000000000091</v>
          </cell>
          <cell r="AI1357">
            <v>7645</v>
          </cell>
          <cell r="AK1357">
            <v>2949.9999999999995</v>
          </cell>
        </row>
        <row r="1358">
          <cell r="H1358">
            <v>84375322859</v>
          </cell>
          <cell r="I1358">
            <v>31219032</v>
          </cell>
          <cell r="J1358" t="str">
            <v/>
          </cell>
          <cell r="K1358" t="str">
            <v>-</v>
          </cell>
          <cell r="L1358">
            <v>12530</v>
          </cell>
          <cell r="M1358">
            <v>12530</v>
          </cell>
          <cell r="Q1358">
            <v>13360</v>
          </cell>
          <cell r="R1358">
            <v>84375322859</v>
          </cell>
          <cell r="Y1358" t="str">
            <v>하프미러 케이스 갤럭시S22울트라</v>
          </cell>
          <cell r="AC1358">
            <v>3999.9999999999995</v>
          </cell>
          <cell r="AD1358">
            <v>400</v>
          </cell>
          <cell r="AE1358">
            <v>4400</v>
          </cell>
          <cell r="AG1358">
            <v>6949.9999999999991</v>
          </cell>
          <cell r="AH1358">
            <v>695.00000000000091</v>
          </cell>
          <cell r="AI1358">
            <v>7645</v>
          </cell>
          <cell r="AK1358">
            <v>2949.9999999999995</v>
          </cell>
        </row>
        <row r="1359">
          <cell r="H1359">
            <v>84375322639</v>
          </cell>
          <cell r="I1359">
            <v>31219016</v>
          </cell>
          <cell r="J1359" t="str">
            <v/>
          </cell>
          <cell r="K1359" t="str">
            <v>-</v>
          </cell>
          <cell r="L1359">
            <v>12530</v>
          </cell>
          <cell r="M1359">
            <v>12530</v>
          </cell>
          <cell r="Q1359">
            <v>13360</v>
          </cell>
          <cell r="R1359">
            <v>84375322639</v>
          </cell>
          <cell r="Y1359" t="str">
            <v>하프미러 케이스 갤럭시S22플러스</v>
          </cell>
          <cell r="AC1359">
            <v>3999.9999999999995</v>
          </cell>
          <cell r="AD1359">
            <v>400</v>
          </cell>
          <cell r="AE1359">
            <v>4400</v>
          </cell>
          <cell r="AG1359">
            <v>6949.9999999999991</v>
          </cell>
          <cell r="AH1359">
            <v>695.00000000000091</v>
          </cell>
          <cell r="AI1359">
            <v>7645</v>
          </cell>
          <cell r="AK1359">
            <v>2949.9999999999995</v>
          </cell>
        </row>
        <row r="1360">
          <cell r="H1360">
            <v>84375322748</v>
          </cell>
          <cell r="I1360">
            <v>31219024</v>
          </cell>
          <cell r="J1360" t="str">
            <v/>
          </cell>
          <cell r="K1360" t="str">
            <v>-</v>
          </cell>
          <cell r="L1360">
            <v>12530</v>
          </cell>
          <cell r="M1360">
            <v>12530</v>
          </cell>
          <cell r="Q1360">
            <v>13360</v>
          </cell>
          <cell r="R1360">
            <v>84375322748</v>
          </cell>
          <cell r="Y1360" t="str">
            <v>하프미러 케이스 아이폰12</v>
          </cell>
          <cell r="AC1360">
            <v>3999.9999999999995</v>
          </cell>
          <cell r="AD1360">
            <v>400</v>
          </cell>
          <cell r="AE1360">
            <v>4400</v>
          </cell>
          <cell r="AG1360">
            <v>6949.9999999999991</v>
          </cell>
          <cell r="AH1360">
            <v>695.00000000000091</v>
          </cell>
          <cell r="AI1360">
            <v>7645</v>
          </cell>
          <cell r="AK1360">
            <v>2949.9999999999995</v>
          </cell>
        </row>
        <row r="1361">
          <cell r="H1361">
            <v>84375322758</v>
          </cell>
          <cell r="I1361">
            <v>31219025</v>
          </cell>
          <cell r="J1361" t="str">
            <v/>
          </cell>
          <cell r="K1361" t="str">
            <v>-</v>
          </cell>
          <cell r="L1361">
            <v>12530</v>
          </cell>
          <cell r="M1361">
            <v>12530</v>
          </cell>
          <cell r="Q1361">
            <v>13360</v>
          </cell>
          <cell r="R1361">
            <v>84375322758</v>
          </cell>
          <cell r="Y1361" t="str">
            <v>하프미러 케이스 아이폰12미니</v>
          </cell>
          <cell r="AC1361">
            <v>3999.9999999999995</v>
          </cell>
          <cell r="AD1361">
            <v>400</v>
          </cell>
          <cell r="AE1361">
            <v>4400</v>
          </cell>
          <cell r="AG1361">
            <v>6949.9999999999991</v>
          </cell>
          <cell r="AH1361">
            <v>695.00000000000091</v>
          </cell>
          <cell r="AI1361">
            <v>7645</v>
          </cell>
          <cell r="AK1361">
            <v>2949.9999999999995</v>
          </cell>
        </row>
        <row r="1362">
          <cell r="H1362">
            <v>84375322695</v>
          </cell>
          <cell r="I1362">
            <v>31219020</v>
          </cell>
          <cell r="J1362" t="str">
            <v/>
          </cell>
          <cell r="K1362" t="str">
            <v>-</v>
          </cell>
          <cell r="L1362">
            <v>12530</v>
          </cell>
          <cell r="M1362">
            <v>12530</v>
          </cell>
          <cell r="Q1362">
            <v>13360</v>
          </cell>
          <cell r="R1362">
            <v>84375322695</v>
          </cell>
          <cell r="Y1362" t="str">
            <v>하프미러 케이스 아이폰12프로</v>
          </cell>
          <cell r="AC1362">
            <v>3999.9999999999995</v>
          </cell>
          <cell r="AD1362">
            <v>400</v>
          </cell>
          <cell r="AE1362">
            <v>4400</v>
          </cell>
          <cell r="AG1362">
            <v>6949.9999999999991</v>
          </cell>
          <cell r="AH1362">
            <v>695.00000000000091</v>
          </cell>
          <cell r="AI1362">
            <v>7645</v>
          </cell>
          <cell r="AK1362">
            <v>2949.9999999999995</v>
          </cell>
        </row>
        <row r="1363">
          <cell r="H1363">
            <v>84375322709</v>
          </cell>
          <cell r="I1363">
            <v>31219021</v>
          </cell>
          <cell r="J1363" t="str">
            <v/>
          </cell>
          <cell r="K1363" t="str">
            <v>-</v>
          </cell>
          <cell r="L1363">
            <v>12530</v>
          </cell>
          <cell r="M1363">
            <v>12530</v>
          </cell>
          <cell r="Q1363">
            <v>13360</v>
          </cell>
          <cell r="R1363">
            <v>84375322709</v>
          </cell>
          <cell r="Y1363" t="str">
            <v>하프미러 케이스 아이폰12프로맥스</v>
          </cell>
          <cell r="AC1363">
            <v>3999.9999999999995</v>
          </cell>
          <cell r="AD1363">
            <v>400</v>
          </cell>
          <cell r="AE1363">
            <v>4400</v>
          </cell>
          <cell r="AG1363">
            <v>6949.9999999999991</v>
          </cell>
          <cell r="AH1363">
            <v>695.00000000000091</v>
          </cell>
          <cell r="AI1363">
            <v>7645</v>
          </cell>
          <cell r="AK1363">
            <v>2949.9999999999995</v>
          </cell>
        </row>
        <row r="1364">
          <cell r="H1364">
            <v>84375322625</v>
          </cell>
          <cell r="I1364">
            <v>31219015</v>
          </cell>
          <cell r="J1364" t="str">
            <v/>
          </cell>
          <cell r="K1364" t="str">
            <v>-</v>
          </cell>
          <cell r="L1364">
            <v>12530</v>
          </cell>
          <cell r="M1364">
            <v>12530</v>
          </cell>
          <cell r="Q1364">
            <v>13360</v>
          </cell>
          <cell r="R1364">
            <v>84375322625</v>
          </cell>
          <cell r="Y1364" t="str">
            <v>하프미러 케이스 아이폰13</v>
          </cell>
          <cell r="AC1364">
            <v>3999.9999999999995</v>
          </cell>
          <cell r="AD1364">
            <v>400</v>
          </cell>
          <cell r="AE1364">
            <v>4400</v>
          </cell>
          <cell r="AG1364">
            <v>6949.9999999999991</v>
          </cell>
          <cell r="AH1364">
            <v>695.00000000000091</v>
          </cell>
          <cell r="AI1364">
            <v>7645</v>
          </cell>
          <cell r="AK1364">
            <v>2949.9999999999995</v>
          </cell>
        </row>
        <row r="1365">
          <cell r="H1365">
            <v>84375322655</v>
          </cell>
          <cell r="I1365">
            <v>31219017</v>
          </cell>
          <cell r="J1365" t="str">
            <v/>
          </cell>
          <cell r="K1365" t="str">
            <v>-</v>
          </cell>
          <cell r="L1365">
            <v>13690</v>
          </cell>
          <cell r="M1365">
            <v>13690</v>
          </cell>
          <cell r="Q1365">
            <v>13690</v>
          </cell>
          <cell r="R1365">
            <v>84375322655</v>
          </cell>
          <cell r="Y1365" t="str">
            <v>하프미러 케이스 아이폰13미니</v>
          </cell>
          <cell r="AC1365">
            <v>3999.9999999999995</v>
          </cell>
          <cell r="AD1365">
            <v>400</v>
          </cell>
          <cell r="AE1365">
            <v>4400</v>
          </cell>
          <cell r="AG1365">
            <v>6949.9999999999991</v>
          </cell>
          <cell r="AH1365">
            <v>695.00000000000091</v>
          </cell>
          <cell r="AI1365">
            <v>7645</v>
          </cell>
          <cell r="AK1365">
            <v>2949.9999999999995</v>
          </cell>
        </row>
        <row r="1366">
          <cell r="H1366">
            <v>84375322599</v>
          </cell>
          <cell r="I1366">
            <v>31219013</v>
          </cell>
          <cell r="J1366" t="str">
            <v/>
          </cell>
          <cell r="K1366" t="str">
            <v>-</v>
          </cell>
          <cell r="L1366">
            <v>12530</v>
          </cell>
          <cell r="M1366">
            <v>12530</v>
          </cell>
          <cell r="Q1366">
            <v>13360</v>
          </cell>
          <cell r="R1366">
            <v>84375322599</v>
          </cell>
          <cell r="Y1366" t="str">
            <v>하프미러 케이스 아이폰13프로</v>
          </cell>
          <cell r="AC1366">
            <v>3999.9999999999995</v>
          </cell>
          <cell r="AD1366">
            <v>400</v>
          </cell>
          <cell r="AE1366">
            <v>4400</v>
          </cell>
          <cell r="AG1366">
            <v>6949.9999999999991</v>
          </cell>
          <cell r="AH1366">
            <v>695.00000000000091</v>
          </cell>
          <cell r="AI1366">
            <v>7645</v>
          </cell>
          <cell r="AK1366">
            <v>2949.9999999999995</v>
          </cell>
        </row>
        <row r="1367">
          <cell r="H1367">
            <v>84375322612</v>
          </cell>
          <cell r="I1367">
            <v>31219014</v>
          </cell>
          <cell r="J1367" t="str">
            <v/>
          </cell>
          <cell r="K1367" t="str">
            <v>-</v>
          </cell>
          <cell r="L1367">
            <v>12530</v>
          </cell>
          <cell r="M1367">
            <v>12530</v>
          </cell>
          <cell r="Q1367">
            <v>13360</v>
          </cell>
          <cell r="R1367">
            <v>84375322612</v>
          </cell>
          <cell r="Y1367" t="str">
            <v>하프미러 케이스 아이폰13프로맥스</v>
          </cell>
          <cell r="AC1367">
            <v>3999.9999999999995</v>
          </cell>
          <cell r="AD1367">
            <v>400</v>
          </cell>
          <cell r="AE1367">
            <v>4400</v>
          </cell>
          <cell r="AG1367">
            <v>6949.9999999999991</v>
          </cell>
          <cell r="AH1367">
            <v>695.00000000000091</v>
          </cell>
          <cell r="AI1367">
            <v>7645</v>
          </cell>
          <cell r="AK1367">
            <v>2949.9999999999995</v>
          </cell>
        </row>
        <row r="1368">
          <cell r="H1368">
            <v>84375322737</v>
          </cell>
          <cell r="I1368">
            <v>31219023</v>
          </cell>
          <cell r="J1368" t="str">
            <v/>
          </cell>
          <cell r="K1368" t="str">
            <v>-</v>
          </cell>
          <cell r="L1368">
            <v>12530</v>
          </cell>
          <cell r="M1368">
            <v>12530</v>
          </cell>
          <cell r="Q1368">
            <v>13360</v>
          </cell>
          <cell r="R1368">
            <v>84375322737</v>
          </cell>
          <cell r="Y1368" t="str">
            <v>하프미러 케이스 아이폰14</v>
          </cell>
          <cell r="AC1368">
            <v>3999.9999999999995</v>
          </cell>
          <cell r="AD1368">
            <v>400</v>
          </cell>
          <cell r="AE1368">
            <v>4400</v>
          </cell>
          <cell r="AG1368">
            <v>6949.9999999999991</v>
          </cell>
          <cell r="AH1368">
            <v>695.00000000000091</v>
          </cell>
          <cell r="AI1368">
            <v>7645</v>
          </cell>
          <cell r="AK1368">
            <v>2949.9999999999995</v>
          </cell>
        </row>
        <row r="1369">
          <cell r="H1369">
            <v>84375322587</v>
          </cell>
          <cell r="I1369">
            <v>31219012</v>
          </cell>
          <cell r="J1369" t="str">
            <v/>
          </cell>
          <cell r="K1369" t="str">
            <v>-</v>
          </cell>
          <cell r="L1369">
            <v>13690</v>
          </cell>
          <cell r="M1369">
            <v>13690</v>
          </cell>
          <cell r="Q1369">
            <v>13690</v>
          </cell>
          <cell r="R1369">
            <v>84375322587</v>
          </cell>
          <cell r="Y1369" t="str">
            <v>하프미러 케이스 아이폰14프로</v>
          </cell>
          <cell r="AC1369">
            <v>3999.9999999999995</v>
          </cell>
          <cell r="AD1369">
            <v>400</v>
          </cell>
          <cell r="AE1369">
            <v>4400</v>
          </cell>
          <cell r="AG1369">
            <v>6949.9999999999991</v>
          </cell>
          <cell r="AH1369">
            <v>695.00000000000091</v>
          </cell>
          <cell r="AI1369">
            <v>7645</v>
          </cell>
          <cell r="AK1369">
            <v>2949.9999999999995</v>
          </cell>
        </row>
        <row r="1370">
          <cell r="H1370">
            <v>84375322780</v>
          </cell>
          <cell r="I1370">
            <v>31219026</v>
          </cell>
          <cell r="J1370" t="str">
            <v/>
          </cell>
          <cell r="K1370" t="str">
            <v>-</v>
          </cell>
          <cell r="L1370">
            <v>12530</v>
          </cell>
          <cell r="M1370">
            <v>12530</v>
          </cell>
          <cell r="Q1370">
            <v>13360</v>
          </cell>
          <cell r="R1370">
            <v>84375322780</v>
          </cell>
          <cell r="Y1370" t="str">
            <v>하프미러 케이스 아이폰14프로맥스</v>
          </cell>
          <cell r="AC1370">
            <v>3999.9999999999995</v>
          </cell>
          <cell r="AD1370">
            <v>400</v>
          </cell>
          <cell r="AE1370">
            <v>4400</v>
          </cell>
          <cell r="AG1370">
            <v>6949.9999999999991</v>
          </cell>
          <cell r="AH1370">
            <v>695.00000000000091</v>
          </cell>
          <cell r="AI1370">
            <v>7645</v>
          </cell>
          <cell r="AK1370">
            <v>2949.9999999999995</v>
          </cell>
        </row>
        <row r="1371">
          <cell r="H1371">
            <v>84375322794</v>
          </cell>
          <cell r="I1371">
            <v>31219027</v>
          </cell>
          <cell r="J1371" t="str">
            <v/>
          </cell>
          <cell r="K1371" t="str">
            <v>-</v>
          </cell>
          <cell r="L1371">
            <v>12530</v>
          </cell>
          <cell r="M1371">
            <v>12530</v>
          </cell>
          <cell r="Q1371">
            <v>13360</v>
          </cell>
          <cell r="R1371">
            <v>84375322794</v>
          </cell>
          <cell r="Y1371" t="str">
            <v>하프미러 케이스 아이폰14플러스</v>
          </cell>
          <cell r="AC1371">
            <v>3999.9999999999995</v>
          </cell>
          <cell r="AD1371">
            <v>400</v>
          </cell>
          <cell r="AE1371">
            <v>4400</v>
          </cell>
          <cell r="AG1371">
            <v>6949.9999999999991</v>
          </cell>
          <cell r="AH1371">
            <v>695.00000000000091</v>
          </cell>
          <cell r="AI1371">
            <v>7645</v>
          </cell>
          <cell r="AK1371">
            <v>2949.9999999999995</v>
          </cell>
        </row>
        <row r="1372">
          <cell r="H1372">
            <v>85131988425</v>
          </cell>
          <cell r="I1372">
            <v>33140753</v>
          </cell>
          <cell r="J1372" t="str">
            <v/>
          </cell>
          <cell r="K1372" t="str">
            <v>-</v>
          </cell>
          <cell r="L1372">
            <v>23260</v>
          </cell>
          <cell r="M1372">
            <v>23260</v>
          </cell>
          <cell r="Q1372">
            <v>24810</v>
          </cell>
          <cell r="R1372">
            <v>85131988425</v>
          </cell>
          <cell r="Y1372" t="str">
            <v>휴잉 Z플립4 도어범퍼 케이스 나이트</v>
          </cell>
          <cell r="AC1372">
            <v>7999.9999999999991</v>
          </cell>
          <cell r="AD1372">
            <v>800</v>
          </cell>
          <cell r="AE1372">
            <v>8800</v>
          </cell>
          <cell r="AG1372">
            <v>12899.999999999998</v>
          </cell>
          <cell r="AH1372">
            <v>1290.0000000000018</v>
          </cell>
          <cell r="AI1372">
            <v>14190</v>
          </cell>
          <cell r="AK1372">
            <v>4899.9999999999991</v>
          </cell>
        </row>
        <row r="1373">
          <cell r="H1373">
            <v>85131988441</v>
          </cell>
          <cell r="I1373">
            <v>33140755</v>
          </cell>
          <cell r="J1373" t="str">
            <v/>
          </cell>
          <cell r="K1373" t="str">
            <v>-</v>
          </cell>
          <cell r="L1373">
            <v>23270</v>
          </cell>
          <cell r="M1373">
            <v>23270</v>
          </cell>
          <cell r="Q1373">
            <v>24810</v>
          </cell>
          <cell r="R1373">
            <v>85131988441</v>
          </cell>
          <cell r="Y1373" t="str">
            <v>휴잉 Z플립4 도어범퍼 케이스 나이트레몬</v>
          </cell>
          <cell r="AC1373">
            <v>7999.9999999999991</v>
          </cell>
          <cell r="AD1373">
            <v>800</v>
          </cell>
          <cell r="AE1373">
            <v>8800</v>
          </cell>
          <cell r="AG1373">
            <v>12899.999999999998</v>
          </cell>
          <cell r="AH1373">
            <v>1290.0000000000018</v>
          </cell>
          <cell r="AI1373">
            <v>14190</v>
          </cell>
          <cell r="AK1373">
            <v>4899.9999999999991</v>
          </cell>
        </row>
        <row r="1374">
          <cell r="H1374">
            <v>85131988433</v>
          </cell>
          <cell r="I1374">
            <v>33140754</v>
          </cell>
          <cell r="J1374" t="str">
            <v/>
          </cell>
          <cell r="K1374" t="str">
            <v>-</v>
          </cell>
          <cell r="L1374">
            <v>23260</v>
          </cell>
          <cell r="M1374">
            <v>23260</v>
          </cell>
          <cell r="Q1374">
            <v>24810</v>
          </cell>
          <cell r="R1374">
            <v>85131988433</v>
          </cell>
          <cell r="Y1374" t="str">
            <v>휴잉 Z플립4 도어범퍼 케이스 레몬</v>
          </cell>
          <cell r="AC1374">
            <v>7999.9999999999991</v>
          </cell>
          <cell r="AD1374">
            <v>800</v>
          </cell>
          <cell r="AE1374">
            <v>8800</v>
          </cell>
          <cell r="AG1374">
            <v>12899.999999999998</v>
          </cell>
          <cell r="AH1374">
            <v>1290.0000000000018</v>
          </cell>
          <cell r="AI1374">
            <v>14190</v>
          </cell>
          <cell r="AK1374">
            <v>4899.9999999999991</v>
          </cell>
        </row>
        <row r="1375">
          <cell r="H1375">
            <v>85131988458</v>
          </cell>
          <cell r="I1375">
            <v>33140758</v>
          </cell>
          <cell r="J1375" t="str">
            <v/>
          </cell>
          <cell r="K1375" t="str">
            <v>-</v>
          </cell>
          <cell r="L1375">
            <v>23260</v>
          </cell>
          <cell r="M1375">
            <v>23260</v>
          </cell>
          <cell r="Q1375">
            <v>24810</v>
          </cell>
          <cell r="R1375">
            <v>85131988458</v>
          </cell>
          <cell r="Y1375" t="str">
            <v>휴잉 Z플립4 도어범퍼 케이스 레몬팝핑크</v>
          </cell>
          <cell r="AC1375">
            <v>7999.9999999999991</v>
          </cell>
          <cell r="AD1375">
            <v>800</v>
          </cell>
          <cell r="AE1375">
            <v>8800</v>
          </cell>
          <cell r="AG1375">
            <v>12899.999999999998</v>
          </cell>
          <cell r="AH1375">
            <v>1290.0000000000018</v>
          </cell>
          <cell r="AI1375">
            <v>14190</v>
          </cell>
          <cell r="AK1375">
            <v>4899.9999999999991</v>
          </cell>
        </row>
        <row r="1376">
          <cell r="H1376">
            <v>85131988452</v>
          </cell>
          <cell r="I1376">
            <v>33140757</v>
          </cell>
          <cell r="J1376" t="str">
            <v/>
          </cell>
          <cell r="K1376" t="str">
            <v>-</v>
          </cell>
          <cell r="L1376">
            <v>25420</v>
          </cell>
          <cell r="M1376">
            <v>25420</v>
          </cell>
          <cell r="Q1376">
            <v>25420</v>
          </cell>
          <cell r="R1376">
            <v>85131988452</v>
          </cell>
          <cell r="Y1376" t="str">
            <v>휴잉 Z플립4 도어범퍼 케이스 민트</v>
          </cell>
          <cell r="AC1376">
            <v>7999.9999999999991</v>
          </cell>
          <cell r="AD1376">
            <v>800</v>
          </cell>
          <cell r="AE1376">
            <v>8800</v>
          </cell>
          <cell r="AG1376">
            <v>12899.999999999998</v>
          </cell>
          <cell r="AH1376">
            <v>1290.0000000000018</v>
          </cell>
          <cell r="AI1376">
            <v>14190</v>
          </cell>
          <cell r="AK1376">
            <v>4899.9999999999991</v>
          </cell>
        </row>
        <row r="1377">
          <cell r="H1377">
            <v>85131988413</v>
          </cell>
          <cell r="I1377">
            <v>33140751</v>
          </cell>
          <cell r="J1377" t="str">
            <v/>
          </cell>
          <cell r="K1377" t="str">
            <v>-</v>
          </cell>
          <cell r="L1377">
            <v>23270</v>
          </cell>
          <cell r="M1377">
            <v>23270</v>
          </cell>
          <cell r="Q1377">
            <v>24810</v>
          </cell>
          <cell r="R1377">
            <v>85131988413</v>
          </cell>
          <cell r="Y1377" t="str">
            <v>휴잉 Z플립4 도어범퍼 케이스 민트크림</v>
          </cell>
          <cell r="AC1377">
            <v>7999.9999999999991</v>
          </cell>
          <cell r="AD1377">
            <v>800</v>
          </cell>
          <cell r="AE1377">
            <v>8800</v>
          </cell>
          <cell r="AG1377">
            <v>12899.999999999998</v>
          </cell>
          <cell r="AH1377">
            <v>1290.0000000000018</v>
          </cell>
          <cell r="AI1377">
            <v>14190</v>
          </cell>
          <cell r="AK1377">
            <v>4899.9999999999991</v>
          </cell>
        </row>
        <row r="1378">
          <cell r="H1378">
            <v>85131988447</v>
          </cell>
          <cell r="I1378">
            <v>33140756</v>
          </cell>
          <cell r="J1378" t="str">
            <v/>
          </cell>
          <cell r="K1378" t="str">
            <v>-</v>
          </cell>
          <cell r="L1378">
            <v>23260</v>
          </cell>
          <cell r="M1378">
            <v>23260</v>
          </cell>
          <cell r="Q1378">
            <v>24810</v>
          </cell>
          <cell r="R1378">
            <v>85131988447</v>
          </cell>
          <cell r="Y1378" t="str">
            <v>휴잉 Z플립4 도어범퍼 케이스 오키드</v>
          </cell>
          <cell r="AC1378">
            <v>7999.9999999999991</v>
          </cell>
          <cell r="AD1378">
            <v>800</v>
          </cell>
          <cell r="AE1378">
            <v>8800</v>
          </cell>
          <cell r="AG1378">
            <v>12899.999999999998</v>
          </cell>
          <cell r="AH1378">
            <v>1290.0000000000018</v>
          </cell>
          <cell r="AI1378">
            <v>14190</v>
          </cell>
          <cell r="AK1378">
            <v>4899.9999999999991</v>
          </cell>
        </row>
        <row r="1379">
          <cell r="H1379">
            <v>85131988471</v>
          </cell>
          <cell r="I1379">
            <v>33140760</v>
          </cell>
          <cell r="J1379" t="str">
            <v/>
          </cell>
          <cell r="K1379" t="str">
            <v>-</v>
          </cell>
          <cell r="L1379">
            <v>23270</v>
          </cell>
          <cell r="M1379">
            <v>23270</v>
          </cell>
          <cell r="Q1379">
            <v>24810</v>
          </cell>
          <cell r="R1379">
            <v>85131988471</v>
          </cell>
          <cell r="Y1379" t="str">
            <v>휴잉 Z플립4 도어범퍼 케이스 오키드팝핑크</v>
          </cell>
          <cell r="AC1379">
            <v>7999.9999999999991</v>
          </cell>
          <cell r="AD1379">
            <v>800</v>
          </cell>
          <cell r="AE1379">
            <v>8800</v>
          </cell>
          <cell r="AG1379">
            <v>12899.999999999998</v>
          </cell>
          <cell r="AH1379">
            <v>1290.0000000000018</v>
          </cell>
          <cell r="AI1379">
            <v>14190</v>
          </cell>
          <cell r="AK1379">
            <v>4899.9999999999991</v>
          </cell>
        </row>
        <row r="1380">
          <cell r="H1380">
            <v>85131988418</v>
          </cell>
          <cell r="I1380">
            <v>33140752</v>
          </cell>
          <cell r="J1380" t="str">
            <v/>
          </cell>
          <cell r="K1380" t="str">
            <v>-</v>
          </cell>
          <cell r="L1380">
            <v>23260</v>
          </cell>
          <cell r="M1380">
            <v>23260</v>
          </cell>
          <cell r="Q1380">
            <v>24810</v>
          </cell>
          <cell r="R1380">
            <v>85131988418</v>
          </cell>
          <cell r="Y1380" t="str">
            <v>휴잉 Z플립4 도어범퍼 케이스 크림</v>
          </cell>
          <cell r="AC1380">
            <v>7999.9999999999991</v>
          </cell>
          <cell r="AD1380">
            <v>800</v>
          </cell>
          <cell r="AE1380">
            <v>8800</v>
          </cell>
          <cell r="AG1380">
            <v>12899.999999999998</v>
          </cell>
          <cell r="AH1380">
            <v>1290.0000000000018</v>
          </cell>
          <cell r="AI1380">
            <v>14190</v>
          </cell>
          <cell r="AK1380">
            <v>4899.9999999999991</v>
          </cell>
        </row>
        <row r="1381">
          <cell r="H1381">
            <v>85131988484</v>
          </cell>
          <cell r="I1381">
            <v>33140762</v>
          </cell>
          <cell r="J1381" t="str">
            <v/>
          </cell>
          <cell r="K1381" t="str">
            <v>-</v>
          </cell>
          <cell r="L1381">
            <v>25420</v>
          </cell>
          <cell r="M1381">
            <v>25420</v>
          </cell>
          <cell r="Q1381">
            <v>25420</v>
          </cell>
          <cell r="R1381">
            <v>85131988484</v>
          </cell>
          <cell r="Y1381" t="str">
            <v>휴잉 Z플립4 도어범퍼 케이스 크림나이트</v>
          </cell>
          <cell r="AC1381">
            <v>7999.9999999999991</v>
          </cell>
          <cell r="AD1381">
            <v>800</v>
          </cell>
          <cell r="AE1381">
            <v>8800</v>
          </cell>
          <cell r="AG1381">
            <v>12899.999999999998</v>
          </cell>
          <cell r="AH1381">
            <v>1290.0000000000018</v>
          </cell>
          <cell r="AI1381">
            <v>14190</v>
          </cell>
          <cell r="AK1381">
            <v>4899.9999999999991</v>
          </cell>
        </row>
        <row r="1382">
          <cell r="H1382">
            <v>85131988476</v>
          </cell>
          <cell r="I1382">
            <v>33140761</v>
          </cell>
          <cell r="J1382" t="str">
            <v/>
          </cell>
          <cell r="K1382" t="str">
            <v>-</v>
          </cell>
          <cell r="L1382">
            <v>23260</v>
          </cell>
          <cell r="M1382">
            <v>23260</v>
          </cell>
          <cell r="Q1382">
            <v>24810</v>
          </cell>
          <cell r="R1382">
            <v>85131988476</v>
          </cell>
          <cell r="Y1382" t="str">
            <v>휴잉 Z플립4 도어범퍼 케이스 팝핑크</v>
          </cell>
          <cell r="AC1382">
            <v>7999.9999999999991</v>
          </cell>
          <cell r="AD1382">
            <v>800</v>
          </cell>
          <cell r="AE1382">
            <v>8800</v>
          </cell>
          <cell r="AG1382">
            <v>12899.999999999998</v>
          </cell>
          <cell r="AH1382">
            <v>1290.0000000000018</v>
          </cell>
          <cell r="AI1382">
            <v>14190</v>
          </cell>
          <cell r="AK1382">
            <v>4899.9999999999991</v>
          </cell>
        </row>
        <row r="1383">
          <cell r="H1383">
            <v>85131988466</v>
          </cell>
          <cell r="I1383">
            <v>33140759</v>
          </cell>
          <cell r="J1383" t="str">
            <v/>
          </cell>
          <cell r="K1383" t="str">
            <v>-</v>
          </cell>
          <cell r="L1383">
            <v>23270</v>
          </cell>
          <cell r="M1383">
            <v>23270</v>
          </cell>
          <cell r="Q1383">
            <v>24810</v>
          </cell>
          <cell r="R1383">
            <v>85131988466</v>
          </cell>
          <cell r="Y1383" t="str">
            <v>휴잉 Z플립4 도어범퍼 케이스 팝핑크크림</v>
          </cell>
          <cell r="AC1383">
            <v>7999.9999999999991</v>
          </cell>
          <cell r="AD1383">
            <v>800</v>
          </cell>
          <cell r="AE1383">
            <v>8800</v>
          </cell>
          <cell r="AG1383">
            <v>12899.999999999998</v>
          </cell>
          <cell r="AH1383">
            <v>1290.0000000000018</v>
          </cell>
          <cell r="AI1383">
            <v>14190</v>
          </cell>
          <cell r="AK1383">
            <v>4899.9999999999991</v>
          </cell>
        </row>
        <row r="1384">
          <cell r="H1384">
            <v>85132008190</v>
          </cell>
          <cell r="I1384">
            <v>33140792</v>
          </cell>
          <cell r="J1384" t="str">
            <v/>
          </cell>
          <cell r="K1384" t="str">
            <v>-</v>
          </cell>
          <cell r="L1384">
            <v>12530</v>
          </cell>
          <cell r="M1384">
            <v>12530</v>
          </cell>
          <cell r="Q1384">
            <v>13360</v>
          </cell>
          <cell r="R1384">
            <v>85132008190</v>
          </cell>
          <cell r="Y1384" t="str">
            <v>뉴클 베이시스아이폰12프로 맥세이프 에어범퍼케이스</v>
          </cell>
          <cell r="AC1384">
            <v>3636.363636363636</v>
          </cell>
          <cell r="AD1384">
            <v>363.63636363636363</v>
          </cell>
          <cell r="AE1384">
            <v>4000</v>
          </cell>
          <cell r="AG1384">
            <v>6949.9999999999991</v>
          </cell>
          <cell r="AH1384">
            <v>695.00000000000091</v>
          </cell>
          <cell r="AI1384">
            <v>7645</v>
          </cell>
          <cell r="AK1384">
            <v>3313.6363636363631</v>
          </cell>
        </row>
        <row r="1385">
          <cell r="H1385">
            <v>91619971191</v>
          </cell>
          <cell r="I1385">
            <v>54492680</v>
          </cell>
          <cell r="J1385">
            <v>2</v>
          </cell>
          <cell r="K1385" t="str">
            <v>-</v>
          </cell>
          <cell r="L1385">
            <v>14420</v>
          </cell>
          <cell r="M1385">
            <v>14420</v>
          </cell>
          <cell r="Q1385">
            <v>14900</v>
          </cell>
          <cell r="R1385">
            <v>91619971191</v>
          </cell>
          <cell r="Y1385" t="str">
            <v>뉴클 언더 카드젤리 케이스 아이폰15 블랙</v>
          </cell>
          <cell r="AC1385">
            <v>2227.272727272727</v>
          </cell>
          <cell r="AD1385">
            <v>222.72727272727272</v>
          </cell>
          <cell r="AE1385">
            <v>2450</v>
          </cell>
          <cell r="AG1385">
            <v>7999.9999999999991</v>
          </cell>
          <cell r="AH1385">
            <v>800.00000000000091</v>
          </cell>
          <cell r="AI1385">
            <v>8800</v>
          </cell>
          <cell r="AK1385">
            <v>5772.7272727272721</v>
          </cell>
        </row>
        <row r="1386">
          <cell r="H1386">
            <v>91619945859</v>
          </cell>
          <cell r="I1386">
            <v>54499062</v>
          </cell>
          <cell r="J1386">
            <v>3</v>
          </cell>
          <cell r="K1386" t="str">
            <v>-</v>
          </cell>
          <cell r="L1386">
            <v>14420</v>
          </cell>
          <cell r="M1386">
            <v>14420</v>
          </cell>
          <cell r="Q1386">
            <v>14900</v>
          </cell>
          <cell r="R1386">
            <v>91619945859</v>
          </cell>
          <cell r="Y1386" t="str">
            <v>뉴클 언더 카드젤리 케이스 아이폰15 블루</v>
          </cell>
          <cell r="AC1386">
            <v>2227.272727272727</v>
          </cell>
          <cell r="AD1386">
            <v>222.72727272727272</v>
          </cell>
          <cell r="AE1386">
            <v>2450</v>
          </cell>
          <cell r="AG1386">
            <v>7999.9999999999991</v>
          </cell>
          <cell r="AH1386">
            <v>800.00000000000091</v>
          </cell>
          <cell r="AI1386">
            <v>8800</v>
          </cell>
          <cell r="AK1386">
            <v>5772.7272727272721</v>
          </cell>
        </row>
        <row r="1387">
          <cell r="H1387">
            <v>91619971186</v>
          </cell>
          <cell r="I1387">
            <v>54492679</v>
          </cell>
          <cell r="J1387">
            <v>3</v>
          </cell>
          <cell r="K1387" t="str">
            <v>-</v>
          </cell>
          <cell r="L1387">
            <v>14420</v>
          </cell>
          <cell r="M1387">
            <v>14420</v>
          </cell>
          <cell r="Q1387">
            <v>14900</v>
          </cell>
          <cell r="R1387">
            <v>91619971186</v>
          </cell>
          <cell r="Y1387" t="str">
            <v>뉴클 언더 카드젤리 케이스 아이폰15 옐로우</v>
          </cell>
          <cell r="AC1387">
            <v>2227.272727272727</v>
          </cell>
          <cell r="AD1387">
            <v>222.72727272727272</v>
          </cell>
          <cell r="AE1387">
            <v>2450</v>
          </cell>
          <cell r="AG1387">
            <v>7999.9999999999991</v>
          </cell>
          <cell r="AH1387">
            <v>800.00000000000091</v>
          </cell>
          <cell r="AI1387">
            <v>8800</v>
          </cell>
          <cell r="AK1387">
            <v>5772.7272727272721</v>
          </cell>
        </row>
        <row r="1388">
          <cell r="H1388">
            <v>91619971197</v>
          </cell>
          <cell r="I1388">
            <v>54492681</v>
          </cell>
          <cell r="J1388">
            <v>2</v>
          </cell>
          <cell r="K1388" t="str">
            <v>-</v>
          </cell>
          <cell r="L1388">
            <v>14420</v>
          </cell>
          <cell r="M1388">
            <v>14420</v>
          </cell>
          <cell r="Q1388">
            <v>14900</v>
          </cell>
          <cell r="R1388">
            <v>91619971197</v>
          </cell>
          <cell r="Y1388" t="str">
            <v>뉴클 언더 카드젤리 케이스 아이폰15 투명</v>
          </cell>
          <cell r="AC1388">
            <v>2227.272727272727</v>
          </cell>
          <cell r="AD1388">
            <v>222.72727272727272</v>
          </cell>
          <cell r="AE1388">
            <v>2450</v>
          </cell>
          <cell r="AG1388">
            <v>7999.9999999999991</v>
          </cell>
          <cell r="AH1388">
            <v>800.00000000000091</v>
          </cell>
          <cell r="AI1388">
            <v>8800</v>
          </cell>
          <cell r="AK1388">
            <v>5772.7272727272721</v>
          </cell>
        </row>
        <row r="1389">
          <cell r="H1389">
            <v>91619971180</v>
          </cell>
          <cell r="I1389">
            <v>54492678</v>
          </cell>
          <cell r="J1389">
            <v>3</v>
          </cell>
          <cell r="K1389" t="str">
            <v>-</v>
          </cell>
          <cell r="L1389">
            <v>14420</v>
          </cell>
          <cell r="M1389">
            <v>14420</v>
          </cell>
          <cell r="Q1389">
            <v>14900</v>
          </cell>
          <cell r="R1389">
            <v>91619971180</v>
          </cell>
          <cell r="Y1389" t="str">
            <v>뉴클 언더 카드젤리 케이스 아이폰15 퍼플</v>
          </cell>
          <cell r="AC1389">
            <v>2227.272727272727</v>
          </cell>
          <cell r="AD1389">
            <v>222.72727272727272</v>
          </cell>
          <cell r="AE1389">
            <v>2450</v>
          </cell>
          <cell r="AG1389">
            <v>7999.9999999999991</v>
          </cell>
          <cell r="AH1389">
            <v>800.00000000000091</v>
          </cell>
          <cell r="AI1389">
            <v>8800</v>
          </cell>
          <cell r="AK1389">
            <v>5772.7272727272721</v>
          </cell>
        </row>
        <row r="1390">
          <cell r="H1390">
            <v>91619971218</v>
          </cell>
          <cell r="I1390">
            <v>54492685</v>
          </cell>
          <cell r="J1390">
            <v>4</v>
          </cell>
          <cell r="K1390" t="str">
            <v>-</v>
          </cell>
          <cell r="L1390">
            <v>14420</v>
          </cell>
          <cell r="M1390">
            <v>14420</v>
          </cell>
          <cell r="Q1390">
            <v>14900</v>
          </cell>
          <cell r="R1390">
            <v>91619971218</v>
          </cell>
          <cell r="Y1390" t="str">
            <v>뉴클 언더 카드젤리 케이스 아이폰15+ 블랙</v>
          </cell>
          <cell r="AC1390">
            <v>2227.272727272727</v>
          </cell>
          <cell r="AD1390">
            <v>222.72727272727272</v>
          </cell>
          <cell r="AE1390">
            <v>2450</v>
          </cell>
          <cell r="AG1390">
            <v>7999.9999999999991</v>
          </cell>
          <cell r="AH1390">
            <v>800.00000000000091</v>
          </cell>
          <cell r="AI1390">
            <v>8800</v>
          </cell>
          <cell r="AK1390">
            <v>5772.7272727272721</v>
          </cell>
        </row>
        <row r="1391">
          <cell r="H1391">
            <v>91619971213</v>
          </cell>
          <cell r="I1391">
            <v>54492684</v>
          </cell>
          <cell r="J1391">
            <v>3</v>
          </cell>
          <cell r="K1391" t="str">
            <v>-</v>
          </cell>
          <cell r="L1391">
            <v>14420</v>
          </cell>
          <cell r="M1391">
            <v>14420</v>
          </cell>
          <cell r="Q1391">
            <v>14900</v>
          </cell>
          <cell r="R1391">
            <v>91619971213</v>
          </cell>
          <cell r="Y1391" t="str">
            <v>뉴클 언더 카드젤리 케이스 아이폰15+ 블루</v>
          </cell>
          <cell r="AC1391">
            <v>2227.272727272727</v>
          </cell>
          <cell r="AD1391">
            <v>222.72727272727272</v>
          </cell>
          <cell r="AE1391">
            <v>2450</v>
          </cell>
          <cell r="AG1391">
            <v>7999.9999999999991</v>
          </cell>
          <cell r="AH1391">
            <v>800.00000000000091</v>
          </cell>
          <cell r="AI1391">
            <v>8800</v>
          </cell>
          <cell r="AK1391">
            <v>5772.7272727272721</v>
          </cell>
        </row>
        <row r="1392">
          <cell r="H1392">
            <v>91629241928</v>
          </cell>
          <cell r="I1392">
            <v>54534035</v>
          </cell>
          <cell r="J1392" t="str">
            <v/>
          </cell>
          <cell r="K1392" t="str">
            <v>-</v>
          </cell>
          <cell r="L1392">
            <v>7050</v>
          </cell>
          <cell r="M1392">
            <v>7050</v>
          </cell>
          <cell r="Q1392">
            <v>7040</v>
          </cell>
          <cell r="R1392">
            <v>91629241928</v>
          </cell>
          <cell r="Y1392" t="str">
            <v>뉴클 언더 카드젤리 케이스 아이폰15+ 옐로우</v>
          </cell>
          <cell r="AC1392">
            <v>2227.272727272727</v>
          </cell>
          <cell r="AD1392">
            <v>222.72727272727272</v>
          </cell>
          <cell r="AE1392">
            <v>2450</v>
          </cell>
          <cell r="AG1392">
            <v>7999.9999999999991</v>
          </cell>
          <cell r="AH1392">
            <v>800.00000000000091</v>
          </cell>
          <cell r="AI1392">
            <v>8800</v>
          </cell>
          <cell r="AK1392">
            <v>5772.7272727272721</v>
          </cell>
        </row>
        <row r="1393">
          <cell r="H1393">
            <v>91619971224</v>
          </cell>
          <cell r="I1393">
            <v>54492687</v>
          </cell>
          <cell r="J1393" t="str">
            <v/>
          </cell>
          <cell r="K1393" t="str">
            <v>-</v>
          </cell>
          <cell r="L1393">
            <v>14420</v>
          </cell>
          <cell r="M1393">
            <v>14420</v>
          </cell>
          <cell r="Q1393">
            <v>14900</v>
          </cell>
          <cell r="R1393">
            <v>91619971224</v>
          </cell>
          <cell r="Y1393" t="str">
            <v>뉴클 언더 카드젤리 케이스 아이폰15+ 투명</v>
          </cell>
          <cell r="AC1393">
            <v>2227.272727272727</v>
          </cell>
          <cell r="AD1393">
            <v>222.72727272727272</v>
          </cell>
          <cell r="AE1393">
            <v>2450</v>
          </cell>
          <cell r="AG1393">
            <v>7999.9999999999991</v>
          </cell>
          <cell r="AH1393">
            <v>800.00000000000091</v>
          </cell>
          <cell r="AI1393">
            <v>8800</v>
          </cell>
          <cell r="AK1393">
            <v>5772.7272727272721</v>
          </cell>
        </row>
        <row r="1394">
          <cell r="H1394">
            <v>91619971206</v>
          </cell>
          <cell r="I1394">
            <v>54492682</v>
          </cell>
          <cell r="J1394">
            <v>3</v>
          </cell>
          <cell r="K1394" t="str">
            <v>-</v>
          </cell>
          <cell r="L1394">
            <v>14420</v>
          </cell>
          <cell r="M1394">
            <v>14420</v>
          </cell>
          <cell r="Q1394">
            <v>14900</v>
          </cell>
          <cell r="R1394">
            <v>91619971206</v>
          </cell>
          <cell r="Y1394" t="str">
            <v>뉴클 언더 카드젤리 케이스 아이폰15+ 퍼플</v>
          </cell>
          <cell r="AC1394">
            <v>2227.272727272727</v>
          </cell>
          <cell r="AD1394">
            <v>222.72727272727272</v>
          </cell>
          <cell r="AE1394">
            <v>2450</v>
          </cell>
          <cell r="AG1394">
            <v>7999.9999999999991</v>
          </cell>
          <cell r="AH1394">
            <v>800.00000000000091</v>
          </cell>
          <cell r="AI1394">
            <v>8800</v>
          </cell>
          <cell r="AK1394">
            <v>5772.7272727272721</v>
          </cell>
        </row>
        <row r="1395">
          <cell r="H1395">
            <v>91629241920</v>
          </cell>
          <cell r="I1395">
            <v>54534034</v>
          </cell>
          <cell r="J1395" t="str">
            <v/>
          </cell>
          <cell r="K1395" t="str">
            <v>-</v>
          </cell>
          <cell r="L1395">
            <v>7050</v>
          </cell>
          <cell r="M1395">
            <v>7050</v>
          </cell>
          <cell r="Q1395">
            <v>7040</v>
          </cell>
          <cell r="R1395">
            <v>91629241920</v>
          </cell>
          <cell r="Y1395" t="str">
            <v>뉴클 언더 카드젤리 케이스 아이폰15+ 핑크</v>
          </cell>
          <cell r="AC1395">
            <v>2227.272727272727</v>
          </cell>
          <cell r="AD1395">
            <v>222.72727272727272</v>
          </cell>
          <cell r="AE1395">
            <v>2450</v>
          </cell>
          <cell r="AG1395">
            <v>7999.9999999999991</v>
          </cell>
          <cell r="AH1395">
            <v>800.00000000000091</v>
          </cell>
          <cell r="AI1395">
            <v>8800</v>
          </cell>
          <cell r="AK1395">
            <v>5772.7272727272721</v>
          </cell>
        </row>
        <row r="1396">
          <cell r="H1396">
            <v>91620009931</v>
          </cell>
          <cell r="I1396">
            <v>54501277</v>
          </cell>
          <cell r="J1396">
            <v>4</v>
          </cell>
          <cell r="K1396" t="str">
            <v>-</v>
          </cell>
          <cell r="L1396">
            <v>14420</v>
          </cell>
          <cell r="M1396">
            <v>14420</v>
          </cell>
          <cell r="Q1396">
            <v>14900</v>
          </cell>
          <cell r="R1396">
            <v>91620009931</v>
          </cell>
          <cell r="Y1396" t="str">
            <v>뉴클 언더 카드젤리 케이스 아이폰15PRO MAX 블랙</v>
          </cell>
          <cell r="AC1396">
            <v>2227.272727272727</v>
          </cell>
          <cell r="AD1396">
            <v>222.72727272727272</v>
          </cell>
          <cell r="AE1396">
            <v>2450</v>
          </cell>
          <cell r="AG1396">
            <v>7999.9999999999991</v>
          </cell>
          <cell r="AH1396">
            <v>800.00000000000091</v>
          </cell>
          <cell r="AI1396">
            <v>8800</v>
          </cell>
          <cell r="AK1396">
            <v>5772.7272727272721</v>
          </cell>
        </row>
        <row r="1397">
          <cell r="H1397">
            <v>91620009909</v>
          </cell>
          <cell r="I1397">
            <v>54501275</v>
          </cell>
          <cell r="J1397">
            <v>4</v>
          </cell>
          <cell r="K1397" t="str">
            <v>-</v>
          </cell>
          <cell r="L1397">
            <v>14420</v>
          </cell>
          <cell r="M1397">
            <v>14420</v>
          </cell>
          <cell r="Q1397">
            <v>14900</v>
          </cell>
          <cell r="R1397">
            <v>91620009909</v>
          </cell>
          <cell r="Y1397" t="str">
            <v>뉴클 언더 카드젤리 케이스 아이폰15PRO MAX 블루</v>
          </cell>
          <cell r="AC1397">
            <v>2227.272727272727</v>
          </cell>
          <cell r="AD1397">
            <v>222.72727272727272</v>
          </cell>
          <cell r="AE1397">
            <v>2450</v>
          </cell>
          <cell r="AG1397">
            <v>7999.9999999999991</v>
          </cell>
          <cell r="AH1397">
            <v>800.00000000000091</v>
          </cell>
          <cell r="AI1397">
            <v>8800</v>
          </cell>
          <cell r="AK1397">
            <v>5772.7272727272721</v>
          </cell>
        </row>
        <row r="1398">
          <cell r="H1398">
            <v>91620009920</v>
          </cell>
          <cell r="I1398">
            <v>54501276</v>
          </cell>
          <cell r="J1398">
            <v>4</v>
          </cell>
          <cell r="K1398" t="str">
            <v>-</v>
          </cell>
          <cell r="L1398">
            <v>14420</v>
          </cell>
          <cell r="M1398">
            <v>14420</v>
          </cell>
          <cell r="Q1398">
            <v>14900</v>
          </cell>
          <cell r="R1398">
            <v>91620009920</v>
          </cell>
          <cell r="Y1398" t="str">
            <v>뉴클 언더 카드젤리 케이스 아이폰15PRO MAX 옐로우</v>
          </cell>
          <cell r="AC1398">
            <v>2227.272727272727</v>
          </cell>
          <cell r="AD1398">
            <v>222.72727272727272</v>
          </cell>
          <cell r="AE1398">
            <v>2450</v>
          </cell>
          <cell r="AG1398">
            <v>7999.9999999999991</v>
          </cell>
          <cell r="AH1398">
            <v>800.00000000000091</v>
          </cell>
          <cell r="AI1398">
            <v>8800</v>
          </cell>
          <cell r="AK1398">
            <v>5772.7272727272721</v>
          </cell>
        </row>
        <row r="1399">
          <cell r="H1399">
            <v>91619971267</v>
          </cell>
          <cell r="I1399">
            <v>54492693</v>
          </cell>
          <cell r="J1399">
            <v>2</v>
          </cell>
          <cell r="K1399" t="str">
            <v>-</v>
          </cell>
          <cell r="L1399">
            <v>14420</v>
          </cell>
          <cell r="M1399">
            <v>14420</v>
          </cell>
          <cell r="Q1399">
            <v>14900</v>
          </cell>
          <cell r="R1399">
            <v>91619971267</v>
          </cell>
          <cell r="Y1399" t="str">
            <v>뉴클 언더 카드젤리 케이스 아이폰15PRO MAX 투명</v>
          </cell>
          <cell r="AC1399">
            <v>2227.272727272727</v>
          </cell>
          <cell r="AD1399">
            <v>222.72727272727272</v>
          </cell>
          <cell r="AE1399">
            <v>2450</v>
          </cell>
          <cell r="AG1399">
            <v>7999.9999999999991</v>
          </cell>
          <cell r="AH1399">
            <v>800.00000000000091</v>
          </cell>
          <cell r="AI1399">
            <v>8800</v>
          </cell>
          <cell r="AK1399">
            <v>5772.7272727272721</v>
          </cell>
        </row>
        <row r="1400">
          <cell r="H1400">
            <v>91619971254</v>
          </cell>
          <cell r="I1400">
            <v>54492691</v>
          </cell>
          <cell r="J1400">
            <v>3</v>
          </cell>
          <cell r="K1400" t="str">
            <v>-</v>
          </cell>
          <cell r="L1400">
            <v>14420</v>
          </cell>
          <cell r="M1400">
            <v>14420</v>
          </cell>
          <cell r="Q1400">
            <v>14900</v>
          </cell>
          <cell r="R1400">
            <v>91619971254</v>
          </cell>
          <cell r="Y1400" t="str">
            <v>뉴클 언더 카드젤리 케이스 아이폰15PRO MAX 퍼플</v>
          </cell>
          <cell r="AC1400">
            <v>2227.272727272727</v>
          </cell>
          <cell r="AD1400">
            <v>222.72727272727272</v>
          </cell>
          <cell r="AE1400">
            <v>2450</v>
          </cell>
          <cell r="AG1400">
            <v>7999.9999999999991</v>
          </cell>
          <cell r="AH1400">
            <v>800.00000000000091</v>
          </cell>
          <cell r="AI1400">
            <v>8800</v>
          </cell>
          <cell r="AK1400">
            <v>5772.7272727272721</v>
          </cell>
        </row>
        <row r="1401">
          <cell r="H1401">
            <v>91619971261</v>
          </cell>
          <cell r="I1401">
            <v>54492692</v>
          </cell>
          <cell r="J1401" t="str">
            <v/>
          </cell>
          <cell r="K1401" t="str">
            <v>-</v>
          </cell>
          <cell r="L1401">
            <v>14420</v>
          </cell>
          <cell r="M1401">
            <v>14420</v>
          </cell>
          <cell r="Q1401">
            <v>14900</v>
          </cell>
          <cell r="R1401">
            <v>91619971261</v>
          </cell>
          <cell r="Y1401" t="str">
            <v>뉴클 언더 카드젤리 케이스 아이폰15PRO MAX 핑크</v>
          </cell>
          <cell r="AC1401">
            <v>2227.272727272727</v>
          </cell>
          <cell r="AD1401">
            <v>222.72727272727272</v>
          </cell>
          <cell r="AE1401">
            <v>2450</v>
          </cell>
          <cell r="AG1401">
            <v>7999.9999999999991</v>
          </cell>
          <cell r="AH1401">
            <v>800.00000000000091</v>
          </cell>
          <cell r="AI1401">
            <v>8800</v>
          </cell>
          <cell r="AK1401">
            <v>5772.7272727272721</v>
          </cell>
        </row>
        <row r="1402">
          <cell r="H1402">
            <v>91619971239</v>
          </cell>
          <cell r="I1402">
            <v>54492689</v>
          </cell>
          <cell r="J1402">
            <v>3</v>
          </cell>
          <cell r="K1402" t="str">
            <v>-</v>
          </cell>
          <cell r="L1402">
            <v>14420</v>
          </cell>
          <cell r="M1402">
            <v>14420</v>
          </cell>
          <cell r="Q1402">
            <v>14900</v>
          </cell>
          <cell r="R1402">
            <v>91619971239</v>
          </cell>
          <cell r="Y1402" t="str">
            <v>뉴클 언더 카드젤리 케이스 아이폰15PRO 블랙</v>
          </cell>
          <cell r="AC1402">
            <v>2227.272727272727</v>
          </cell>
          <cell r="AD1402">
            <v>222.72727272727272</v>
          </cell>
          <cell r="AE1402">
            <v>2450</v>
          </cell>
          <cell r="AG1402">
            <v>7999.9999999999991</v>
          </cell>
          <cell r="AH1402">
            <v>800.00000000000091</v>
          </cell>
          <cell r="AI1402">
            <v>8800</v>
          </cell>
          <cell r="AK1402">
            <v>5772.7272727272721</v>
          </cell>
        </row>
        <row r="1403">
          <cell r="H1403">
            <v>91619971232</v>
          </cell>
          <cell r="I1403">
            <v>54492688</v>
          </cell>
          <cell r="J1403">
            <v>3</v>
          </cell>
          <cell r="K1403" t="str">
            <v>-</v>
          </cell>
          <cell r="L1403">
            <v>14420</v>
          </cell>
          <cell r="M1403">
            <v>14420</v>
          </cell>
          <cell r="Q1403">
            <v>14900</v>
          </cell>
          <cell r="R1403">
            <v>91619971232</v>
          </cell>
          <cell r="Y1403" t="str">
            <v>뉴클 언더 카드젤리 케이스 아이폰15PRO 블루</v>
          </cell>
          <cell r="AC1403">
            <v>2227.272727272727</v>
          </cell>
          <cell r="AD1403">
            <v>222.72727272727272</v>
          </cell>
          <cell r="AE1403">
            <v>2450</v>
          </cell>
          <cell r="AG1403">
            <v>7999.9999999999991</v>
          </cell>
          <cell r="AH1403">
            <v>800.00000000000091</v>
          </cell>
          <cell r="AI1403">
            <v>8800</v>
          </cell>
          <cell r="AK1403">
            <v>5772.7272727272721</v>
          </cell>
        </row>
        <row r="1404">
          <cell r="H1404">
            <v>91620009901</v>
          </cell>
          <cell r="I1404">
            <v>54501274</v>
          </cell>
          <cell r="J1404">
            <v>3</v>
          </cell>
          <cell r="K1404" t="str">
            <v>-</v>
          </cell>
          <cell r="L1404">
            <v>14420</v>
          </cell>
          <cell r="M1404">
            <v>14420</v>
          </cell>
          <cell r="Q1404">
            <v>14900</v>
          </cell>
          <cell r="R1404">
            <v>91620009901</v>
          </cell>
          <cell r="Y1404" t="str">
            <v>뉴클 언더 카드젤리 케이스 아이폰15PRO 옐로우</v>
          </cell>
          <cell r="AC1404">
            <v>2227.272727272727</v>
          </cell>
          <cell r="AD1404">
            <v>222.72727272727272</v>
          </cell>
          <cell r="AE1404">
            <v>2450</v>
          </cell>
          <cell r="AG1404">
            <v>7999.9999999999991</v>
          </cell>
          <cell r="AH1404">
            <v>800.00000000000091</v>
          </cell>
          <cell r="AI1404">
            <v>8800</v>
          </cell>
          <cell r="AK1404">
            <v>5772.7272727272721</v>
          </cell>
        </row>
        <row r="1405">
          <cell r="H1405">
            <v>91619971246</v>
          </cell>
          <cell r="I1405">
            <v>54492690</v>
          </cell>
          <cell r="J1405">
            <v>3</v>
          </cell>
          <cell r="K1405" t="str">
            <v>-</v>
          </cell>
          <cell r="L1405">
            <v>14420</v>
          </cell>
          <cell r="M1405">
            <v>14420</v>
          </cell>
          <cell r="Q1405">
            <v>14900</v>
          </cell>
          <cell r="R1405">
            <v>91619971246</v>
          </cell>
          <cell r="Y1405" t="str">
            <v>뉴클 언더 카드젤리 케이스 아이폰15PRO 투명</v>
          </cell>
          <cell r="AC1405">
            <v>2227.272727272727</v>
          </cell>
          <cell r="AD1405">
            <v>222.72727272727272</v>
          </cell>
          <cell r="AE1405">
            <v>2450</v>
          </cell>
          <cell r="AG1405">
            <v>7999.9999999999991</v>
          </cell>
          <cell r="AH1405">
            <v>800.00000000000091</v>
          </cell>
          <cell r="AI1405">
            <v>8800</v>
          </cell>
          <cell r="AK1405">
            <v>5772.7272727272721</v>
          </cell>
        </row>
        <row r="1406">
          <cell r="H1406">
            <v>91620009886</v>
          </cell>
          <cell r="I1406">
            <v>54501273</v>
          </cell>
          <cell r="J1406">
            <v>3</v>
          </cell>
          <cell r="K1406" t="str">
            <v>-</v>
          </cell>
          <cell r="L1406">
            <v>14420</v>
          </cell>
          <cell r="M1406">
            <v>14420</v>
          </cell>
          <cell r="Q1406">
            <v>14900</v>
          </cell>
          <cell r="R1406">
            <v>91620009886</v>
          </cell>
          <cell r="Y1406" t="str">
            <v>뉴클 언더 카드젤리 케이스 아이폰15PRO 퍼플</v>
          </cell>
          <cell r="AC1406">
            <v>2227.272727272727</v>
          </cell>
          <cell r="AD1406">
            <v>222.72727272727272</v>
          </cell>
          <cell r="AE1406">
            <v>2450</v>
          </cell>
          <cell r="AG1406">
            <v>7999.9999999999991</v>
          </cell>
          <cell r="AH1406">
            <v>800.00000000000091</v>
          </cell>
          <cell r="AI1406">
            <v>8800</v>
          </cell>
          <cell r="AK1406">
            <v>5772.7272727272721</v>
          </cell>
        </row>
        <row r="1407">
          <cell r="H1407">
            <v>91629241939</v>
          </cell>
          <cell r="I1407">
            <v>54534036</v>
          </cell>
          <cell r="J1407">
            <v>96</v>
          </cell>
          <cell r="K1407" t="str">
            <v>-</v>
          </cell>
          <cell r="L1407">
            <v>6750</v>
          </cell>
          <cell r="M1407">
            <v>6750</v>
          </cell>
          <cell r="Q1407">
            <v>7050</v>
          </cell>
          <cell r="R1407">
            <v>91629241939</v>
          </cell>
          <cell r="Y1407" t="str">
            <v>뉴클 언더 카드젤리 케이스 아이폰15PRO 핑크</v>
          </cell>
          <cell r="AC1407">
            <v>2227.272727272727</v>
          </cell>
          <cell r="AD1407">
            <v>222.72727272727272</v>
          </cell>
          <cell r="AE1407">
            <v>2450</v>
          </cell>
          <cell r="AG1407">
            <v>7999.9999999999991</v>
          </cell>
          <cell r="AH1407">
            <v>800.00000000000091</v>
          </cell>
          <cell r="AI1407">
            <v>8800</v>
          </cell>
          <cell r="AK1407">
            <v>5772.7272727272721</v>
          </cell>
        </row>
        <row r="1408">
          <cell r="H1408">
            <v>91728699613</v>
          </cell>
          <cell r="I1408">
            <v>55351091</v>
          </cell>
          <cell r="J1408">
            <v>-2</v>
          </cell>
          <cell r="K1408" t="str">
            <v>-</v>
          </cell>
          <cell r="L1408">
            <v>6750</v>
          </cell>
          <cell r="M1408">
            <v>6750</v>
          </cell>
          <cell r="Q1408">
            <v>7050</v>
          </cell>
          <cell r="R1408">
            <v>91728699613</v>
          </cell>
          <cell r="Y1408" t="str">
            <v>뉴클 언더 카드젤리 휴대폰 케이스 아이폰15 핑크</v>
          </cell>
          <cell r="AC1408">
            <v>2227.272727272727</v>
          </cell>
          <cell r="AD1408">
            <v>222.72727272727272</v>
          </cell>
          <cell r="AE1408">
            <v>2450</v>
          </cell>
          <cell r="AG1408">
            <v>7999.9999999999991</v>
          </cell>
          <cell r="AH1408">
            <v>800.00000000000091</v>
          </cell>
          <cell r="AI1408">
            <v>8800</v>
          </cell>
          <cell r="AK1408">
            <v>5772.7272727272721</v>
          </cell>
        </row>
        <row r="1409">
          <cell r="H1409">
            <v>86054729630</v>
          </cell>
          <cell r="I1409">
            <v>35906355</v>
          </cell>
          <cell r="J1409" t="str">
            <v/>
          </cell>
          <cell r="K1409" t="str">
            <v>-</v>
          </cell>
          <cell r="L1409">
            <v>10380</v>
          </cell>
          <cell r="M1409">
            <v>10380</v>
          </cell>
          <cell r="Q1409">
            <v>10510</v>
          </cell>
          <cell r="R1409">
            <v>86054729630</v>
          </cell>
          <cell r="Y1409" t="str">
            <v>삼성 SMAPP 강화유리 필름 S222개</v>
          </cell>
          <cell r="AC1409">
            <v>2704.5454545454545</v>
          </cell>
          <cell r="AD1409">
            <v>270.45454545454544</v>
          </cell>
          <cell r="AE1409">
            <v>2975</v>
          </cell>
          <cell r="AG1409">
            <v>5409.090909090909</v>
          </cell>
          <cell r="AH1409">
            <v>540.90909090909099</v>
          </cell>
          <cell r="AI1409">
            <v>5950</v>
          </cell>
          <cell r="AK1409">
            <v>2704.5454545454545</v>
          </cell>
        </row>
        <row r="1410">
          <cell r="H1410">
            <v>86054729641</v>
          </cell>
          <cell r="I1410">
            <v>35906356</v>
          </cell>
          <cell r="J1410" t="str">
            <v/>
          </cell>
          <cell r="K1410" t="str">
            <v>-</v>
          </cell>
          <cell r="L1410">
            <v>10380</v>
          </cell>
          <cell r="M1410">
            <v>10380</v>
          </cell>
          <cell r="Q1410">
            <v>10510</v>
          </cell>
          <cell r="R1410">
            <v>86054729641</v>
          </cell>
          <cell r="Y1410" t="str">
            <v>삼성 SMAPP 강화유리 필름 S22플러스2개</v>
          </cell>
          <cell r="AC1410">
            <v>2704.5454545454545</v>
          </cell>
          <cell r="AD1410">
            <v>270.45454545454544</v>
          </cell>
          <cell r="AE1410">
            <v>2975</v>
          </cell>
          <cell r="AG1410">
            <v>5409.090909090909</v>
          </cell>
          <cell r="AH1410">
            <v>540.90909090909099</v>
          </cell>
          <cell r="AI1410">
            <v>5950</v>
          </cell>
          <cell r="AK1410">
            <v>2704.5454545454545</v>
          </cell>
        </row>
        <row r="1411">
          <cell r="H1411">
            <v>86054729670</v>
          </cell>
          <cell r="I1411">
            <v>35906358</v>
          </cell>
          <cell r="J1411" t="str">
            <v/>
          </cell>
          <cell r="K1411" t="str">
            <v>-</v>
          </cell>
          <cell r="L1411">
            <v>10380</v>
          </cell>
          <cell r="M1411">
            <v>10380</v>
          </cell>
          <cell r="Q1411">
            <v>10510</v>
          </cell>
          <cell r="R1411">
            <v>86054729670</v>
          </cell>
          <cell r="Y1411" t="str">
            <v>삼성 SMAPP 강화유리 필름 S232개</v>
          </cell>
          <cell r="AC1411">
            <v>2704.5454545454545</v>
          </cell>
          <cell r="AD1411">
            <v>270.45454545454544</v>
          </cell>
          <cell r="AE1411">
            <v>2975</v>
          </cell>
          <cell r="AG1411">
            <v>5409.090909090909</v>
          </cell>
          <cell r="AH1411">
            <v>540.90909090909099</v>
          </cell>
          <cell r="AI1411">
            <v>5950</v>
          </cell>
          <cell r="AK1411">
            <v>2704.5454545454545</v>
          </cell>
        </row>
        <row r="1412">
          <cell r="H1412">
            <v>86054729681</v>
          </cell>
          <cell r="I1412">
            <v>35906359</v>
          </cell>
          <cell r="J1412" t="str">
            <v/>
          </cell>
          <cell r="K1412" t="str">
            <v>-</v>
          </cell>
          <cell r="L1412">
            <v>10380</v>
          </cell>
          <cell r="M1412">
            <v>10380</v>
          </cell>
          <cell r="Q1412">
            <v>10510</v>
          </cell>
          <cell r="R1412">
            <v>86054729681</v>
          </cell>
          <cell r="Y1412" t="str">
            <v>삼성 SMAPP 강화유리 필름 S23플러스2개</v>
          </cell>
          <cell r="AC1412">
            <v>2704.5454545454545</v>
          </cell>
          <cell r="AD1412">
            <v>270.45454545454544</v>
          </cell>
          <cell r="AE1412">
            <v>2975</v>
          </cell>
          <cell r="AG1412">
            <v>5409.090909090909</v>
          </cell>
          <cell r="AH1412">
            <v>540.90909090909099</v>
          </cell>
          <cell r="AI1412">
            <v>5950</v>
          </cell>
          <cell r="AK1412">
            <v>2704.5454545454545</v>
          </cell>
        </row>
        <row r="1413">
          <cell r="H1413">
            <v>86017035609</v>
          </cell>
          <cell r="I1413">
            <v>35812661</v>
          </cell>
          <cell r="J1413" t="str">
            <v/>
          </cell>
          <cell r="K1413" t="str">
            <v>-</v>
          </cell>
          <cell r="L1413">
            <v>9750</v>
          </cell>
          <cell r="M1413">
            <v>9750</v>
          </cell>
          <cell r="Q1413">
            <v>10400</v>
          </cell>
          <cell r="R1413">
            <v>86017035609</v>
          </cell>
          <cell r="Y1413" t="str">
            <v>삼성 SMAPP 아머젤리 케이스 S22 2개</v>
          </cell>
          <cell r="AC1413">
            <v>1799.9999999999998</v>
          </cell>
          <cell r="AD1413">
            <v>180</v>
          </cell>
          <cell r="AE1413">
            <v>1980</v>
          </cell>
          <cell r="AG1413">
            <v>3082.7272727272725</v>
          </cell>
          <cell r="AH1413">
            <v>308.27272727272748</v>
          </cell>
          <cell r="AI1413">
            <v>3391</v>
          </cell>
          <cell r="AK1413">
            <v>1282.7272727272727</v>
          </cell>
        </row>
        <row r="1414">
          <cell r="H1414">
            <v>86017035571</v>
          </cell>
          <cell r="I1414">
            <v>35812655</v>
          </cell>
          <cell r="J1414" t="str">
            <v/>
          </cell>
          <cell r="K1414" t="str">
            <v>-</v>
          </cell>
          <cell r="L1414">
            <v>9750</v>
          </cell>
          <cell r="M1414">
            <v>9750</v>
          </cell>
          <cell r="Q1414">
            <v>10400</v>
          </cell>
          <cell r="R1414">
            <v>86017035571</v>
          </cell>
          <cell r="Y1414" t="str">
            <v>삼성 SMAPP 아머젤리 케이스 S22울트라 2개</v>
          </cell>
          <cell r="AC1414">
            <v>1799.9999999999998</v>
          </cell>
          <cell r="AD1414">
            <v>180</v>
          </cell>
          <cell r="AE1414">
            <v>1980</v>
          </cell>
          <cell r="AG1414">
            <v>3425.454545454545</v>
          </cell>
          <cell r="AH1414">
            <v>342.54545454545496</v>
          </cell>
          <cell r="AI1414">
            <v>3768</v>
          </cell>
          <cell r="AK1414">
            <v>1625.4545454545453</v>
          </cell>
        </row>
        <row r="1415">
          <cell r="H1415">
            <v>86017035628</v>
          </cell>
          <cell r="I1415">
            <v>35812662</v>
          </cell>
          <cell r="J1415" t="str">
            <v/>
          </cell>
          <cell r="K1415" t="str">
            <v>-</v>
          </cell>
          <cell r="L1415">
            <v>9750</v>
          </cell>
          <cell r="M1415">
            <v>9750</v>
          </cell>
          <cell r="Q1415">
            <v>10400</v>
          </cell>
          <cell r="R1415">
            <v>86017035628</v>
          </cell>
          <cell r="Y1415" t="str">
            <v>삼성 SMAPP 아머젤리 케이스 S22플러스 2개</v>
          </cell>
          <cell r="AC1415">
            <v>1799.9999999999998</v>
          </cell>
          <cell r="AD1415">
            <v>180</v>
          </cell>
          <cell r="AE1415">
            <v>1980</v>
          </cell>
          <cell r="AG1415">
            <v>4868.181818181818</v>
          </cell>
          <cell r="AH1415">
            <v>486.81818181818198</v>
          </cell>
          <cell r="AI1415">
            <v>5355</v>
          </cell>
          <cell r="AK1415">
            <v>3068.181818181818</v>
          </cell>
        </row>
        <row r="1416">
          <cell r="H1416">
            <v>86017035636</v>
          </cell>
          <cell r="I1416">
            <v>35812663</v>
          </cell>
          <cell r="J1416" t="str">
            <v/>
          </cell>
          <cell r="K1416" t="str">
            <v>-</v>
          </cell>
          <cell r="L1416">
            <v>9750</v>
          </cell>
          <cell r="M1416">
            <v>9750</v>
          </cell>
          <cell r="Q1416">
            <v>10400</v>
          </cell>
          <cell r="R1416">
            <v>86017035636</v>
          </cell>
          <cell r="Y1416" t="str">
            <v>삼성 SMAPP 아머젤리 케이스 S23 2개</v>
          </cell>
          <cell r="AC1416">
            <v>2704.5454545454545</v>
          </cell>
          <cell r="AD1416">
            <v>270.45454545454544</v>
          </cell>
          <cell r="AE1416">
            <v>2975</v>
          </cell>
          <cell r="AG1416">
            <v>3137.272727272727</v>
          </cell>
          <cell r="AH1416">
            <v>313.72727272727298</v>
          </cell>
          <cell r="AI1416">
            <v>3451</v>
          </cell>
          <cell r="AK1416">
            <v>432.72727272727252</v>
          </cell>
        </row>
        <row r="1417">
          <cell r="H1417">
            <v>86017035599</v>
          </cell>
          <cell r="I1417">
            <v>35812659</v>
          </cell>
          <cell r="J1417" t="str">
            <v/>
          </cell>
          <cell r="K1417" t="str">
            <v>-</v>
          </cell>
          <cell r="L1417">
            <v>9750</v>
          </cell>
          <cell r="M1417">
            <v>9750</v>
          </cell>
          <cell r="Q1417">
            <v>10400</v>
          </cell>
          <cell r="R1417">
            <v>86017035599</v>
          </cell>
          <cell r="Y1417" t="str">
            <v>삼성 SMAPP 아머젤리 케이스 S23울트라 2개</v>
          </cell>
          <cell r="AC1417">
            <v>1799.9999999999998</v>
          </cell>
          <cell r="AD1417">
            <v>180</v>
          </cell>
          <cell r="AE1417">
            <v>1980</v>
          </cell>
          <cell r="AG1417">
            <v>3082.7272727272725</v>
          </cell>
          <cell r="AH1417">
            <v>308.27272727272748</v>
          </cell>
          <cell r="AI1417">
            <v>3391</v>
          </cell>
          <cell r="AK1417">
            <v>1282.7272727272727</v>
          </cell>
        </row>
        <row r="1418">
          <cell r="H1418">
            <v>86017035585</v>
          </cell>
          <cell r="I1418">
            <v>35812657</v>
          </cell>
          <cell r="J1418" t="str">
            <v/>
          </cell>
          <cell r="K1418" t="str">
            <v>-</v>
          </cell>
          <cell r="L1418">
            <v>9750</v>
          </cell>
          <cell r="M1418">
            <v>9750</v>
          </cell>
          <cell r="Q1418">
            <v>10400</v>
          </cell>
          <cell r="R1418">
            <v>86017035585</v>
          </cell>
          <cell r="Y1418" t="str">
            <v>삼성 SMAPP 아머젤리 케이스 S23플러스 2개</v>
          </cell>
          <cell r="AC1418">
            <v>2704.5454545454545</v>
          </cell>
          <cell r="AD1418">
            <v>270.45454545454544</v>
          </cell>
          <cell r="AE1418">
            <v>2975</v>
          </cell>
          <cell r="AG1418">
            <v>3425.454545454545</v>
          </cell>
          <cell r="AH1418">
            <v>342.54545454545496</v>
          </cell>
          <cell r="AI1418">
            <v>3768</v>
          </cell>
          <cell r="AK1418">
            <v>720.90909090909054</v>
          </cell>
        </row>
        <row r="1419">
          <cell r="H1419">
            <v>86041645073</v>
          </cell>
          <cell r="I1419">
            <v>35860988</v>
          </cell>
          <cell r="J1419" t="str">
            <v/>
          </cell>
          <cell r="K1419" t="str">
            <v>-</v>
          </cell>
          <cell r="L1419">
            <v>13880</v>
          </cell>
          <cell r="M1419">
            <v>13880</v>
          </cell>
          <cell r="Q1419">
            <v>14050</v>
          </cell>
          <cell r="R1419">
            <v>86041645073</v>
          </cell>
          <cell r="Y1419" t="str">
            <v>삼성 SMAPP 에이룩 아머 풀커버 우레탄TPU 필름 S232개</v>
          </cell>
          <cell r="AC1419">
            <v>2899.9999999999995</v>
          </cell>
          <cell r="AD1419">
            <v>289.99999999999994</v>
          </cell>
          <cell r="AE1419">
            <v>3190</v>
          </cell>
          <cell r="AG1419">
            <v>7227.272727272727</v>
          </cell>
          <cell r="AH1419">
            <v>722.72727272727298</v>
          </cell>
          <cell r="AI1419">
            <v>7950</v>
          </cell>
          <cell r="AK1419">
            <v>4327.2727272727279</v>
          </cell>
        </row>
        <row r="1420">
          <cell r="H1420">
            <v>86041645101</v>
          </cell>
          <cell r="I1420">
            <v>35860993</v>
          </cell>
          <cell r="J1420" t="str">
            <v/>
          </cell>
          <cell r="K1420" t="str">
            <v>-</v>
          </cell>
          <cell r="L1420">
            <v>13880</v>
          </cell>
          <cell r="M1420">
            <v>13880</v>
          </cell>
          <cell r="Q1420">
            <v>14050</v>
          </cell>
          <cell r="R1420">
            <v>86041645101</v>
          </cell>
          <cell r="Y1420" t="str">
            <v>삼성 SMAPP 에이룩 아머 풀커버 우레탄TPU 필름 S23울트라2개</v>
          </cell>
          <cell r="AC1420">
            <v>2899.9999999999995</v>
          </cell>
          <cell r="AD1420">
            <v>289.99999999999994</v>
          </cell>
          <cell r="AE1420">
            <v>3190</v>
          </cell>
          <cell r="AG1420">
            <v>7227.272727272727</v>
          </cell>
          <cell r="AH1420">
            <v>722.72727272727298</v>
          </cell>
          <cell r="AI1420">
            <v>7950</v>
          </cell>
          <cell r="AK1420">
            <v>4327.2727272727279</v>
          </cell>
        </row>
        <row r="1421">
          <cell r="H1421">
            <v>86041645089</v>
          </cell>
          <cell r="I1421">
            <v>35860991</v>
          </cell>
          <cell r="J1421" t="str">
            <v/>
          </cell>
          <cell r="K1421" t="str">
            <v>-</v>
          </cell>
          <cell r="L1421">
            <v>13880</v>
          </cell>
          <cell r="M1421">
            <v>13880</v>
          </cell>
          <cell r="Q1421">
            <v>14050</v>
          </cell>
          <cell r="R1421">
            <v>86041645089</v>
          </cell>
          <cell r="Y1421" t="str">
            <v>삼성 SMAPP 에이룩 아머 풀커버 우레탄TPU 필름 S23플러스2개</v>
          </cell>
          <cell r="AC1421">
            <v>2899.9999999999995</v>
          </cell>
          <cell r="AD1421">
            <v>289.99999999999994</v>
          </cell>
          <cell r="AE1421">
            <v>3190</v>
          </cell>
          <cell r="AG1421">
            <v>7227.272727272727</v>
          </cell>
          <cell r="AH1421">
            <v>722.72727272727298</v>
          </cell>
          <cell r="AI1421">
            <v>7950</v>
          </cell>
          <cell r="AK1421">
            <v>4327.2727272727279</v>
          </cell>
        </row>
        <row r="1422">
          <cell r="H1422">
            <v>86075465714</v>
          </cell>
          <cell r="I1422">
            <v>35956045</v>
          </cell>
          <cell r="J1422" t="str">
            <v/>
          </cell>
          <cell r="K1422" t="str">
            <v>-</v>
          </cell>
          <cell r="L1422">
            <v>13880</v>
          </cell>
          <cell r="M1422">
            <v>13880</v>
          </cell>
          <cell r="Q1422">
            <v>14050</v>
          </cell>
          <cell r="R1422">
            <v>86075465714</v>
          </cell>
          <cell r="Y1422" t="str">
            <v>삼성전자 SMAPP 풀커버 우레탄TPU 휴대폰 필름 갤럭시 S222개</v>
          </cell>
          <cell r="AC1422">
            <v>2899.9999999999995</v>
          </cell>
          <cell r="AD1422">
            <v>289.99999999999994</v>
          </cell>
          <cell r="AE1422">
            <v>3190</v>
          </cell>
          <cell r="AG1422">
            <v>7227.272727272727</v>
          </cell>
          <cell r="AH1422">
            <v>722.72727272727298</v>
          </cell>
          <cell r="AI1422">
            <v>7950</v>
          </cell>
          <cell r="AK1422">
            <v>4327.2727272727279</v>
          </cell>
        </row>
        <row r="1423">
          <cell r="H1423">
            <v>86075465759</v>
          </cell>
          <cell r="I1423">
            <v>35956047</v>
          </cell>
          <cell r="J1423" t="str">
            <v/>
          </cell>
          <cell r="K1423" t="str">
            <v>-</v>
          </cell>
          <cell r="L1423">
            <v>13880</v>
          </cell>
          <cell r="M1423">
            <v>13880</v>
          </cell>
          <cell r="Q1423">
            <v>14050</v>
          </cell>
          <cell r="R1423">
            <v>86075465759</v>
          </cell>
          <cell r="Y1423" t="str">
            <v>삼성전자 SMAPP 풀커버 우레탄TPU 휴대폰 필름 갤럭시 S22울트라2개</v>
          </cell>
          <cell r="AC1423">
            <v>2899.9999999999995</v>
          </cell>
          <cell r="AD1423">
            <v>289.99999999999994</v>
          </cell>
          <cell r="AE1423">
            <v>3190</v>
          </cell>
          <cell r="AG1423">
            <v>7227.272727272727</v>
          </cell>
          <cell r="AH1423">
            <v>722.72727272727298</v>
          </cell>
          <cell r="AI1423">
            <v>7950</v>
          </cell>
          <cell r="AK1423">
            <v>4327.2727272727279</v>
          </cell>
        </row>
        <row r="1424">
          <cell r="H1424">
            <v>86075465737</v>
          </cell>
          <cell r="I1424">
            <v>35956046</v>
          </cell>
          <cell r="J1424" t="str">
            <v/>
          </cell>
          <cell r="K1424" t="str">
            <v>-</v>
          </cell>
          <cell r="L1424">
            <v>13880</v>
          </cell>
          <cell r="M1424">
            <v>13880</v>
          </cell>
          <cell r="Q1424">
            <v>14050</v>
          </cell>
          <cell r="R1424">
            <v>86075465737</v>
          </cell>
          <cell r="Y1424" t="str">
            <v>삼성전자 SMAPP 풀커버 우레탄TPU 휴대폰 필름 갤럭시 S22플러스2개</v>
          </cell>
          <cell r="AC1424">
            <v>2899.9999999999995</v>
          </cell>
          <cell r="AD1424">
            <v>289.99999999999994</v>
          </cell>
          <cell r="AE1424">
            <v>3190</v>
          </cell>
          <cell r="AG1424">
            <v>7227.272727272727</v>
          </cell>
          <cell r="AH1424">
            <v>722.72727272727298</v>
          </cell>
          <cell r="AI1424">
            <v>7950</v>
          </cell>
          <cell r="AK1424">
            <v>4327.2727272727279</v>
          </cell>
        </row>
        <row r="1426">
          <cell r="H1426">
            <v>90474185083</v>
          </cell>
          <cell r="I1426">
            <v>47934682</v>
          </cell>
          <cell r="J1426" t="str">
            <v/>
          </cell>
          <cell r="K1426">
            <v>42</v>
          </cell>
          <cell r="L1426">
            <v>17830</v>
          </cell>
          <cell r="M1426">
            <v>17830</v>
          </cell>
          <cell r="N1426">
            <v>16900</v>
          </cell>
          <cell r="O1426">
            <v>29900</v>
          </cell>
          <cell r="Q1426">
            <v>17570</v>
          </cell>
          <cell r="R1426">
            <v>90474185083</v>
          </cell>
          <cell r="S1426" t="str">
            <v>백승민BM</v>
          </cell>
          <cell r="V1426">
            <v>17300</v>
          </cell>
          <cell r="W1426" t="str">
            <v>https://smartstore.naver.com/sskoreatrade/products/10452960743</v>
          </cell>
          <cell r="X1426" t="str">
            <v>뉴클 이어폰</v>
          </cell>
          <cell r="Y1426" t="str">
            <v>뉴클 레인보우 LED 블루투스5.3 무선이어폰</v>
          </cell>
          <cell r="AB1426" t="str">
            <v>coupang.com/vp/products/8191943470?itemId=23447403383&amp;vendorItemId=90474185083</v>
          </cell>
          <cell r="AC1426">
            <v>5500</v>
          </cell>
          <cell r="AD1426">
            <v>550</v>
          </cell>
          <cell r="AE1426">
            <v>6050</v>
          </cell>
          <cell r="AG1426">
            <v>12290.90909090909</v>
          </cell>
          <cell r="AH1426">
            <v>1229.0909090909099</v>
          </cell>
          <cell r="AI1426">
            <v>13520</v>
          </cell>
          <cell r="AK1426">
            <v>6790.9090909090901</v>
          </cell>
        </row>
        <row r="1427">
          <cell r="H1427">
            <v>91968507470</v>
          </cell>
          <cell r="I1427">
            <v>56728119</v>
          </cell>
          <cell r="J1427" t="str">
            <v/>
          </cell>
          <cell r="K1427" t="str">
            <v>-</v>
          </cell>
          <cell r="L1427">
            <v>18900</v>
          </cell>
          <cell r="M1427">
            <v>18900</v>
          </cell>
          <cell r="N1427">
            <v>13800</v>
          </cell>
          <cell r="O1427">
            <v>24900</v>
          </cell>
          <cell r="Q1427">
            <v>18900</v>
          </cell>
          <cell r="R1427">
            <v>91968507470</v>
          </cell>
          <cell r="S1427" t="str">
            <v>윤혜주BM</v>
          </cell>
          <cell r="V1427">
            <v>18900</v>
          </cell>
          <cell r="W1427" t="str">
            <v>https://smartstore.naver.com/sskoreatrade/products/11494939823</v>
          </cell>
          <cell r="X1427" t="str">
            <v>MBTI 보조배터리</v>
          </cell>
          <cell r="Y1427" t="str">
            <v>뉴클 MBTI슬림파워 보조배터리 ENFJ</v>
          </cell>
          <cell r="AB1427" t="str">
            <v>coupang.com/vp/products/8607544874?itemId=24962804876&amp;vendorItemId=91968507470</v>
          </cell>
          <cell r="AC1427">
            <v>5214.545454545454</v>
          </cell>
          <cell r="AD1427">
            <v>521.45454545454538</v>
          </cell>
          <cell r="AE1427">
            <v>5736</v>
          </cell>
          <cell r="AG1427">
            <v>13545.454545454544</v>
          </cell>
          <cell r="AH1427">
            <v>1354.5454545454559</v>
          </cell>
          <cell r="AI1427">
            <v>14900</v>
          </cell>
          <cell r="AK1427">
            <v>8330.9090909090901</v>
          </cell>
        </row>
        <row r="1428">
          <cell r="H1428">
            <v>91968507233</v>
          </cell>
          <cell r="I1428">
            <v>56728118</v>
          </cell>
          <cell r="J1428" t="str">
            <v/>
          </cell>
          <cell r="K1428" t="str">
            <v>-</v>
          </cell>
          <cell r="L1428">
            <v>18900</v>
          </cell>
          <cell r="M1428">
            <v>18900</v>
          </cell>
          <cell r="N1428">
            <v>13800</v>
          </cell>
          <cell r="O1428">
            <v>24900</v>
          </cell>
          <cell r="Q1428">
            <v>18900</v>
          </cell>
          <cell r="R1428">
            <v>91968507233</v>
          </cell>
          <cell r="S1428" t="str">
            <v>윤혜주BM</v>
          </cell>
          <cell r="V1428">
            <v>18900</v>
          </cell>
          <cell r="W1428" t="str">
            <v>https://smartstore.naver.com/sskoreatrade/products/11494939823</v>
          </cell>
          <cell r="X1428" t="str">
            <v>MBTI 보조배터리</v>
          </cell>
          <cell r="Y1428" t="str">
            <v>뉴클 MBTI슬림파워 보조배터리 ENFP</v>
          </cell>
          <cell r="AB1428" t="str">
            <v>coupang.com/vp/products/8607544814?itemId=24962804603&amp;vendorItemId=91968507233</v>
          </cell>
          <cell r="AC1428">
            <v>5096.363636363636</v>
          </cell>
          <cell r="AD1428">
            <v>509.63636363636363</v>
          </cell>
          <cell r="AE1428">
            <v>5606</v>
          </cell>
          <cell r="AG1428">
            <v>13545.454545454544</v>
          </cell>
          <cell r="AH1428">
            <v>1354.5454545454559</v>
          </cell>
          <cell r="AI1428">
            <v>14900</v>
          </cell>
          <cell r="AK1428">
            <v>8449.0909090909081</v>
          </cell>
        </row>
        <row r="1429">
          <cell r="H1429">
            <v>91968507228</v>
          </cell>
          <cell r="I1429">
            <v>56728114</v>
          </cell>
          <cell r="J1429">
            <v>115</v>
          </cell>
          <cell r="K1429" t="str">
            <v>-</v>
          </cell>
          <cell r="L1429">
            <v>18900</v>
          </cell>
          <cell r="M1429">
            <v>18900</v>
          </cell>
          <cell r="N1429">
            <v>13800</v>
          </cell>
          <cell r="O1429">
            <v>24900</v>
          </cell>
          <cell r="Q1429">
            <v>18900</v>
          </cell>
          <cell r="R1429">
            <v>91968507228</v>
          </cell>
          <cell r="S1429" t="str">
            <v>윤혜주BM</v>
          </cell>
          <cell r="V1429">
            <v>18900</v>
          </cell>
          <cell r="W1429" t="str">
            <v>https://smartstore.naver.com/sskoreatrade/products/11494939823</v>
          </cell>
          <cell r="X1429" t="str">
            <v>MBTI 보조배터리</v>
          </cell>
          <cell r="Y1429" t="str">
            <v>뉴클 MBTI슬림파워 보조배터리 ENTJ</v>
          </cell>
          <cell r="AB1429" t="str">
            <v>coupang.com/vp/products/8607676029?itemId=24963319375&amp;vendorItemId=91968507228</v>
          </cell>
          <cell r="AC1429">
            <v>5214.545454545454</v>
          </cell>
          <cell r="AD1429">
            <v>521.45454545454538</v>
          </cell>
          <cell r="AE1429">
            <v>5736</v>
          </cell>
          <cell r="AG1429">
            <v>13545.454545454544</v>
          </cell>
          <cell r="AH1429">
            <v>1354.5454545454559</v>
          </cell>
          <cell r="AI1429">
            <v>14900</v>
          </cell>
          <cell r="AK1429">
            <v>8330.9090909090901</v>
          </cell>
        </row>
        <row r="1430">
          <cell r="H1430">
            <v>91968507260</v>
          </cell>
          <cell r="I1430">
            <v>56728113</v>
          </cell>
          <cell r="J1430" t="str">
            <v/>
          </cell>
          <cell r="K1430" t="str">
            <v>-</v>
          </cell>
          <cell r="L1430">
            <v>18900</v>
          </cell>
          <cell r="M1430">
            <v>18900</v>
          </cell>
          <cell r="N1430">
            <v>13800</v>
          </cell>
          <cell r="O1430">
            <v>24900</v>
          </cell>
          <cell r="Q1430">
            <v>18900</v>
          </cell>
          <cell r="R1430">
            <v>91968507260</v>
          </cell>
          <cell r="S1430" t="str">
            <v>윤혜주BM</v>
          </cell>
          <cell r="V1430">
            <v>18900</v>
          </cell>
          <cell r="W1430" t="str">
            <v>https://smartstore.naver.com/sskoreatrade/products/11494939823</v>
          </cell>
          <cell r="X1430" t="str">
            <v>MBTI 보조배터리</v>
          </cell>
          <cell r="Y1430" t="str">
            <v>뉴클 MBTI슬림파워 보조배터리 ENTP</v>
          </cell>
          <cell r="AB1430" t="str">
            <v>coupang.com/vp/products/8607544825?itemId=24962804647&amp;vendorItemId=91968507260</v>
          </cell>
          <cell r="AC1430">
            <v>4872.7272727272721</v>
          </cell>
          <cell r="AD1430">
            <v>487.27272727272725</v>
          </cell>
          <cell r="AE1430">
            <v>5360</v>
          </cell>
          <cell r="AG1430">
            <v>13545.454545454544</v>
          </cell>
          <cell r="AH1430">
            <v>1354.5454545454559</v>
          </cell>
          <cell r="AI1430">
            <v>14900</v>
          </cell>
          <cell r="AK1430">
            <v>8672.7272727272721</v>
          </cell>
        </row>
        <row r="1431">
          <cell r="H1431">
            <v>91968507258</v>
          </cell>
          <cell r="I1431">
            <v>56728112</v>
          </cell>
          <cell r="J1431" t="str">
            <v/>
          </cell>
          <cell r="K1431" t="str">
            <v>-</v>
          </cell>
          <cell r="L1431">
            <v>18900</v>
          </cell>
          <cell r="M1431">
            <v>18900</v>
          </cell>
          <cell r="N1431">
            <v>13800</v>
          </cell>
          <cell r="O1431">
            <v>24900</v>
          </cell>
          <cell r="Q1431">
            <v>18900</v>
          </cell>
          <cell r="R1431">
            <v>91968507258</v>
          </cell>
          <cell r="S1431" t="str">
            <v>윤혜주BM</v>
          </cell>
          <cell r="V1431">
            <v>18900</v>
          </cell>
          <cell r="W1431" t="str">
            <v>https://smartstore.naver.com/sskoreatrade/products/11494939823</v>
          </cell>
          <cell r="X1431" t="str">
            <v>MBTI 보조배터리</v>
          </cell>
          <cell r="Y1431" t="str">
            <v>뉴클 MBTI슬림파워 보조배터리 ESFJ</v>
          </cell>
          <cell r="AB1431" t="str">
            <v>coupang.com/vp/products/8607544826?itemId=24962804650&amp;vendorItemId=91968507258</v>
          </cell>
          <cell r="AC1431">
            <v>4991.8181818181811</v>
          </cell>
          <cell r="AD1431">
            <v>499.18181818181813</v>
          </cell>
          <cell r="AE1431">
            <v>5491</v>
          </cell>
          <cell r="AG1431">
            <v>13545.454545454544</v>
          </cell>
          <cell r="AH1431">
            <v>1354.5454545454559</v>
          </cell>
          <cell r="AI1431">
            <v>14900</v>
          </cell>
          <cell r="AK1431">
            <v>8553.636363636364</v>
          </cell>
        </row>
        <row r="1432">
          <cell r="H1432">
            <v>91968507252</v>
          </cell>
          <cell r="I1432">
            <v>56728111</v>
          </cell>
          <cell r="J1432" t="str">
            <v/>
          </cell>
          <cell r="K1432" t="str">
            <v>-</v>
          </cell>
          <cell r="L1432">
            <v>18900</v>
          </cell>
          <cell r="M1432">
            <v>18900</v>
          </cell>
          <cell r="N1432">
            <v>13800</v>
          </cell>
          <cell r="O1432">
            <v>24900</v>
          </cell>
          <cell r="Q1432">
            <v>18900</v>
          </cell>
          <cell r="R1432">
            <v>91968507252</v>
          </cell>
          <cell r="S1432" t="str">
            <v>윤혜주BM</v>
          </cell>
          <cell r="V1432">
            <v>18900</v>
          </cell>
          <cell r="W1432" t="str">
            <v>https://smartstore.naver.com/sskoreatrade/products/11494939823</v>
          </cell>
          <cell r="X1432" t="str">
            <v>MBTI 보조배터리</v>
          </cell>
          <cell r="Y1432" t="str">
            <v>뉴클 MBTI슬림파워 보조배터리 ESFP</v>
          </cell>
          <cell r="AB1432" t="str">
            <v>coupang.com/vp/products/8607544832?itemId=24962804697&amp;vendorItemId=91968507252</v>
          </cell>
          <cell r="AC1432">
            <v>4988.181818181818</v>
          </cell>
          <cell r="AD1432">
            <v>498.81818181818181</v>
          </cell>
          <cell r="AE1432">
            <v>5487</v>
          </cell>
          <cell r="AG1432">
            <v>13545.454545454544</v>
          </cell>
          <cell r="AH1432">
            <v>1354.5454545454559</v>
          </cell>
          <cell r="AI1432">
            <v>14900</v>
          </cell>
          <cell r="AK1432">
            <v>8557.2727272727261</v>
          </cell>
        </row>
        <row r="1433">
          <cell r="H1433">
            <v>91968507242</v>
          </cell>
          <cell r="I1433">
            <v>56728110</v>
          </cell>
          <cell r="J1433">
            <v>59</v>
          </cell>
          <cell r="K1433" t="str">
            <v>-</v>
          </cell>
          <cell r="L1433">
            <v>18900</v>
          </cell>
          <cell r="M1433">
            <v>18900</v>
          </cell>
          <cell r="N1433">
            <v>17800</v>
          </cell>
          <cell r="O1433">
            <v>24900</v>
          </cell>
          <cell r="Q1433">
            <v>18900</v>
          </cell>
          <cell r="R1433">
            <v>91968507242</v>
          </cell>
          <cell r="S1433" t="str">
            <v>윤혜주BM</v>
          </cell>
          <cell r="V1433">
            <v>18900</v>
          </cell>
          <cell r="W1433" t="str">
            <v>https://smartstore.naver.com/sskoreatrade/products/11494939823</v>
          </cell>
          <cell r="X1433" t="str">
            <v>MBTI 보조배터리</v>
          </cell>
          <cell r="Y1433" t="str">
            <v>뉴클 MBTI슬림파워 보조배터리 ESTJ</v>
          </cell>
          <cell r="AB1433" t="str">
            <v>coupang.com/vp/products/8607544816?itemId=24962804615&amp;vendorItemId=91968507242</v>
          </cell>
          <cell r="AC1433">
            <v>4982.7272727272721</v>
          </cell>
          <cell r="AD1433">
            <v>498.27272727272725</v>
          </cell>
          <cell r="AE1433">
            <v>5481</v>
          </cell>
          <cell r="AG1433">
            <v>13545.454545454544</v>
          </cell>
          <cell r="AH1433">
            <v>1354.5454545454559</v>
          </cell>
          <cell r="AI1433">
            <v>14900</v>
          </cell>
          <cell r="AK1433">
            <v>8562.7272727272721</v>
          </cell>
        </row>
        <row r="1434">
          <cell r="H1434">
            <v>91968507281</v>
          </cell>
          <cell r="I1434">
            <v>56728109</v>
          </cell>
          <cell r="J1434" t="str">
            <v/>
          </cell>
          <cell r="K1434" t="str">
            <v>-</v>
          </cell>
          <cell r="L1434">
            <v>18900</v>
          </cell>
          <cell r="M1434">
            <v>18900</v>
          </cell>
          <cell r="N1434">
            <v>23600</v>
          </cell>
          <cell r="O1434">
            <v>24900</v>
          </cell>
          <cell r="Q1434">
            <v>18900</v>
          </cell>
          <cell r="R1434">
            <v>91968507281</v>
          </cell>
          <cell r="S1434" t="str">
            <v>윤혜주BM</v>
          </cell>
          <cell r="V1434">
            <v>18900</v>
          </cell>
          <cell r="W1434" t="str">
            <v>https://smartstore.naver.com/sskoreatrade/products/11494939823</v>
          </cell>
          <cell r="X1434" t="str">
            <v>MBTI 보조배터리</v>
          </cell>
          <cell r="Y1434" t="str">
            <v>뉴클 MBTI슬림파워 보조배터리 ESTP</v>
          </cell>
          <cell r="AB1434" t="str">
            <v>coupang.com/vp/products/8607544837?itemId=24962804727&amp;vendorItemId=91968507281</v>
          </cell>
          <cell r="AC1434">
            <v>4819.090909090909</v>
          </cell>
          <cell r="AD1434">
            <v>481.90909090909093</v>
          </cell>
          <cell r="AE1434">
            <v>5301</v>
          </cell>
          <cell r="AG1434">
            <v>13545.454545454544</v>
          </cell>
          <cell r="AH1434">
            <v>1354.5454545454559</v>
          </cell>
          <cell r="AI1434">
            <v>14900</v>
          </cell>
          <cell r="AK1434">
            <v>8726.363636363636</v>
          </cell>
        </row>
        <row r="1435">
          <cell r="H1435">
            <v>91968507227</v>
          </cell>
          <cell r="I1435">
            <v>56728108</v>
          </cell>
          <cell r="J1435" t="str">
            <v/>
          </cell>
          <cell r="K1435" t="str">
            <v>-</v>
          </cell>
          <cell r="L1435">
            <v>18900</v>
          </cell>
          <cell r="M1435">
            <v>18900</v>
          </cell>
          <cell r="N1435">
            <v>17800</v>
          </cell>
          <cell r="O1435">
            <v>24900</v>
          </cell>
          <cell r="Q1435">
            <v>18900</v>
          </cell>
          <cell r="R1435">
            <v>91968507227</v>
          </cell>
          <cell r="S1435" t="str">
            <v>윤혜주BM</v>
          </cell>
          <cell r="V1435">
            <v>18900</v>
          </cell>
          <cell r="W1435" t="str">
            <v>https://smartstore.naver.com/sskoreatrade/products/11494939823</v>
          </cell>
          <cell r="X1435" t="str">
            <v>MBTI 보조배터리</v>
          </cell>
          <cell r="Y1435" t="str">
            <v>뉴클 MBTI슬림파워 보조배터리 INFJ</v>
          </cell>
          <cell r="AB1435" t="str">
            <v>coupang.com/vp/products/8607544823?itemId=24962804640&amp;vendorItemId=91968507227</v>
          </cell>
          <cell r="AC1435">
            <v>4819.090909090909</v>
          </cell>
          <cell r="AD1435">
            <v>481.90909090909093</v>
          </cell>
          <cell r="AE1435">
            <v>5301</v>
          </cell>
          <cell r="AG1435">
            <v>13545.454545454544</v>
          </cell>
          <cell r="AH1435">
            <v>1354.5454545454559</v>
          </cell>
          <cell r="AI1435">
            <v>14900</v>
          </cell>
          <cell r="AK1435">
            <v>8726.363636363636</v>
          </cell>
        </row>
        <row r="1436">
          <cell r="H1436">
            <v>91968507057</v>
          </cell>
          <cell r="I1436">
            <v>56728107</v>
          </cell>
          <cell r="J1436" t="str">
            <v/>
          </cell>
          <cell r="K1436" t="str">
            <v>-</v>
          </cell>
          <cell r="L1436">
            <v>18900</v>
          </cell>
          <cell r="M1436">
            <v>18900</v>
          </cell>
          <cell r="N1436">
            <v>17800</v>
          </cell>
          <cell r="O1436">
            <v>24900</v>
          </cell>
          <cell r="Q1436">
            <v>18900</v>
          </cell>
          <cell r="R1436">
            <v>91968507057</v>
          </cell>
          <cell r="S1436" t="str">
            <v>윤혜주BM</v>
          </cell>
          <cell r="V1436">
            <v>18900</v>
          </cell>
          <cell r="W1436" t="str">
            <v>https://smartstore.naver.com/sskoreatrade/products/11494939823</v>
          </cell>
          <cell r="X1436" t="str">
            <v>MBTI 보조배터리</v>
          </cell>
          <cell r="Y1436" t="str">
            <v>뉴클 MBTI슬림파워 보조배터리 INFP</v>
          </cell>
          <cell r="AB1436" t="str">
            <v>coupang.com/vp/products/8607676029?itemId=24963319359&amp;vendorItemId=91968507057</v>
          </cell>
          <cell r="AC1436">
            <v>5072.7272727272721</v>
          </cell>
          <cell r="AD1436">
            <v>507.27272727272725</v>
          </cell>
          <cell r="AE1436">
            <v>5580</v>
          </cell>
          <cell r="AG1436">
            <v>13545.454545454544</v>
          </cell>
          <cell r="AH1436">
            <v>1354.5454545454559</v>
          </cell>
          <cell r="AI1436">
            <v>14900</v>
          </cell>
          <cell r="AK1436">
            <v>8472.7272727272721</v>
          </cell>
        </row>
        <row r="1437">
          <cell r="H1437">
            <v>91968507047</v>
          </cell>
          <cell r="I1437">
            <v>56728105</v>
          </cell>
          <cell r="J1437" t="str">
            <v/>
          </cell>
          <cell r="K1437" t="str">
            <v>-</v>
          </cell>
          <cell r="L1437">
            <v>18900</v>
          </cell>
          <cell r="M1437">
            <v>18900</v>
          </cell>
          <cell r="N1437">
            <v>17800</v>
          </cell>
          <cell r="O1437">
            <v>24900</v>
          </cell>
          <cell r="Q1437">
            <v>18900</v>
          </cell>
          <cell r="R1437">
            <v>91968507047</v>
          </cell>
          <cell r="S1437" t="str">
            <v>윤혜주BM</v>
          </cell>
          <cell r="V1437">
            <v>18900</v>
          </cell>
          <cell r="W1437" t="str">
            <v>https://smartstore.naver.com/sskoreatrade/products/11494939823</v>
          </cell>
          <cell r="X1437" t="str">
            <v>MBTI 보조배터리</v>
          </cell>
          <cell r="Y1437" t="str">
            <v>뉴클 MBTI슬림파워 보조배터리 INTJ</v>
          </cell>
          <cell r="AB1437" t="str">
            <v>coupang.com/vp/products/8607544777?itemId=24962804481&amp;vendorItemId=91968507047</v>
          </cell>
          <cell r="AC1437">
            <v>4872.7272727272721</v>
          </cell>
          <cell r="AD1437">
            <v>487.27272727272725</v>
          </cell>
          <cell r="AE1437">
            <v>5360</v>
          </cell>
          <cell r="AG1437">
            <v>13545.454545454544</v>
          </cell>
          <cell r="AH1437">
            <v>1354.5454545454559</v>
          </cell>
          <cell r="AI1437">
            <v>14900</v>
          </cell>
          <cell r="AK1437">
            <v>8672.7272727272721</v>
          </cell>
        </row>
        <row r="1438">
          <cell r="H1438">
            <v>91968507071</v>
          </cell>
          <cell r="I1438">
            <v>56728104</v>
          </cell>
          <cell r="J1438" t="str">
            <v/>
          </cell>
          <cell r="K1438" t="str">
            <v>-</v>
          </cell>
          <cell r="L1438">
            <v>18900</v>
          </cell>
          <cell r="M1438">
            <v>18900</v>
          </cell>
          <cell r="N1438">
            <v>17800</v>
          </cell>
          <cell r="O1438">
            <v>24900</v>
          </cell>
          <cell r="Q1438">
            <v>18900</v>
          </cell>
          <cell r="R1438">
            <v>91968507071</v>
          </cell>
          <cell r="S1438" t="str">
            <v>윤혜주BM</v>
          </cell>
          <cell r="V1438">
            <v>18900</v>
          </cell>
          <cell r="W1438" t="str">
            <v>https://smartstore.naver.com/sskoreatrade/products/11494939823</v>
          </cell>
          <cell r="X1438" t="str">
            <v>MBTI 보조배터리</v>
          </cell>
          <cell r="Y1438" t="str">
            <v>뉴클 MBTI슬림파워 보조배터리 INTP</v>
          </cell>
          <cell r="AB1438" t="str">
            <v>coupang.com/vp/products/8607676029?itemId=24963319409&amp;vendorItemId=91968507071</v>
          </cell>
          <cell r="AC1438">
            <v>4819.090909090909</v>
          </cell>
          <cell r="AD1438">
            <v>481.90909090909093</v>
          </cell>
          <cell r="AE1438">
            <v>5301</v>
          </cell>
          <cell r="AG1438">
            <v>13545.454545454544</v>
          </cell>
          <cell r="AH1438">
            <v>1354.5454545454559</v>
          </cell>
          <cell r="AI1438">
            <v>14900</v>
          </cell>
          <cell r="AK1438">
            <v>8726.363636363636</v>
          </cell>
        </row>
        <row r="1439">
          <cell r="H1439">
            <v>91968507090</v>
          </cell>
          <cell r="I1439">
            <v>56728103</v>
          </cell>
          <cell r="J1439" t="str">
            <v/>
          </cell>
          <cell r="K1439" t="str">
            <v>-</v>
          </cell>
          <cell r="L1439">
            <v>18900</v>
          </cell>
          <cell r="M1439">
            <v>18900</v>
          </cell>
          <cell r="N1439">
            <v>23600</v>
          </cell>
          <cell r="O1439">
            <v>24900</v>
          </cell>
          <cell r="Q1439">
            <v>18900</v>
          </cell>
          <cell r="R1439">
            <v>91968507090</v>
          </cell>
          <cell r="S1439" t="str">
            <v>윤혜주BM</v>
          </cell>
          <cell r="V1439">
            <v>18900</v>
          </cell>
          <cell r="W1439" t="str">
            <v>https://smartstore.naver.com/sskoreatrade/products/11494939823</v>
          </cell>
          <cell r="X1439" t="str">
            <v>MBTI 보조배터리</v>
          </cell>
          <cell r="Y1439" t="str">
            <v>뉴클 MBTI슬림파워 보조배터리 ISFJ</v>
          </cell>
          <cell r="AB1439" t="str">
            <v>coupang.com/vp/products/8607544788?itemId=24962804502&amp;vendorItemId=91968507090</v>
          </cell>
          <cell r="AC1439">
            <v>4819.090909090909</v>
          </cell>
          <cell r="AD1439">
            <v>481.90909090909093</v>
          </cell>
          <cell r="AE1439">
            <v>5301</v>
          </cell>
          <cell r="AG1439">
            <v>13545.454545454544</v>
          </cell>
          <cell r="AH1439">
            <v>1354.5454545454559</v>
          </cell>
          <cell r="AI1439">
            <v>14900</v>
          </cell>
          <cell r="AK1439">
            <v>8726.363636363636</v>
          </cell>
        </row>
        <row r="1440">
          <cell r="H1440">
            <v>91968507089</v>
          </cell>
          <cell r="I1440">
            <v>56728102</v>
          </cell>
          <cell r="J1440" t="str">
            <v/>
          </cell>
          <cell r="K1440" t="str">
            <v>-</v>
          </cell>
          <cell r="L1440">
            <v>18900</v>
          </cell>
          <cell r="M1440">
            <v>18900</v>
          </cell>
          <cell r="N1440">
            <v>17800</v>
          </cell>
          <cell r="O1440">
            <v>24900</v>
          </cell>
          <cell r="Q1440">
            <v>18900</v>
          </cell>
          <cell r="R1440">
            <v>91968507089</v>
          </cell>
          <cell r="S1440" t="str">
            <v>윤혜주BM</v>
          </cell>
          <cell r="V1440">
            <v>18900</v>
          </cell>
          <cell r="W1440" t="str">
            <v>https://smartstore.naver.com/sskoreatrade/products/11494939823</v>
          </cell>
          <cell r="X1440" t="str">
            <v>MBTI 보조배터리</v>
          </cell>
          <cell r="Y1440" t="str">
            <v>뉴클 MBTI슬림파워 보조배터리 ISFP</v>
          </cell>
          <cell r="AB1440" t="str">
            <v>coupang.com/vp/products/8607544789?itemId=24962804503&amp;vendorItemId=91968507089</v>
          </cell>
          <cell r="AC1440">
            <v>4819.090909090909</v>
          </cell>
          <cell r="AD1440">
            <v>481.90909090909093</v>
          </cell>
          <cell r="AE1440">
            <v>5301</v>
          </cell>
          <cell r="AG1440">
            <v>13545.454545454544</v>
          </cell>
          <cell r="AH1440">
            <v>1354.5454545454559</v>
          </cell>
          <cell r="AI1440">
            <v>14900</v>
          </cell>
          <cell r="AK1440">
            <v>8726.363636363636</v>
          </cell>
        </row>
        <row r="1441">
          <cell r="H1441">
            <v>91968507077</v>
          </cell>
          <cell r="I1441">
            <v>56728101</v>
          </cell>
          <cell r="J1441" t="str">
            <v/>
          </cell>
          <cell r="K1441" t="str">
            <v>-</v>
          </cell>
          <cell r="L1441">
            <v>18900</v>
          </cell>
          <cell r="M1441">
            <v>18900</v>
          </cell>
          <cell r="N1441">
            <v>17800</v>
          </cell>
          <cell r="O1441">
            <v>24900</v>
          </cell>
          <cell r="Q1441">
            <v>18900</v>
          </cell>
          <cell r="R1441">
            <v>91968507077</v>
          </cell>
          <cell r="S1441" t="str">
            <v>윤혜주BM</v>
          </cell>
          <cell r="V1441">
            <v>18900</v>
          </cell>
          <cell r="W1441" t="str">
            <v>https://smartstore.naver.com/sskoreatrade/products/11494939823</v>
          </cell>
          <cell r="X1441" t="str">
            <v>MBTI 보조배터리</v>
          </cell>
          <cell r="Y1441" t="str">
            <v>뉴클 MBTI슬림파워 보조배터리 ISTJ</v>
          </cell>
          <cell r="AB1441" t="str">
            <v>coupang.com/vp/products/8607676029?itemId=24963319396&amp;vendorItemId=91968507077</v>
          </cell>
          <cell r="AC1441">
            <v>4819.090909090909</v>
          </cell>
          <cell r="AD1441">
            <v>481.90909090909093</v>
          </cell>
          <cell r="AE1441">
            <v>5301</v>
          </cell>
          <cell r="AG1441">
            <v>13545.454545454544</v>
          </cell>
          <cell r="AH1441">
            <v>1354.5454545454559</v>
          </cell>
          <cell r="AI1441">
            <v>14900</v>
          </cell>
          <cell r="AK1441">
            <v>8726.363636363636</v>
          </cell>
        </row>
        <row r="1442">
          <cell r="H1442">
            <v>91968507081</v>
          </cell>
          <cell r="I1442">
            <v>56728100</v>
          </cell>
          <cell r="J1442" t="str">
            <v/>
          </cell>
          <cell r="K1442" t="str">
            <v>-</v>
          </cell>
          <cell r="L1442">
            <v>18900</v>
          </cell>
          <cell r="M1442">
            <v>18900</v>
          </cell>
          <cell r="N1442">
            <v>23600</v>
          </cell>
          <cell r="O1442">
            <v>24900</v>
          </cell>
          <cell r="Q1442">
            <v>18900</v>
          </cell>
          <cell r="R1442">
            <v>91968507081</v>
          </cell>
          <cell r="S1442" t="str">
            <v>윤혜주BM</v>
          </cell>
          <cell r="V1442">
            <v>18900</v>
          </cell>
          <cell r="W1442" t="str">
            <v>https://smartstore.naver.com/sskoreatrade/products/11494939823</v>
          </cell>
          <cell r="X1442" t="str">
            <v>MBTI 보조배터리</v>
          </cell>
          <cell r="Y1442" t="str">
            <v>뉴클 MBTI슬림파워 보조배터리 ISTP</v>
          </cell>
          <cell r="AB1442" t="str">
            <v>coupang.com/vp/products/8607544785?itemId=24962804499&amp;vendorItemId=91968507081</v>
          </cell>
          <cell r="AC1442">
            <v>4819.090909090909</v>
          </cell>
          <cell r="AD1442">
            <v>481.90909090909093</v>
          </cell>
          <cell r="AE1442">
            <v>5301</v>
          </cell>
          <cell r="AG1442">
            <v>13545.454545454544</v>
          </cell>
          <cell r="AH1442">
            <v>1354.5454545454559</v>
          </cell>
          <cell r="AI1442">
            <v>14900</v>
          </cell>
          <cell r="AK1442">
            <v>8726.363636363636</v>
          </cell>
        </row>
        <row r="1443">
          <cell r="H1443">
            <v>85924955483</v>
          </cell>
          <cell r="I1443">
            <v>23614669</v>
          </cell>
          <cell r="J1443">
            <v>2</v>
          </cell>
          <cell r="K1443">
            <v>362</v>
          </cell>
          <cell r="L1443">
            <v>28000</v>
          </cell>
          <cell r="M1443">
            <v>28000</v>
          </cell>
          <cell r="O1443">
            <v>33900</v>
          </cell>
          <cell r="Q1443">
            <v>27760</v>
          </cell>
          <cell r="R1443">
            <v>85924955483</v>
          </cell>
          <cell r="V1443">
            <v>25900</v>
          </cell>
          <cell r="W1443" t="str">
            <v>https://smartstore.naver.com/sskoreatrade/products/10367105600</v>
          </cell>
          <cell r="X1443" t="str">
            <v>맥로이드_충전기</v>
          </cell>
          <cell r="Y1443" t="str">
            <v>맥로이드 무선 충전기 V-200 화이트</v>
          </cell>
          <cell r="AB1443" t="str">
            <v>coupang.com/vp/products/8518643914?itemId=24663117060&amp;vendorItemId=91673511895</v>
          </cell>
          <cell r="AC1443">
            <v>10000</v>
          </cell>
          <cell r="AD1443">
            <v>1000</v>
          </cell>
          <cell r="AE1443">
            <v>11000</v>
          </cell>
          <cell r="AG1443">
            <v>18181.81818181818</v>
          </cell>
          <cell r="AH1443">
            <v>1818.1818181818198</v>
          </cell>
          <cell r="AI1443">
            <v>20000</v>
          </cell>
          <cell r="AK1443">
            <v>8181.8181818181802</v>
          </cell>
        </row>
        <row r="1444">
          <cell r="H1444">
            <v>91673511887</v>
          </cell>
          <cell r="I1444">
            <v>23614670</v>
          </cell>
          <cell r="J1444">
            <v>2</v>
          </cell>
          <cell r="K1444">
            <v>365</v>
          </cell>
          <cell r="L1444">
            <v>28000</v>
          </cell>
          <cell r="M1444">
            <v>28000</v>
          </cell>
          <cell r="O1444">
            <v>33900</v>
          </cell>
          <cell r="Q1444">
            <v>26060</v>
          </cell>
          <cell r="R1444">
            <v>91673511887</v>
          </cell>
          <cell r="V1444">
            <v>25900</v>
          </cell>
          <cell r="W1444" t="str">
            <v>https://smartstore.naver.com/sskoreatrade/products/10367105600</v>
          </cell>
          <cell r="X1444" t="str">
            <v>맥로이드_충전기</v>
          </cell>
          <cell r="Y1444" t="str">
            <v>맥로이드 무선 충전기 V-200 그레이</v>
          </cell>
          <cell r="AB1444" t="str">
            <v>coupang.com/vp/products/8518643914?itemId=24663117056&amp;vendorItemId=91673511887</v>
          </cell>
          <cell r="AC1444">
            <v>10000</v>
          </cell>
          <cell r="AD1444">
            <v>1000</v>
          </cell>
          <cell r="AE1444">
            <v>11000</v>
          </cell>
          <cell r="AG1444">
            <v>18181.81818181818</v>
          </cell>
          <cell r="AH1444">
            <v>1818.1818181818198</v>
          </cell>
          <cell r="AI1444">
            <v>20000</v>
          </cell>
          <cell r="AK1444">
            <v>8181.8181818181802</v>
          </cell>
        </row>
        <row r="1445">
          <cell r="H1445">
            <v>91684900921</v>
          </cell>
          <cell r="I1445">
            <v>55004785</v>
          </cell>
          <cell r="J1445" t="str">
            <v/>
          </cell>
          <cell r="K1445">
            <v>365</v>
          </cell>
          <cell r="L1445">
            <v>29900</v>
          </cell>
          <cell r="M1445">
            <v>29900</v>
          </cell>
          <cell r="O1445">
            <v>40500</v>
          </cell>
          <cell r="Q1445">
            <v>29900</v>
          </cell>
          <cell r="R1445">
            <v>91684900921</v>
          </cell>
          <cell r="V1445">
            <v>29900</v>
          </cell>
          <cell r="W1445" t="str">
            <v>https://smartstore.naver.com/sskoreatrade/products/10367105598</v>
          </cell>
          <cell r="X1445" t="str">
            <v>맥로이드_충전기</v>
          </cell>
          <cell r="Y1445" t="str">
            <v>맥로이드 무선 충전기 V-300 화이트</v>
          </cell>
          <cell r="AB1445" t="str">
            <v>coupang.com/vp/products/8522773998?itemId=24674730349&amp;vendorItemId=91684900921</v>
          </cell>
          <cell r="AC1445">
            <v>11999.999999999998</v>
          </cell>
          <cell r="AD1445">
            <v>1199.9999999999998</v>
          </cell>
          <cell r="AE1445">
            <v>13200</v>
          </cell>
          <cell r="AG1445">
            <v>21818.181818181816</v>
          </cell>
          <cell r="AH1445">
            <v>2181.8181818181838</v>
          </cell>
          <cell r="AI1445">
            <v>24000</v>
          </cell>
          <cell r="AK1445">
            <v>9818.181818181818</v>
          </cell>
        </row>
        <row r="1446">
          <cell r="H1446">
            <v>91684900913</v>
          </cell>
          <cell r="I1446">
            <v>55004784</v>
          </cell>
          <cell r="J1446">
            <v>1</v>
          </cell>
          <cell r="K1446">
            <v>365</v>
          </cell>
          <cell r="L1446">
            <v>29900</v>
          </cell>
          <cell r="M1446">
            <v>29900</v>
          </cell>
          <cell r="O1446">
            <v>40500</v>
          </cell>
          <cell r="Q1446">
            <v>29900</v>
          </cell>
          <cell r="R1446">
            <v>91684900913</v>
          </cell>
          <cell r="V1446">
            <v>29900</v>
          </cell>
          <cell r="W1446" t="str">
            <v>https://smartstore.naver.com/sskoreatrade/products/10367105598</v>
          </cell>
          <cell r="X1446" t="str">
            <v>맥로이드_충전기</v>
          </cell>
          <cell r="Y1446" t="str">
            <v>맥로이드 무선 충전기 V-300 그레이</v>
          </cell>
          <cell r="AB1446" t="str">
            <v>coupang.com/vp/products/8522773998?itemId=24674730348&amp;vendorItemId=91684900913</v>
          </cell>
          <cell r="AC1446">
            <v>11999.999999999998</v>
          </cell>
          <cell r="AD1446">
            <v>1199.9999999999998</v>
          </cell>
          <cell r="AE1446">
            <v>13200</v>
          </cell>
          <cell r="AG1446">
            <v>21818.181818181816</v>
          </cell>
          <cell r="AH1446">
            <v>2181.8181818181838</v>
          </cell>
          <cell r="AI1446">
            <v>24000</v>
          </cell>
          <cell r="AK1446">
            <v>9818.181818181818</v>
          </cell>
        </row>
        <row r="1447">
          <cell r="H1447">
            <v>91885510701</v>
          </cell>
          <cell r="I1447">
            <v>52702944</v>
          </cell>
          <cell r="J1447">
            <v>3</v>
          </cell>
          <cell r="K1447">
            <v>362</v>
          </cell>
          <cell r="L1447">
            <v>36410</v>
          </cell>
          <cell r="M1447">
            <v>36410</v>
          </cell>
          <cell r="O1447">
            <v>43900</v>
          </cell>
          <cell r="Q1447">
            <v>36090</v>
          </cell>
          <cell r="R1447">
            <v>91885510701</v>
          </cell>
          <cell r="V1447">
            <v>32900</v>
          </cell>
          <cell r="W1447" t="str">
            <v>https://smartstore.naver.com/sskoreatrade/products/10367105597</v>
          </cell>
          <cell r="X1447" t="str">
            <v>맥로이드_충전기</v>
          </cell>
          <cell r="Y1447" t="str">
            <v>맥로이드 무선 충전기 V-500 화이트</v>
          </cell>
          <cell r="AB1447" t="str">
            <v>coupang.com/vp/products/8582680531?itemId=24878693720&amp;vendorItemId=91885510701</v>
          </cell>
          <cell r="AC1447">
            <v>11999.999999999998</v>
          </cell>
          <cell r="AD1447">
            <v>1199.9999999999998</v>
          </cell>
          <cell r="AE1447">
            <v>13200</v>
          </cell>
          <cell r="AG1447">
            <v>23636.363636363636</v>
          </cell>
          <cell r="AH1447">
            <v>2363.636363636364</v>
          </cell>
          <cell r="AI1447">
            <v>26000</v>
          </cell>
          <cell r="AK1447">
            <v>11636.363636363638</v>
          </cell>
        </row>
        <row r="1448">
          <cell r="H1448">
            <v>91885510689</v>
          </cell>
          <cell r="I1448">
            <v>52703041</v>
          </cell>
          <cell r="J1448">
            <v>1</v>
          </cell>
          <cell r="K1448">
            <v>362</v>
          </cell>
          <cell r="L1448">
            <v>36410</v>
          </cell>
          <cell r="M1448">
            <v>36410</v>
          </cell>
          <cell r="O1448">
            <v>43900</v>
          </cell>
          <cell r="Q1448">
            <v>36090</v>
          </cell>
          <cell r="R1448">
            <v>91885510689</v>
          </cell>
          <cell r="V1448">
            <v>32900</v>
          </cell>
          <cell r="W1448" t="str">
            <v>https://smartstore.naver.com/sskoreatrade/products/10367105597</v>
          </cell>
          <cell r="X1448" t="str">
            <v>맥로이드_충전기</v>
          </cell>
          <cell r="Y1448" t="str">
            <v>맥로이드 무선 충전기 V-500 그레이</v>
          </cell>
          <cell r="AB1448" t="str">
            <v>coupang.com/vp/products/8582680531?itemId=24878693719&amp;vendorItemId=91885510689</v>
          </cell>
          <cell r="AC1448">
            <v>11999.999999999998</v>
          </cell>
          <cell r="AD1448">
            <v>1199.9999999999998</v>
          </cell>
          <cell r="AE1448">
            <v>13200</v>
          </cell>
          <cell r="AG1448">
            <v>23636.363636363636</v>
          </cell>
          <cell r="AH1448">
            <v>2363.636363636364</v>
          </cell>
          <cell r="AI1448">
            <v>26000</v>
          </cell>
          <cell r="AK1448">
            <v>11636.363636363638</v>
          </cell>
        </row>
        <row r="1449">
          <cell r="H1449">
            <v>91873891609</v>
          </cell>
          <cell r="I1449">
            <v>56171126</v>
          </cell>
          <cell r="J1449" t="str">
            <v/>
          </cell>
          <cell r="K1449">
            <v>87</v>
          </cell>
          <cell r="L1449">
            <v>9900</v>
          </cell>
          <cell r="M1449">
            <v>9900</v>
          </cell>
          <cell r="O1449">
            <v>19500</v>
          </cell>
          <cell r="Q1449">
            <v>9900</v>
          </cell>
          <cell r="R1449">
            <v>91873891609</v>
          </cell>
          <cell r="V1449">
            <v>14500</v>
          </cell>
          <cell r="W1449" t="str">
            <v>https://smartstore.naver.com/sskoreatrade/products/11383681932</v>
          </cell>
          <cell r="X1449" t="str">
            <v>맥로이드_텀블러_기본</v>
          </cell>
          <cell r="Y1449" t="str">
            <v>맥로이드 304 스테인레스 텀블러 STEEL 실버</v>
          </cell>
          <cell r="AB1449" t="str">
            <v>coupang.com/vp/products/8579687115?itemId=24866920612&amp;vendorItemId=91873891609</v>
          </cell>
          <cell r="AC1449">
            <v>3599.9999999999995</v>
          </cell>
          <cell r="AD1449">
            <v>360</v>
          </cell>
          <cell r="AE1449">
            <v>3960</v>
          </cell>
          <cell r="AG1449">
            <v>5372.7272727272721</v>
          </cell>
          <cell r="AH1449">
            <v>537.27272727272793</v>
          </cell>
          <cell r="AI1449">
            <v>5910</v>
          </cell>
          <cell r="AK1449">
            <v>1772.7272727272725</v>
          </cell>
        </row>
        <row r="1450">
          <cell r="H1450">
            <v>91917740817</v>
          </cell>
          <cell r="I1450">
            <v>56403985</v>
          </cell>
          <cell r="J1450">
            <v>1</v>
          </cell>
          <cell r="K1450">
            <v>105</v>
          </cell>
          <cell r="L1450">
            <v>10930</v>
          </cell>
          <cell r="M1450">
            <v>10930</v>
          </cell>
          <cell r="O1450">
            <v>18900</v>
          </cell>
          <cell r="Q1450">
            <v>11150</v>
          </cell>
          <cell r="R1450">
            <v>91917740817</v>
          </cell>
          <cell r="V1450">
            <v>13900</v>
          </cell>
          <cell r="W1450" t="str">
            <v>https://smartstore.naver.com/sskoreatrade/products/11458594859</v>
          </cell>
          <cell r="X1450" t="str">
            <v>맥로이드_충전기</v>
          </cell>
          <cell r="Y1450" t="str">
            <v>맥로이드 25W 충전기 Cto8 V-2500 블랙</v>
          </cell>
          <cell r="AB1450" t="str">
            <v>coupang.com/vp/products/8591652334?itemId=24911324010&amp;vendorItemId=91917740817</v>
          </cell>
          <cell r="AC1450">
            <v>4650</v>
          </cell>
          <cell r="AD1450">
            <v>465</v>
          </cell>
          <cell r="AE1450">
            <v>5115</v>
          </cell>
          <cell r="AG1450">
            <v>10000</v>
          </cell>
          <cell r="AH1450">
            <v>1000</v>
          </cell>
          <cell r="AI1450">
            <v>11000</v>
          </cell>
          <cell r="AK1450">
            <v>5350</v>
          </cell>
        </row>
        <row r="1451">
          <cell r="H1451">
            <v>91917740806</v>
          </cell>
          <cell r="I1451">
            <v>56403986</v>
          </cell>
          <cell r="J1451" t="str">
            <v/>
          </cell>
          <cell r="K1451">
            <v>105</v>
          </cell>
          <cell r="L1451">
            <v>15400</v>
          </cell>
          <cell r="M1451">
            <v>15400</v>
          </cell>
          <cell r="O1451">
            <v>18900</v>
          </cell>
          <cell r="Q1451">
            <v>15270</v>
          </cell>
          <cell r="R1451">
            <v>91917740806</v>
          </cell>
          <cell r="V1451">
            <v>13900</v>
          </cell>
          <cell r="W1451" t="str">
            <v>https://smartstore.naver.com/sskoreatrade/products/11458594859</v>
          </cell>
          <cell r="X1451" t="str">
            <v>맥로이드_충전기</v>
          </cell>
          <cell r="Y1451" t="str">
            <v>맥로이드 25W 충전기 CtoC V-2500 블랙</v>
          </cell>
          <cell r="AB1451" t="str">
            <v>coupang.com/vp/products/8591652329?itemId=24911323990&amp;vendorItemId=91917740806</v>
          </cell>
          <cell r="AC1451">
            <v>4500</v>
          </cell>
          <cell r="AD1451">
            <v>450</v>
          </cell>
          <cell r="AE1451">
            <v>4950</v>
          </cell>
          <cell r="AG1451">
            <v>10000</v>
          </cell>
          <cell r="AH1451">
            <v>1000</v>
          </cell>
          <cell r="AI1451">
            <v>11000</v>
          </cell>
          <cell r="AK1451">
            <v>5500</v>
          </cell>
        </row>
        <row r="1452">
          <cell r="H1452">
            <v>91996870072</v>
          </cell>
          <cell r="I1452">
            <v>56893925</v>
          </cell>
          <cell r="J1452" t="str">
            <v/>
          </cell>
          <cell r="K1452" t="str">
            <v>-</v>
          </cell>
          <cell r="L1452">
            <v>29900</v>
          </cell>
          <cell r="M1452">
            <v>29900</v>
          </cell>
          <cell r="O1452">
            <v>42300</v>
          </cell>
          <cell r="Q1452">
            <v>29900</v>
          </cell>
          <cell r="R1452">
            <v>91996870072</v>
          </cell>
          <cell r="V1452">
            <v>29900</v>
          </cell>
          <cell r="W1452" t="str">
            <v>https://smartstore.naver.com/sskoreatrade/products/11428933352</v>
          </cell>
          <cell r="X1452" t="str">
            <v>맥로이드_충전기</v>
          </cell>
          <cell r="Y1452" t="str">
            <v>맥로이드 65W 충전기 V-6500 Cto8 블랙</v>
          </cell>
          <cell r="AB1452" t="str">
            <v>coupang.com/vp/products/8581589240?itemId=24874187591&amp;vendorItemId=91996870072</v>
          </cell>
          <cell r="AC1452">
            <v>12999.999999999998</v>
          </cell>
          <cell r="AD1452">
            <v>1300</v>
          </cell>
          <cell r="AE1452">
            <v>14300</v>
          </cell>
          <cell r="AG1452">
            <v>21363.63636363636</v>
          </cell>
          <cell r="AH1452">
            <v>2136.3636363636397</v>
          </cell>
          <cell r="AI1452">
            <v>23500</v>
          </cell>
          <cell r="AK1452">
            <v>8363.6363636363621</v>
          </cell>
        </row>
        <row r="1453">
          <cell r="H1453">
            <v>91996870064</v>
          </cell>
          <cell r="I1453">
            <v>56893923</v>
          </cell>
          <cell r="J1453">
            <v>10</v>
          </cell>
          <cell r="K1453" t="str">
            <v>-</v>
          </cell>
          <cell r="L1453">
            <v>29900</v>
          </cell>
          <cell r="M1453">
            <v>29900</v>
          </cell>
          <cell r="O1453">
            <v>42300</v>
          </cell>
          <cell r="Q1453">
            <v>29900</v>
          </cell>
          <cell r="R1453">
            <v>91996870064</v>
          </cell>
          <cell r="V1453">
            <v>29900</v>
          </cell>
          <cell r="W1453" t="str">
            <v>https://smartstore.naver.com/sskoreatrade/products/11428933352</v>
          </cell>
          <cell r="X1453" t="str">
            <v>맥로이드_충전기</v>
          </cell>
          <cell r="Y1453" t="str">
            <v>맥로이드 65W 충전기 V-6500 Cto8 화이트</v>
          </cell>
          <cell r="AB1453" t="str">
            <v>coupang.com/vp/products/8581589240?itemId=24874187589&amp;vendorItemId=91996870064</v>
          </cell>
          <cell r="AC1453">
            <v>12999.999999999998</v>
          </cell>
          <cell r="AD1453">
            <v>1300</v>
          </cell>
          <cell r="AE1453">
            <v>14300</v>
          </cell>
          <cell r="AG1453">
            <v>21363.63636363636</v>
          </cell>
          <cell r="AH1453">
            <v>2136.3636363636397</v>
          </cell>
          <cell r="AI1453">
            <v>23500</v>
          </cell>
          <cell r="AK1453">
            <v>8363.6363636363621</v>
          </cell>
        </row>
        <row r="1454">
          <cell r="H1454">
            <v>91996870075</v>
          </cell>
          <cell r="I1454">
            <v>56893926</v>
          </cell>
          <cell r="J1454" t="str">
            <v/>
          </cell>
          <cell r="K1454" t="str">
            <v>-</v>
          </cell>
          <cell r="L1454">
            <v>29900</v>
          </cell>
          <cell r="M1454">
            <v>29900</v>
          </cell>
          <cell r="O1454">
            <v>42300</v>
          </cell>
          <cell r="Q1454">
            <v>27930</v>
          </cell>
          <cell r="R1454">
            <v>91996870075</v>
          </cell>
          <cell r="V1454">
            <v>29900</v>
          </cell>
          <cell r="W1454" t="str">
            <v>https://smartstore.naver.com/sskoreatrade/products/11428935067</v>
          </cell>
          <cell r="X1454" t="str">
            <v>맥로이드_충전기</v>
          </cell>
          <cell r="Y1454" t="str">
            <v>맥로이드 65W 충전기 V-6500 CtoC 블랙</v>
          </cell>
          <cell r="AB1454" t="str">
            <v>coupang.com/vp/products/8615407811?itemId=24991531848&amp;vendorItemId=91996870075</v>
          </cell>
          <cell r="AC1454">
            <v>12999.999999999998</v>
          </cell>
          <cell r="AD1454">
            <v>1300</v>
          </cell>
          <cell r="AE1454">
            <v>14300</v>
          </cell>
          <cell r="AG1454">
            <v>21363.63636363636</v>
          </cell>
          <cell r="AH1454">
            <v>2136.3636363636397</v>
          </cell>
          <cell r="AI1454">
            <v>23500</v>
          </cell>
          <cell r="AK1454">
            <v>8363.6363636363621</v>
          </cell>
        </row>
        <row r="1455">
          <cell r="H1455">
            <v>91996870069</v>
          </cell>
          <cell r="I1455">
            <v>56893924</v>
          </cell>
          <cell r="J1455" t="str">
            <v/>
          </cell>
          <cell r="K1455" t="str">
            <v>-</v>
          </cell>
          <cell r="L1455">
            <v>29900</v>
          </cell>
          <cell r="M1455">
            <v>29900</v>
          </cell>
          <cell r="O1455">
            <v>42300</v>
          </cell>
          <cell r="Q1455">
            <v>27930</v>
          </cell>
          <cell r="R1455">
            <v>91996870069</v>
          </cell>
          <cell r="V1455">
            <v>29900</v>
          </cell>
          <cell r="W1455" t="str">
            <v>https://smartstore.naver.com/sskoreatrade/products/11428935067</v>
          </cell>
          <cell r="X1455" t="str">
            <v>맥로이드_충전기</v>
          </cell>
          <cell r="Y1455" t="str">
            <v>맥로이드 65W 충전기 V-6500 CtoC 화이트</v>
          </cell>
          <cell r="AB1455" t="str">
            <v>coupang.com/vp/products/8615407811?itemId=24991531845&amp;vendorItemId=91996870069</v>
          </cell>
          <cell r="AC1455">
            <v>12999.999999999998</v>
          </cell>
          <cell r="AD1455">
            <v>1300</v>
          </cell>
          <cell r="AE1455">
            <v>14300</v>
          </cell>
          <cell r="AG1455">
            <v>21363.63636363636</v>
          </cell>
          <cell r="AH1455">
            <v>2136.3636363636397</v>
          </cell>
          <cell r="AI1455">
            <v>23500</v>
          </cell>
          <cell r="AK1455">
            <v>8363.6363636363621</v>
          </cell>
        </row>
        <row r="1456">
          <cell r="H1456">
            <v>91996870039</v>
          </cell>
          <cell r="I1456">
            <v>53143775</v>
          </cell>
          <cell r="J1456" t="str">
            <v/>
          </cell>
          <cell r="K1456" t="str">
            <v>-</v>
          </cell>
          <cell r="L1456">
            <v>27900</v>
          </cell>
          <cell r="M1456">
            <v>27900</v>
          </cell>
          <cell r="O1456">
            <v>39900</v>
          </cell>
          <cell r="Q1456">
            <v>27900</v>
          </cell>
          <cell r="R1456">
            <v>91996870039</v>
          </cell>
          <cell r="V1456">
            <v>27900</v>
          </cell>
          <cell r="W1456" t="str">
            <v>https://smartstore.naver.com/sskoreatrade/products/11425182829</v>
          </cell>
          <cell r="X1456" t="str">
            <v>맥로이드_충전기</v>
          </cell>
          <cell r="Y1456" t="str">
            <v>맥로이드 65W 충전기 V-6500 블랙</v>
          </cell>
          <cell r="AB1456" t="str">
            <v>coupang.com/vp/products/8615407795?itemId=24991531817&amp;vendorItemId=91996870039</v>
          </cell>
          <cell r="AC1456">
            <v>11999.999999999998</v>
          </cell>
          <cell r="AD1456">
            <v>1199.9999999999998</v>
          </cell>
          <cell r="AE1456">
            <v>13200</v>
          </cell>
          <cell r="AG1456">
            <v>20000</v>
          </cell>
          <cell r="AH1456">
            <v>2000</v>
          </cell>
          <cell r="AI1456">
            <v>22000</v>
          </cell>
          <cell r="AK1456">
            <v>8000.0000000000018</v>
          </cell>
        </row>
        <row r="1457">
          <cell r="H1457">
            <v>91996870043</v>
          </cell>
          <cell r="I1457">
            <v>47645614</v>
          </cell>
          <cell r="J1457">
            <v>0</v>
          </cell>
          <cell r="K1457" t="str">
            <v>-</v>
          </cell>
          <cell r="L1457">
            <v>27900</v>
          </cell>
          <cell r="M1457">
            <v>27900</v>
          </cell>
          <cell r="O1457">
            <v>39900</v>
          </cell>
          <cell r="Q1457">
            <v>27900</v>
          </cell>
          <cell r="R1457">
            <v>91996870043</v>
          </cell>
          <cell r="V1457">
            <v>27900</v>
          </cell>
          <cell r="W1457" t="str">
            <v>https://smartstore.naver.com/sskoreatrade/products/11425182829</v>
          </cell>
          <cell r="X1457" t="str">
            <v>맥로이드_충전기</v>
          </cell>
          <cell r="Y1457" t="str">
            <v>맥로이드 65W 충전기 V-6500 화이트</v>
          </cell>
          <cell r="AB1457" t="str">
            <v>coupang.com/vp/products/8579776148?itemId=24867243615&amp;vendorItemId=91996870043</v>
          </cell>
          <cell r="AC1457">
            <v>11999.999999999998</v>
          </cell>
          <cell r="AD1457">
            <v>1199.9999999999998</v>
          </cell>
          <cell r="AE1457">
            <v>13200</v>
          </cell>
          <cell r="AG1457">
            <v>20000</v>
          </cell>
          <cell r="AH1457">
            <v>2000</v>
          </cell>
          <cell r="AI1457">
            <v>22000</v>
          </cell>
          <cell r="AK1457">
            <v>8000.0000000000018</v>
          </cell>
        </row>
        <row r="1458">
          <cell r="H1458">
            <v>91923362880</v>
          </cell>
          <cell r="I1458">
            <v>56434654</v>
          </cell>
          <cell r="J1458" t="str">
            <v/>
          </cell>
          <cell r="K1458">
            <v>42</v>
          </cell>
          <cell r="L1458">
            <v>36500</v>
          </cell>
          <cell r="M1458">
            <v>36500</v>
          </cell>
          <cell r="O1458">
            <v>36900</v>
          </cell>
          <cell r="Q1458">
            <v>29000</v>
          </cell>
          <cell r="R1458">
            <v>91923362880</v>
          </cell>
          <cell r="V1458">
            <v>26500</v>
          </cell>
          <cell r="W1458" t="str">
            <v>https://smartstore.naver.com/sskoreatrade/products/11428925228</v>
          </cell>
          <cell r="X1458" t="str">
            <v>맥로이드_충전기</v>
          </cell>
          <cell r="Y1458" t="str">
            <v>맥로이드 45W 충전기 V-4500 Cto8 블랙</v>
          </cell>
          <cell r="AB1458" t="str">
            <v>coupang.com/vp/products/8581589322?itemId=24874187840&amp;vendorItemId=91923362880</v>
          </cell>
          <cell r="AC1458">
            <v>11000</v>
          </cell>
          <cell r="AD1458">
            <v>1100</v>
          </cell>
          <cell r="AE1458">
            <v>12100</v>
          </cell>
          <cell r="AG1458">
            <v>19090.909090909088</v>
          </cell>
          <cell r="AH1458">
            <v>1909.0909090909117</v>
          </cell>
          <cell r="AI1458">
            <v>21000</v>
          </cell>
          <cell r="AK1458">
            <v>8090.9090909090883</v>
          </cell>
        </row>
        <row r="1459">
          <cell r="H1459">
            <v>91923362877</v>
          </cell>
          <cell r="I1459">
            <v>56434652</v>
          </cell>
          <cell r="J1459" t="str">
            <v/>
          </cell>
          <cell r="K1459">
            <v>42</v>
          </cell>
          <cell r="L1459">
            <v>36500</v>
          </cell>
          <cell r="M1459">
            <v>36500</v>
          </cell>
          <cell r="O1459">
            <v>36900</v>
          </cell>
          <cell r="Q1459">
            <v>29000</v>
          </cell>
          <cell r="R1459">
            <v>91923362877</v>
          </cell>
          <cell r="V1459">
            <v>26500</v>
          </cell>
          <cell r="W1459" t="str">
            <v>https://smartstore.naver.com/sskoreatrade/products/11428925228</v>
          </cell>
          <cell r="X1459" t="str">
            <v>맥로이드_충전기</v>
          </cell>
          <cell r="Y1459" t="str">
            <v>맥로이드 45W 충전기 V-4500 Cto8 화이트</v>
          </cell>
          <cell r="AB1459" t="str">
            <v>coupang.com/vp/products/8581589322?itemId=24874187842&amp;vendorItemId=91923362877</v>
          </cell>
          <cell r="AC1459">
            <v>11000</v>
          </cell>
          <cell r="AD1459">
            <v>1100</v>
          </cell>
          <cell r="AE1459">
            <v>12100</v>
          </cell>
          <cell r="AG1459">
            <v>19090.909090909088</v>
          </cell>
          <cell r="AH1459">
            <v>1909.0909090909117</v>
          </cell>
          <cell r="AI1459">
            <v>21000</v>
          </cell>
          <cell r="AK1459">
            <v>8090.9090909090883</v>
          </cell>
        </row>
        <row r="1460">
          <cell r="H1460">
            <v>91923362893</v>
          </cell>
          <cell r="I1460">
            <v>56434655</v>
          </cell>
          <cell r="J1460" t="str">
            <v/>
          </cell>
          <cell r="K1460">
            <v>65</v>
          </cell>
          <cell r="L1460">
            <v>36500</v>
          </cell>
          <cell r="M1460">
            <v>36500</v>
          </cell>
          <cell r="O1460">
            <v>36900</v>
          </cell>
          <cell r="Q1460">
            <v>29000</v>
          </cell>
          <cell r="R1460">
            <v>91923362893</v>
          </cell>
          <cell r="V1460">
            <v>26500</v>
          </cell>
          <cell r="W1460" t="str">
            <v>https://smartstore.naver.com/sskoreatrade/products/11428927097</v>
          </cell>
          <cell r="X1460" t="str">
            <v>맥로이드_충전기</v>
          </cell>
          <cell r="Y1460" t="str">
            <v>맥로이드 45W 충전기 V-4500 CtoC 블랙</v>
          </cell>
          <cell r="AB1460" t="str">
            <v>coupang.com/vp/products/8593598575?itemId=24917015793&amp;vendorItemId=91923362893</v>
          </cell>
          <cell r="AC1460">
            <v>11000</v>
          </cell>
          <cell r="AD1460">
            <v>1100</v>
          </cell>
          <cell r="AE1460">
            <v>12100</v>
          </cell>
          <cell r="AG1460">
            <v>19090.909090909088</v>
          </cell>
          <cell r="AH1460">
            <v>1909.0909090909117</v>
          </cell>
          <cell r="AI1460">
            <v>21000</v>
          </cell>
          <cell r="AK1460">
            <v>8090.9090909090883</v>
          </cell>
        </row>
        <row r="1461">
          <cell r="H1461">
            <v>91923362884</v>
          </cell>
          <cell r="I1461">
            <v>56434653</v>
          </cell>
          <cell r="J1461" t="str">
            <v/>
          </cell>
          <cell r="K1461">
            <v>65</v>
          </cell>
          <cell r="L1461">
            <v>36500</v>
          </cell>
          <cell r="M1461">
            <v>36500</v>
          </cell>
          <cell r="O1461">
            <v>36900</v>
          </cell>
          <cell r="Q1461">
            <v>29000</v>
          </cell>
          <cell r="R1461">
            <v>91923362884</v>
          </cell>
          <cell r="V1461">
            <v>26500</v>
          </cell>
          <cell r="W1461" t="str">
            <v>https://smartstore.naver.com/sskoreatrade/products/11428927097</v>
          </cell>
          <cell r="X1461" t="str">
            <v>맥로이드_충전기</v>
          </cell>
          <cell r="Y1461" t="str">
            <v>맥로이드 45W 충전기 V-4500 CtoC 화이트</v>
          </cell>
          <cell r="AB1461" t="str">
            <v>coupang.com/vp/products/8593598575?itemId=24917015792&amp;vendorItemId=91923362884</v>
          </cell>
          <cell r="AC1461">
            <v>11000</v>
          </cell>
          <cell r="AD1461">
            <v>1100</v>
          </cell>
          <cell r="AE1461">
            <v>12100</v>
          </cell>
          <cell r="AG1461">
            <v>19090.909090909088</v>
          </cell>
          <cell r="AH1461">
            <v>1909.0909090909117</v>
          </cell>
          <cell r="AI1461">
            <v>21000</v>
          </cell>
          <cell r="AK1461">
            <v>8090.9090909090883</v>
          </cell>
        </row>
        <row r="1462">
          <cell r="H1462">
            <v>91924066269</v>
          </cell>
          <cell r="I1462">
            <v>47645653</v>
          </cell>
          <cell r="J1462" t="str">
            <v/>
          </cell>
          <cell r="K1462">
            <v>54</v>
          </cell>
          <cell r="L1462">
            <v>39900</v>
          </cell>
          <cell r="M1462">
            <v>39900</v>
          </cell>
          <cell r="O1462">
            <v>34500</v>
          </cell>
          <cell r="Q1462">
            <v>39900</v>
          </cell>
          <cell r="R1462">
            <v>91924066269</v>
          </cell>
          <cell r="V1462">
            <v>23900</v>
          </cell>
          <cell r="W1462" t="str">
            <v>https://smartstore.naver.com/sskoreatrade/products/11425170653</v>
          </cell>
          <cell r="X1462" t="str">
            <v>맥로이드_충전기</v>
          </cell>
          <cell r="Y1462" t="str">
            <v>맥로이드 45W 충전기 V-4500 블랙</v>
          </cell>
          <cell r="AB1462" t="str">
            <v>coupang.com/vp/products/8579776210?itemId=24867243809&amp;vendorItemId=91924066269</v>
          </cell>
          <cell r="AC1462">
            <v>10000</v>
          </cell>
          <cell r="AD1462">
            <v>1000</v>
          </cell>
          <cell r="AE1462">
            <v>11000</v>
          </cell>
          <cell r="AG1462">
            <v>17272.727272727272</v>
          </cell>
          <cell r="AH1462">
            <v>1727.2727272727279</v>
          </cell>
          <cell r="AI1462">
            <v>19000</v>
          </cell>
          <cell r="AK1462">
            <v>7272.7272727272721</v>
          </cell>
        </row>
        <row r="1463">
          <cell r="H1463">
            <v>91923362872</v>
          </cell>
          <cell r="I1463">
            <v>47645731</v>
          </cell>
          <cell r="J1463" t="str">
            <v/>
          </cell>
          <cell r="K1463">
            <v>54</v>
          </cell>
          <cell r="L1463">
            <v>39900</v>
          </cell>
          <cell r="M1463">
            <v>39900</v>
          </cell>
          <cell r="O1463">
            <v>34500</v>
          </cell>
          <cell r="Q1463">
            <v>39900</v>
          </cell>
          <cell r="R1463">
            <v>91923362872</v>
          </cell>
          <cell r="V1463">
            <v>23900</v>
          </cell>
          <cell r="W1463" t="str">
            <v>https://smartstore.naver.com/sskoreatrade/products/11425170653</v>
          </cell>
          <cell r="X1463" t="str">
            <v>맥로이드_충전기</v>
          </cell>
          <cell r="Y1463" t="str">
            <v>맥로이드 45W 충전기 V-4500 화이트</v>
          </cell>
          <cell r="AB1463" t="str">
            <v>coupang.com/vp/products/8579776210?itemId=24867243811&amp;vendorItemId=91923362872</v>
          </cell>
          <cell r="AC1463">
            <v>10000</v>
          </cell>
          <cell r="AD1463">
            <v>1000</v>
          </cell>
          <cell r="AE1463">
            <v>11000</v>
          </cell>
          <cell r="AG1463">
            <v>17272.727272727272</v>
          </cell>
          <cell r="AH1463">
            <v>1727.2727272727279</v>
          </cell>
          <cell r="AI1463">
            <v>19000</v>
          </cell>
          <cell r="AK1463">
            <v>7272.7272727272721</v>
          </cell>
        </row>
        <row r="1464">
          <cell r="H1464">
            <v>91261849674</v>
          </cell>
          <cell r="I1464">
            <v>51608517</v>
          </cell>
          <cell r="J1464" t="str">
            <v/>
          </cell>
          <cell r="K1464">
            <v>6</v>
          </cell>
          <cell r="L1464">
            <v>27010</v>
          </cell>
          <cell r="M1464">
            <v>27010</v>
          </cell>
          <cell r="N1464">
            <v>25900</v>
          </cell>
          <cell r="O1464">
            <v>34000</v>
          </cell>
          <cell r="Q1464">
            <v>27210</v>
          </cell>
          <cell r="R1464">
            <v>91261849674</v>
          </cell>
          <cell r="S1464" t="str">
            <v>백승민BM</v>
          </cell>
          <cell r="V1464">
            <v>34000</v>
          </cell>
          <cell r="W1464" t="str">
            <v>https://smartstore.naver.com/sskoreatrade/products/10929092464</v>
          </cell>
          <cell r="X1464" t="str">
            <v>맥세이프 보배</v>
          </cell>
          <cell r="Y1464" t="str">
            <v>뉴클 5000mAh 맥세이프 다이노 보조배터리 브라키오사우루스</v>
          </cell>
          <cell r="AB1464" t="str">
            <v>coupang.com/vp/products/8367343526?itemId=24176759390&amp;vendorItemId=91261849674</v>
          </cell>
          <cell r="AC1464">
            <v>12299.999999999998</v>
          </cell>
          <cell r="AD1464">
            <v>1230</v>
          </cell>
          <cell r="AE1464">
            <v>13530</v>
          </cell>
          <cell r="AG1464">
            <v>18545.454545454544</v>
          </cell>
          <cell r="AH1464">
            <v>1854.5454545454559</v>
          </cell>
          <cell r="AI1464">
            <v>20400</v>
          </cell>
          <cell r="AK1464">
            <v>6245.454545454546</v>
          </cell>
        </row>
        <row r="1465">
          <cell r="H1465">
            <v>91261913569</v>
          </cell>
          <cell r="I1465">
            <v>51568920</v>
          </cell>
          <cell r="J1465" t="str">
            <v/>
          </cell>
          <cell r="K1465">
            <v>117</v>
          </cell>
          <cell r="L1465">
            <v>27010</v>
          </cell>
          <cell r="M1465">
            <v>27010</v>
          </cell>
          <cell r="N1465">
            <v>25900</v>
          </cell>
          <cell r="O1465">
            <v>34000</v>
          </cell>
          <cell r="Q1465">
            <v>27210</v>
          </cell>
          <cell r="R1465">
            <v>91261913569</v>
          </cell>
          <cell r="S1465" t="str">
            <v>백승민BM</v>
          </cell>
          <cell r="V1465">
            <v>34000</v>
          </cell>
          <cell r="W1465" t="str">
            <v>https://smartstore.naver.com/sskoreatrade/products/10929092464</v>
          </cell>
          <cell r="X1465" t="str">
            <v>맥세이프 보배</v>
          </cell>
          <cell r="Y1465" t="str">
            <v>뉴클 5000mAh 맥세이프 다이노 보조배터리 스테고사우루스</v>
          </cell>
          <cell r="AB1465" t="str">
            <v>coupang.com/vp/products/8388007150?itemId=24244932708&amp;vendorItemId=91261913569</v>
          </cell>
          <cell r="AC1465">
            <v>12299.999999999998</v>
          </cell>
          <cell r="AD1465">
            <v>1230</v>
          </cell>
          <cell r="AE1465">
            <v>13530</v>
          </cell>
          <cell r="AG1465">
            <v>18545.454545454544</v>
          </cell>
          <cell r="AH1465">
            <v>1854.5454545454559</v>
          </cell>
          <cell r="AI1465">
            <v>20400</v>
          </cell>
          <cell r="AK1465">
            <v>6245.454545454546</v>
          </cell>
        </row>
        <row r="1466">
          <cell r="H1466">
            <v>91261913577</v>
          </cell>
          <cell r="I1466">
            <v>51568921</v>
          </cell>
          <cell r="J1466" t="str">
            <v/>
          </cell>
          <cell r="K1466">
            <v>117</v>
          </cell>
          <cell r="L1466">
            <v>27010</v>
          </cell>
          <cell r="M1466">
            <v>27010</v>
          </cell>
          <cell r="N1466">
            <v>25900</v>
          </cell>
          <cell r="O1466">
            <v>34000</v>
          </cell>
          <cell r="Q1466">
            <v>27210</v>
          </cell>
          <cell r="R1466">
            <v>91261913577</v>
          </cell>
          <cell r="S1466" t="str">
            <v>백승민BM</v>
          </cell>
          <cell r="V1466">
            <v>34000</v>
          </cell>
          <cell r="W1466" t="str">
            <v>https://smartstore.naver.com/sskoreatrade/products/10929092464</v>
          </cell>
          <cell r="X1466" t="str">
            <v>맥세이프 보배</v>
          </cell>
          <cell r="Y1466" t="str">
            <v>뉴클 5000mAh 맥세이프 다이노 보조배터리 트리케라톱스</v>
          </cell>
          <cell r="AB1466" t="str">
            <v>coupang.com/vp/products/8388007150?itemId=24244932711&amp;vendorItemId=91261913577</v>
          </cell>
          <cell r="AC1466">
            <v>12299.999999999998</v>
          </cell>
          <cell r="AD1466">
            <v>1230</v>
          </cell>
          <cell r="AE1466">
            <v>13530</v>
          </cell>
          <cell r="AG1466">
            <v>18545.454545454544</v>
          </cell>
          <cell r="AH1466">
            <v>1854.5454545454559</v>
          </cell>
          <cell r="AI1466">
            <v>20400</v>
          </cell>
          <cell r="AK1466">
            <v>6245.454545454546</v>
          </cell>
        </row>
        <row r="1467">
          <cell r="H1467">
            <v>91261913588</v>
          </cell>
          <cell r="I1467">
            <v>51568922</v>
          </cell>
          <cell r="J1467" t="str">
            <v/>
          </cell>
          <cell r="K1467">
            <v>117</v>
          </cell>
          <cell r="L1467">
            <v>27010</v>
          </cell>
          <cell r="M1467">
            <v>27010</v>
          </cell>
          <cell r="N1467">
            <v>25900</v>
          </cell>
          <cell r="O1467">
            <v>34000</v>
          </cell>
          <cell r="Q1467">
            <v>27210</v>
          </cell>
          <cell r="R1467">
            <v>91261913588</v>
          </cell>
          <cell r="S1467" t="str">
            <v>백승민BM</v>
          </cell>
          <cell r="V1467">
            <v>34000</v>
          </cell>
          <cell r="W1467" t="str">
            <v>https://smartstore.naver.com/sskoreatrade/products/10929092464</v>
          </cell>
          <cell r="X1467" t="str">
            <v>맥세이프 보배</v>
          </cell>
          <cell r="Y1467" t="str">
            <v>뉴클 5000mAh 맥세이프 다이노 보조배터리 티라노사우루스</v>
          </cell>
          <cell r="AB1467" t="str">
            <v>coupang.com/vp/products/8388007150?itemId=24244932714&amp;vendorItemId=91261913588</v>
          </cell>
          <cell r="AC1467">
            <v>12299.999999999998</v>
          </cell>
          <cell r="AD1467">
            <v>1230</v>
          </cell>
          <cell r="AE1467">
            <v>13530</v>
          </cell>
          <cell r="AG1467">
            <v>18545.454545454544</v>
          </cell>
          <cell r="AH1467">
            <v>1854.5454545454559</v>
          </cell>
          <cell r="AI1467">
            <v>20400</v>
          </cell>
          <cell r="AK1467">
            <v>6245.454545454546</v>
          </cell>
        </row>
        <row r="1468">
          <cell r="H1468">
            <v>91261849625</v>
          </cell>
          <cell r="I1468">
            <v>51608518</v>
          </cell>
          <cell r="J1468" t="str">
            <v/>
          </cell>
          <cell r="K1468">
            <v>72</v>
          </cell>
          <cell r="L1468">
            <v>27010</v>
          </cell>
          <cell r="M1468">
            <v>27010</v>
          </cell>
          <cell r="N1468">
            <v>25900</v>
          </cell>
          <cell r="O1468">
            <v>34000</v>
          </cell>
          <cell r="Q1468">
            <v>27210</v>
          </cell>
          <cell r="R1468">
            <v>91261849625</v>
          </cell>
          <cell r="S1468" t="str">
            <v>백승민BM</v>
          </cell>
          <cell r="V1468">
            <v>34000</v>
          </cell>
          <cell r="W1468" t="str">
            <v>https://smartstore.naver.com/sskoreatrade/products/10929105056</v>
          </cell>
          <cell r="X1468" t="str">
            <v>맥세이프 보배</v>
          </cell>
          <cell r="Y1468" t="str">
            <v>뉴클 5000mAh 맥세이프 보딩패스 보조배터리 뉴욕</v>
          </cell>
          <cell r="AB1468" t="str">
            <v>coupang.com/vp/products/8367343576?itemId=24244868125&amp;vendorItemId=91261849625</v>
          </cell>
          <cell r="AC1468">
            <v>12299.999999999998</v>
          </cell>
          <cell r="AD1468">
            <v>1230</v>
          </cell>
          <cell r="AE1468">
            <v>13530</v>
          </cell>
          <cell r="AG1468">
            <v>18545.454545454544</v>
          </cell>
          <cell r="AH1468">
            <v>1854.5454545454559</v>
          </cell>
          <cell r="AI1468">
            <v>20400</v>
          </cell>
          <cell r="AK1468">
            <v>6245.454545454546</v>
          </cell>
        </row>
        <row r="1469">
          <cell r="H1469">
            <v>91261913571</v>
          </cell>
          <cell r="I1469">
            <v>51568923</v>
          </cell>
          <cell r="J1469" t="str">
            <v/>
          </cell>
          <cell r="K1469">
            <v>72</v>
          </cell>
          <cell r="L1469">
            <v>27010</v>
          </cell>
          <cell r="M1469">
            <v>27010</v>
          </cell>
          <cell r="N1469">
            <v>25900</v>
          </cell>
          <cell r="O1469">
            <v>34000</v>
          </cell>
          <cell r="Q1469">
            <v>27210</v>
          </cell>
          <cell r="R1469">
            <v>91261913571</v>
          </cell>
          <cell r="S1469" t="str">
            <v>백승민BM</v>
          </cell>
          <cell r="V1469">
            <v>34000</v>
          </cell>
          <cell r="W1469" t="str">
            <v>https://smartstore.naver.com/sskoreatrade/products/10929105056</v>
          </cell>
          <cell r="X1469" t="str">
            <v>맥세이프 보배</v>
          </cell>
          <cell r="Y1469" t="str">
            <v>뉴클 5000mAh 맥세이프 보딩패스 보조배터리 삿포로</v>
          </cell>
          <cell r="AB1469" t="str">
            <v>coupang.com/vp/products/8367343576?itemId=24244932705&amp;vendorItemId=91261913571</v>
          </cell>
          <cell r="AC1469">
            <v>12299.999999999998</v>
          </cell>
          <cell r="AD1469">
            <v>1230</v>
          </cell>
          <cell r="AE1469">
            <v>13530</v>
          </cell>
          <cell r="AG1469">
            <v>18545.454545454544</v>
          </cell>
          <cell r="AH1469">
            <v>1854.5454545454559</v>
          </cell>
          <cell r="AI1469">
            <v>20400</v>
          </cell>
          <cell r="AK1469">
            <v>6245.454545454546</v>
          </cell>
        </row>
        <row r="1470">
          <cell r="H1470">
            <v>91261913578</v>
          </cell>
          <cell r="I1470">
            <v>51568924</v>
          </cell>
          <cell r="J1470" t="str">
            <v/>
          </cell>
          <cell r="K1470">
            <v>72</v>
          </cell>
          <cell r="L1470">
            <v>27010</v>
          </cell>
          <cell r="M1470">
            <v>27010</v>
          </cell>
          <cell r="N1470">
            <v>25900</v>
          </cell>
          <cell r="O1470">
            <v>34000</v>
          </cell>
          <cell r="Q1470">
            <v>27210</v>
          </cell>
          <cell r="R1470">
            <v>91261913578</v>
          </cell>
          <cell r="S1470" t="str">
            <v>백승민BM</v>
          </cell>
          <cell r="V1470">
            <v>34000</v>
          </cell>
          <cell r="W1470" t="str">
            <v>https://smartstore.naver.com/sskoreatrade/products/10929105056</v>
          </cell>
          <cell r="X1470" t="str">
            <v>맥세이프 보배</v>
          </cell>
          <cell r="Y1470" t="str">
            <v>뉴클 5000mAh 맥세이프 보딩패스 보조배터리 스위스</v>
          </cell>
          <cell r="AB1470" t="str">
            <v>coupang.com/vp/products/8367343576?itemId=24244932707&amp;vendorItemId=91261913578</v>
          </cell>
          <cell r="AC1470">
            <v>12299.999999999998</v>
          </cell>
          <cell r="AD1470">
            <v>1230</v>
          </cell>
          <cell r="AE1470">
            <v>13530</v>
          </cell>
          <cell r="AG1470">
            <v>18545.454545454544</v>
          </cell>
          <cell r="AH1470">
            <v>1854.5454545454559</v>
          </cell>
          <cell r="AI1470">
            <v>20400</v>
          </cell>
          <cell r="AK1470">
            <v>6245.454545454546</v>
          </cell>
        </row>
        <row r="1471">
          <cell r="H1471">
            <v>91261913585</v>
          </cell>
          <cell r="I1471">
            <v>51568925</v>
          </cell>
          <cell r="J1471" t="str">
            <v/>
          </cell>
          <cell r="K1471">
            <v>72</v>
          </cell>
          <cell r="L1471">
            <v>27010</v>
          </cell>
          <cell r="M1471">
            <v>27010</v>
          </cell>
          <cell r="N1471">
            <v>25900</v>
          </cell>
          <cell r="O1471">
            <v>34000</v>
          </cell>
          <cell r="Q1471">
            <v>27210</v>
          </cell>
          <cell r="R1471">
            <v>91261913585</v>
          </cell>
          <cell r="S1471" t="str">
            <v>백승민BM</v>
          </cell>
          <cell r="V1471">
            <v>34000</v>
          </cell>
          <cell r="W1471" t="str">
            <v>https://smartstore.naver.com/sskoreatrade/products/10929105056</v>
          </cell>
          <cell r="X1471" t="str">
            <v>맥세이프 보배</v>
          </cell>
          <cell r="Y1471" t="str">
            <v>뉴클 5000mAh 맥세이프 보딩패스 보조배터리 프라하</v>
          </cell>
          <cell r="AB1471" t="str">
            <v>coupang.com/vp/products/8367343576?itemId=24244932710&amp;vendorItemId=91261913585</v>
          </cell>
          <cell r="AC1471">
            <v>12299.999999999998</v>
          </cell>
          <cell r="AD1471">
            <v>1230</v>
          </cell>
          <cell r="AE1471">
            <v>13530</v>
          </cell>
          <cell r="AG1471">
            <v>18545.454545454544</v>
          </cell>
          <cell r="AH1471">
            <v>1854.5454545454559</v>
          </cell>
          <cell r="AI1471">
            <v>20400</v>
          </cell>
          <cell r="AK1471">
            <v>6245.454545454546</v>
          </cell>
        </row>
        <row r="1472">
          <cell r="H1472">
            <v>91090419907</v>
          </cell>
          <cell r="I1472">
            <v>50511878</v>
          </cell>
          <cell r="J1472">
            <v>156</v>
          </cell>
          <cell r="K1472">
            <v>299</v>
          </cell>
          <cell r="L1472">
            <v>5250</v>
          </cell>
          <cell r="M1472">
            <v>5250</v>
          </cell>
          <cell r="N1472">
            <v>5800</v>
          </cell>
          <cell r="O1472">
            <v>9900</v>
          </cell>
          <cell r="Q1472">
            <v>4680</v>
          </cell>
          <cell r="R1472">
            <v>91090419907</v>
          </cell>
          <cell r="S1472" t="str">
            <v>백승민BM</v>
          </cell>
          <cell r="V1472">
            <v>7900</v>
          </cell>
          <cell r="W1472" t="str">
            <v>https://smartstore.naver.com/sskoreatrade/products/10036275462</v>
          </cell>
          <cell r="X1472" t="str">
            <v>펜슬ACC</v>
          </cell>
          <cell r="Y1472" t="str">
            <v>뉴클 애플펜슬 2세대 실리콘 케이스 블랙</v>
          </cell>
          <cell r="AB1472" t="str">
            <v>coupang.com/vp/products/8336153996?itemId=24070694001&amp;vendorItemId=91090419907</v>
          </cell>
          <cell r="AC1472">
            <v>1200</v>
          </cell>
          <cell r="AD1472">
            <v>120</v>
          </cell>
          <cell r="AE1472">
            <v>1320</v>
          </cell>
          <cell r="AG1472">
            <v>4218.181818181818</v>
          </cell>
          <cell r="AH1472">
            <v>421.81818181818198</v>
          </cell>
          <cell r="AI1472">
            <v>4640</v>
          </cell>
          <cell r="AK1472">
            <v>3018.181818181818</v>
          </cell>
        </row>
        <row r="1473">
          <cell r="H1473">
            <v>91090419898</v>
          </cell>
          <cell r="I1473">
            <v>50511876</v>
          </cell>
          <cell r="J1473">
            <v>-2</v>
          </cell>
          <cell r="K1473">
            <v>299</v>
          </cell>
          <cell r="L1473">
            <v>5250</v>
          </cell>
          <cell r="M1473">
            <v>5250</v>
          </cell>
          <cell r="N1473">
            <v>5800</v>
          </cell>
          <cell r="O1473">
            <v>9900</v>
          </cell>
          <cell r="Q1473">
            <v>4680</v>
          </cell>
          <cell r="R1473">
            <v>91090419898</v>
          </cell>
          <cell r="S1473" t="str">
            <v>백승민BM</v>
          </cell>
          <cell r="V1473">
            <v>7900</v>
          </cell>
          <cell r="W1473" t="str">
            <v>https://smartstore.naver.com/sskoreatrade/products/10036275462</v>
          </cell>
          <cell r="X1473" t="str">
            <v>펜슬ACC</v>
          </cell>
          <cell r="Y1473" t="str">
            <v>뉴클 애플펜슬 2세대 실리콘 케이스 아보카도그린</v>
          </cell>
          <cell r="AB1473" t="str">
            <v>coupang.com/vp/products/8336153996?itemId=24070694000&amp;vendorItemId=91090419898</v>
          </cell>
          <cell r="AC1473">
            <v>1200</v>
          </cell>
          <cell r="AD1473">
            <v>120</v>
          </cell>
          <cell r="AE1473">
            <v>1320</v>
          </cell>
          <cell r="AG1473">
            <v>4218.181818181818</v>
          </cell>
          <cell r="AH1473">
            <v>421.81818181818198</v>
          </cell>
          <cell r="AI1473">
            <v>4640</v>
          </cell>
          <cell r="AK1473">
            <v>3018.181818181818</v>
          </cell>
        </row>
        <row r="1474">
          <cell r="H1474">
            <v>91090419925</v>
          </cell>
          <cell r="I1474">
            <v>50511883</v>
          </cell>
          <cell r="J1474">
            <v>30</v>
          </cell>
          <cell r="K1474">
            <v>299</v>
          </cell>
          <cell r="L1474">
            <v>5250</v>
          </cell>
          <cell r="M1474">
            <v>5250</v>
          </cell>
          <cell r="N1474">
            <v>5800</v>
          </cell>
          <cell r="O1474">
            <v>9900</v>
          </cell>
          <cell r="Q1474">
            <v>5250</v>
          </cell>
          <cell r="R1474">
            <v>91090419925</v>
          </cell>
          <cell r="S1474" t="str">
            <v>백승민BM</v>
          </cell>
          <cell r="V1474">
            <v>7900</v>
          </cell>
          <cell r="W1474" t="str">
            <v>https://smartstore.naver.com/sskoreatrade/products/10036275462</v>
          </cell>
          <cell r="X1474" t="str">
            <v>펜슬ACC</v>
          </cell>
          <cell r="Y1474" t="str">
            <v>뉴클 애플펜슬 2세대 실리콘 케이스 오렌지</v>
          </cell>
          <cell r="AB1474" t="str">
            <v>coupang.com/vp/products/8336153996?itemId=24070694004&amp;vendorItemId=91090419925</v>
          </cell>
          <cell r="AC1474">
            <v>1200</v>
          </cell>
          <cell r="AD1474">
            <v>120</v>
          </cell>
          <cell r="AE1474">
            <v>1320</v>
          </cell>
          <cell r="AG1474">
            <v>4218.181818181818</v>
          </cell>
          <cell r="AH1474">
            <v>421.81818181818198</v>
          </cell>
          <cell r="AI1474">
            <v>4640</v>
          </cell>
          <cell r="AK1474">
            <v>3018.181818181818</v>
          </cell>
        </row>
        <row r="1475">
          <cell r="H1475">
            <v>91090419915</v>
          </cell>
          <cell r="I1475">
            <v>50511882</v>
          </cell>
          <cell r="J1475">
            <v>3</v>
          </cell>
          <cell r="K1475">
            <v>299</v>
          </cell>
          <cell r="L1475">
            <v>5250</v>
          </cell>
          <cell r="M1475">
            <v>5250</v>
          </cell>
          <cell r="N1475">
            <v>5800</v>
          </cell>
          <cell r="O1475">
            <v>9900</v>
          </cell>
          <cell r="Q1475">
            <v>4680</v>
          </cell>
          <cell r="R1475">
            <v>91090419915</v>
          </cell>
          <cell r="S1475" t="str">
            <v>백승민BM</v>
          </cell>
          <cell r="V1475">
            <v>7900</v>
          </cell>
          <cell r="W1475" t="str">
            <v>https://smartstore.naver.com/sskoreatrade/products/10036275462</v>
          </cell>
          <cell r="X1475" t="str">
            <v>펜슬ACC</v>
          </cell>
          <cell r="Y1475" t="str">
            <v>뉴클 애플펜슬 2세대 실리콘 케이스 핑크</v>
          </cell>
          <cell r="AB1475" t="str">
            <v>coupang.com/vp/products/8336153996?itemId=24070694002&amp;vendorItemId=91090419915</v>
          </cell>
          <cell r="AC1475">
            <v>1200</v>
          </cell>
          <cell r="AD1475">
            <v>120</v>
          </cell>
          <cell r="AE1475">
            <v>1320</v>
          </cell>
          <cell r="AG1475">
            <v>4218.181818181818</v>
          </cell>
          <cell r="AH1475">
            <v>421.81818181818198</v>
          </cell>
          <cell r="AI1475">
            <v>4640</v>
          </cell>
          <cell r="AK1475">
            <v>3018.181818181818</v>
          </cell>
        </row>
        <row r="1476">
          <cell r="H1476">
            <v>91090419913</v>
          </cell>
          <cell r="I1476">
            <v>50511875</v>
          </cell>
          <cell r="J1476">
            <v>6</v>
          </cell>
          <cell r="K1476">
            <v>251</v>
          </cell>
          <cell r="L1476">
            <v>4000</v>
          </cell>
          <cell r="M1476">
            <v>4000</v>
          </cell>
          <cell r="N1476">
            <v>7360</v>
          </cell>
          <cell r="O1476">
            <v>9900</v>
          </cell>
          <cell r="Q1476">
            <v>4680</v>
          </cell>
          <cell r="R1476">
            <v>91090419913</v>
          </cell>
          <cell r="S1476" t="str">
            <v>백승민BM</v>
          </cell>
          <cell r="V1476">
            <v>7900</v>
          </cell>
          <cell r="W1476" t="str">
            <v>https://smartstore.naver.com/sskoreatrade/products/10036302209</v>
          </cell>
          <cell r="X1476" t="str">
            <v>펜슬ACC</v>
          </cell>
          <cell r="Y1476" t="str">
            <v>뉴클 애플펜슬 USB-C 실리콘 케이스 블랙</v>
          </cell>
          <cell r="AB1476" t="str">
            <v>coupang.com/vp/products/8336153997?itemId=24070694008&amp;vendorItemId=91090419913</v>
          </cell>
          <cell r="AC1476">
            <v>1200</v>
          </cell>
          <cell r="AD1476">
            <v>120</v>
          </cell>
          <cell r="AE1476">
            <v>1320</v>
          </cell>
          <cell r="AG1476">
            <v>4500</v>
          </cell>
          <cell r="AH1476">
            <v>450</v>
          </cell>
          <cell r="AI1476">
            <v>4950</v>
          </cell>
          <cell r="AK1476">
            <v>3300</v>
          </cell>
        </row>
        <row r="1477">
          <cell r="H1477">
            <v>91090419923</v>
          </cell>
          <cell r="I1477">
            <v>50511877</v>
          </cell>
          <cell r="J1477">
            <v>198</v>
          </cell>
          <cell r="K1477">
            <v>251</v>
          </cell>
          <cell r="L1477">
            <v>4000</v>
          </cell>
          <cell r="M1477">
            <v>4000</v>
          </cell>
          <cell r="N1477">
            <v>7360</v>
          </cell>
          <cell r="O1477">
            <v>9900</v>
          </cell>
          <cell r="Q1477">
            <v>4680</v>
          </cell>
          <cell r="R1477">
            <v>91090419923</v>
          </cell>
          <cell r="S1477" t="str">
            <v>백승민BM</v>
          </cell>
          <cell r="V1477">
            <v>7900</v>
          </cell>
          <cell r="W1477" t="str">
            <v>https://smartstore.naver.com/sskoreatrade/products/10036302209</v>
          </cell>
          <cell r="X1477" t="str">
            <v>펜슬ACC</v>
          </cell>
          <cell r="Y1477" t="str">
            <v>뉴클 애플펜슬 USB-C 실리콘 케이스 아보카도그린</v>
          </cell>
          <cell r="AB1477" t="str">
            <v>coupang.com/vp/products/8336153997?itemId=24070694010&amp;vendorItemId=91090419923</v>
          </cell>
          <cell r="AC1477">
            <v>1200</v>
          </cell>
          <cell r="AD1477">
            <v>120</v>
          </cell>
          <cell r="AE1477">
            <v>1320</v>
          </cell>
          <cell r="AG1477">
            <v>4500</v>
          </cell>
          <cell r="AH1477">
            <v>450</v>
          </cell>
          <cell r="AI1477">
            <v>4950</v>
          </cell>
          <cell r="AK1477">
            <v>3300</v>
          </cell>
        </row>
        <row r="1478">
          <cell r="H1478">
            <v>91090419905</v>
          </cell>
          <cell r="I1478">
            <v>50511874</v>
          </cell>
          <cell r="J1478">
            <v>38</v>
          </cell>
          <cell r="K1478">
            <v>251</v>
          </cell>
          <cell r="L1478">
            <v>4680</v>
          </cell>
          <cell r="M1478">
            <v>4680</v>
          </cell>
          <cell r="N1478">
            <v>7360</v>
          </cell>
          <cell r="O1478">
            <v>9900</v>
          </cell>
          <cell r="Q1478">
            <v>4680</v>
          </cell>
          <cell r="R1478">
            <v>91090419905</v>
          </cell>
          <cell r="S1478" t="str">
            <v>백승민BM</v>
          </cell>
          <cell r="V1478">
            <v>7900</v>
          </cell>
          <cell r="W1478" t="str">
            <v>https://smartstore.naver.com/sskoreatrade/products/10036302209</v>
          </cell>
          <cell r="X1478" t="str">
            <v>펜슬ACC</v>
          </cell>
          <cell r="Y1478" t="str">
            <v>뉴클 애플펜슬 USB-C 실리콘 케이스 오렌지</v>
          </cell>
          <cell r="AB1478" t="str">
            <v>coupang.com/vp/products/8336153997?itemId=24070694006&amp;vendorItemId=91090419905</v>
          </cell>
          <cell r="AC1478">
            <v>1200</v>
          </cell>
          <cell r="AD1478">
            <v>120</v>
          </cell>
          <cell r="AE1478">
            <v>1320</v>
          </cell>
          <cell r="AG1478">
            <v>4500</v>
          </cell>
          <cell r="AH1478">
            <v>450</v>
          </cell>
          <cell r="AI1478">
            <v>4950</v>
          </cell>
          <cell r="AK1478">
            <v>3300</v>
          </cell>
        </row>
        <row r="1479">
          <cell r="H1479">
            <v>91090419896</v>
          </cell>
          <cell r="I1479">
            <v>50511873</v>
          </cell>
          <cell r="J1479" t="str">
            <v/>
          </cell>
          <cell r="K1479">
            <v>251</v>
          </cell>
          <cell r="L1479">
            <v>4000</v>
          </cell>
          <cell r="M1479">
            <v>4000</v>
          </cell>
          <cell r="N1479">
            <v>7360</v>
          </cell>
          <cell r="O1479">
            <v>9900</v>
          </cell>
          <cell r="Q1479">
            <v>4680</v>
          </cell>
          <cell r="R1479">
            <v>91090419896</v>
          </cell>
          <cell r="S1479" t="str">
            <v>백승민BM</v>
          </cell>
          <cell r="V1479">
            <v>7900</v>
          </cell>
          <cell r="W1479" t="str">
            <v>https://smartstore.naver.com/sskoreatrade/products/10036302209</v>
          </cell>
          <cell r="X1479" t="str">
            <v>펜슬ACC</v>
          </cell>
          <cell r="Y1479" t="str">
            <v>뉴클 애플펜슬 USB-C 실리콘 케이스 핑크</v>
          </cell>
          <cell r="AB1479" t="str">
            <v>coupang.com/vp/products/8336153997?itemId=24070694003&amp;vendorItemId=91090419896</v>
          </cell>
          <cell r="AC1479">
            <v>1200</v>
          </cell>
          <cell r="AD1479">
            <v>120</v>
          </cell>
          <cell r="AE1479">
            <v>1320</v>
          </cell>
          <cell r="AG1479">
            <v>4500</v>
          </cell>
          <cell r="AH1479">
            <v>450</v>
          </cell>
          <cell r="AI1479">
            <v>4950</v>
          </cell>
          <cell r="AK1479">
            <v>3300</v>
          </cell>
        </row>
        <row r="1480">
          <cell r="H1480">
            <v>91091317030</v>
          </cell>
          <cell r="I1480">
            <v>50515519</v>
          </cell>
          <cell r="J1480">
            <v>63</v>
          </cell>
          <cell r="K1480" t="str">
            <v>-</v>
          </cell>
          <cell r="L1480">
            <v>6720</v>
          </cell>
          <cell r="M1480">
            <v>6720</v>
          </cell>
          <cell r="Q1480">
            <v>6740</v>
          </cell>
          <cell r="R1480">
            <v>91091317030</v>
          </cell>
          <cell r="Y1480" t="str">
            <v>IZNC 3A 충전케이블 USB-5핀 3M C31</v>
          </cell>
          <cell r="AC1480">
            <v>999.99999999999989</v>
          </cell>
          <cell r="AD1480">
            <v>100</v>
          </cell>
          <cell r="AE1480">
            <v>1100</v>
          </cell>
          <cell r="AG1480">
            <v>4045.454545454545</v>
          </cell>
          <cell r="AH1480">
            <v>404.54545454545496</v>
          </cell>
          <cell r="AI1480">
            <v>4450</v>
          </cell>
          <cell r="AK1480">
            <v>3045.454545454545</v>
          </cell>
        </row>
        <row r="1481">
          <cell r="H1481">
            <v>91091317027</v>
          </cell>
          <cell r="I1481">
            <v>50515520</v>
          </cell>
          <cell r="J1481">
            <v>-1</v>
          </cell>
          <cell r="K1481" t="str">
            <v>-</v>
          </cell>
          <cell r="L1481">
            <v>6720</v>
          </cell>
          <cell r="M1481">
            <v>6720</v>
          </cell>
          <cell r="Q1481">
            <v>6740</v>
          </cell>
          <cell r="R1481">
            <v>91091317027</v>
          </cell>
          <cell r="Y1481" t="str">
            <v>IZNC 3A 충전케이블 USB-8핀 3M C30</v>
          </cell>
          <cell r="AC1481">
            <v>999.99999999999989</v>
          </cell>
          <cell r="AD1481">
            <v>100</v>
          </cell>
          <cell r="AE1481">
            <v>1100</v>
          </cell>
          <cell r="AG1481">
            <v>4045.454545454545</v>
          </cell>
          <cell r="AH1481">
            <v>404.54545454545496</v>
          </cell>
          <cell r="AI1481">
            <v>4450</v>
          </cell>
          <cell r="AK1481">
            <v>3045.454545454545</v>
          </cell>
        </row>
        <row r="1482">
          <cell r="H1482">
            <v>90754433052</v>
          </cell>
          <cell r="I1482">
            <v>48744016</v>
          </cell>
          <cell r="J1482">
            <v>12</v>
          </cell>
          <cell r="K1482" t="str">
            <v>-</v>
          </cell>
          <cell r="L1482">
            <v>7470</v>
          </cell>
          <cell r="M1482">
            <v>7470</v>
          </cell>
          <cell r="Q1482">
            <v>7500</v>
          </cell>
          <cell r="R1482">
            <v>90754433052</v>
          </cell>
          <cell r="Y1482" t="str">
            <v>IZNC 3A/PD20W 고속충전케이블 C-8 1M 화이트</v>
          </cell>
          <cell r="AC1482">
            <v>999.99999999999989</v>
          </cell>
          <cell r="AD1482">
            <v>100</v>
          </cell>
          <cell r="AE1482">
            <v>1100</v>
          </cell>
          <cell r="AG1482">
            <v>4500</v>
          </cell>
          <cell r="AH1482">
            <v>450</v>
          </cell>
          <cell r="AI1482">
            <v>4950</v>
          </cell>
          <cell r="AK1482">
            <v>3500</v>
          </cell>
        </row>
        <row r="1483">
          <cell r="H1483">
            <v>90767156528</v>
          </cell>
          <cell r="I1483">
            <v>48790405</v>
          </cell>
          <cell r="J1483" t="str">
            <v/>
          </cell>
          <cell r="K1483" t="str">
            <v>-</v>
          </cell>
          <cell r="L1483">
            <v>8230</v>
          </cell>
          <cell r="M1483">
            <v>8230</v>
          </cell>
          <cell r="Q1483">
            <v>8260</v>
          </cell>
          <cell r="R1483">
            <v>90767156528</v>
          </cell>
          <cell r="Y1483" t="str">
            <v>IZNC 3A/PD20W 고속충전케이블 C-8 2M C214, 화이트</v>
          </cell>
          <cell r="AC1483">
            <v>999.99999999999989</v>
          </cell>
          <cell r="AD1483">
            <v>100</v>
          </cell>
          <cell r="AE1483">
            <v>1100</v>
          </cell>
          <cell r="AG1483">
            <v>4954.545454545454</v>
          </cell>
          <cell r="AH1483">
            <v>495.45454545454595</v>
          </cell>
          <cell r="AI1483">
            <v>5450</v>
          </cell>
          <cell r="AK1483">
            <v>3954.545454545454</v>
          </cell>
        </row>
        <row r="1484">
          <cell r="H1484">
            <v>91090240697</v>
          </cell>
          <cell r="I1484">
            <v>50396371</v>
          </cell>
          <cell r="J1484">
            <v>6</v>
          </cell>
          <cell r="K1484" t="str">
            <v>-</v>
          </cell>
          <cell r="L1484">
            <v>6720</v>
          </cell>
          <cell r="M1484">
            <v>6720</v>
          </cell>
          <cell r="Q1484">
            <v>6740</v>
          </cell>
          <cell r="R1484">
            <v>91090240697</v>
          </cell>
          <cell r="Y1484" t="str">
            <v>IZNC 5A A타입-마이크로5핀 충전케이블 C15 화이트1.2m</v>
          </cell>
          <cell r="AC1484">
            <v>999.99999999999989</v>
          </cell>
          <cell r="AD1484">
            <v>100</v>
          </cell>
          <cell r="AE1484">
            <v>1100</v>
          </cell>
          <cell r="AG1484">
            <v>4045.454545454545</v>
          </cell>
          <cell r="AH1484">
            <v>404.54545454545496</v>
          </cell>
          <cell r="AI1484">
            <v>4450</v>
          </cell>
          <cell r="AK1484">
            <v>3045.454545454545</v>
          </cell>
        </row>
        <row r="1485">
          <cell r="H1485">
            <v>91090240684</v>
          </cell>
          <cell r="I1485">
            <v>50396372</v>
          </cell>
          <cell r="J1485" t="str">
            <v/>
          </cell>
          <cell r="K1485" t="str">
            <v>-</v>
          </cell>
          <cell r="L1485">
            <v>6720</v>
          </cell>
          <cell r="M1485">
            <v>6720</v>
          </cell>
          <cell r="Q1485">
            <v>6740</v>
          </cell>
          <cell r="R1485">
            <v>91090240684</v>
          </cell>
          <cell r="Y1485" t="str">
            <v>IZNC 5A A타입-마이크로5핀 충전케이블 C53 화이트1.5m</v>
          </cell>
          <cell r="AC1485">
            <v>999.99999999999989</v>
          </cell>
          <cell r="AD1485">
            <v>100</v>
          </cell>
          <cell r="AE1485">
            <v>1100</v>
          </cell>
          <cell r="AG1485">
            <v>4045.454545454545</v>
          </cell>
          <cell r="AH1485">
            <v>404.54545454545496</v>
          </cell>
          <cell r="AI1485">
            <v>4450</v>
          </cell>
          <cell r="AK1485">
            <v>3045.454545454545</v>
          </cell>
        </row>
        <row r="1486">
          <cell r="H1486">
            <v>91090240682</v>
          </cell>
          <cell r="I1486">
            <v>50396370</v>
          </cell>
          <cell r="J1486">
            <v>1</v>
          </cell>
          <cell r="K1486" t="str">
            <v>-</v>
          </cell>
          <cell r="L1486">
            <v>6710</v>
          </cell>
          <cell r="M1486">
            <v>6710</v>
          </cell>
          <cell r="Q1486">
            <v>6740</v>
          </cell>
          <cell r="R1486">
            <v>91090240682</v>
          </cell>
          <cell r="Y1486" t="str">
            <v>IZNC 5A A타입-애플8핀 충전케이블 C16 화이트1.2m</v>
          </cell>
          <cell r="AC1486">
            <v>999.99999999999989</v>
          </cell>
          <cell r="AD1486">
            <v>100</v>
          </cell>
          <cell r="AE1486">
            <v>1100</v>
          </cell>
          <cell r="AG1486">
            <v>4045.454545454545</v>
          </cell>
          <cell r="AH1486">
            <v>404.54545454545496</v>
          </cell>
          <cell r="AI1486">
            <v>4450</v>
          </cell>
          <cell r="AK1486">
            <v>3045.454545454545</v>
          </cell>
        </row>
        <row r="1487">
          <cell r="H1487">
            <v>91090240692</v>
          </cell>
          <cell r="I1487">
            <v>50396373</v>
          </cell>
          <cell r="J1487">
            <v>28</v>
          </cell>
          <cell r="K1487" t="str">
            <v>-</v>
          </cell>
          <cell r="L1487">
            <v>6720</v>
          </cell>
          <cell r="M1487">
            <v>6720</v>
          </cell>
          <cell r="Q1487">
            <v>6740</v>
          </cell>
          <cell r="R1487">
            <v>91090240692</v>
          </cell>
          <cell r="Y1487" t="str">
            <v>IZNC 5A A타입-애플8핀 충전케이블C52 화이트1.5m</v>
          </cell>
          <cell r="AC1487">
            <v>999.99999999999989</v>
          </cell>
          <cell r="AD1487">
            <v>100</v>
          </cell>
          <cell r="AE1487">
            <v>1100</v>
          </cell>
          <cell r="AG1487">
            <v>4045.454545454545</v>
          </cell>
          <cell r="AH1487">
            <v>404.54545454545496</v>
          </cell>
          <cell r="AI1487">
            <v>4450</v>
          </cell>
          <cell r="AK1487">
            <v>3045.454545454545</v>
          </cell>
        </row>
        <row r="1488">
          <cell r="H1488">
            <v>90748064784</v>
          </cell>
          <cell r="I1488">
            <v>48728933</v>
          </cell>
          <cell r="J1488">
            <v>281</v>
          </cell>
          <cell r="K1488" t="str">
            <v>-</v>
          </cell>
          <cell r="L1488">
            <v>7470</v>
          </cell>
          <cell r="M1488">
            <v>7470</v>
          </cell>
          <cell r="Q1488">
            <v>7500</v>
          </cell>
          <cell r="R1488">
            <v>90748064784</v>
          </cell>
          <cell r="Y1488" t="str">
            <v>IZNC 5A 고속충전케이블 USB-5핀 1M C65 화이트</v>
          </cell>
          <cell r="AC1488">
            <v>999.99999999999989</v>
          </cell>
          <cell r="AD1488">
            <v>100</v>
          </cell>
          <cell r="AE1488">
            <v>1100</v>
          </cell>
          <cell r="AG1488">
            <v>4500</v>
          </cell>
          <cell r="AH1488">
            <v>450</v>
          </cell>
          <cell r="AI1488">
            <v>4950</v>
          </cell>
          <cell r="AK1488">
            <v>3500</v>
          </cell>
        </row>
        <row r="1489">
          <cell r="H1489">
            <v>90767028327</v>
          </cell>
          <cell r="I1489">
            <v>48789485</v>
          </cell>
          <cell r="J1489" t="str">
            <v/>
          </cell>
          <cell r="K1489" t="str">
            <v>-</v>
          </cell>
          <cell r="L1489">
            <v>7470</v>
          </cell>
          <cell r="M1489">
            <v>7470</v>
          </cell>
          <cell r="Q1489">
            <v>7500</v>
          </cell>
          <cell r="R1489">
            <v>90767028327</v>
          </cell>
          <cell r="Y1489" t="str">
            <v>IZNC 5A 고속충전케이블 USB-5핀 1M 화이트</v>
          </cell>
          <cell r="AC1489">
            <v>999.99999999999989</v>
          </cell>
          <cell r="AD1489">
            <v>100</v>
          </cell>
          <cell r="AE1489">
            <v>1100</v>
          </cell>
          <cell r="AG1489">
            <v>4500</v>
          </cell>
          <cell r="AH1489">
            <v>450</v>
          </cell>
          <cell r="AI1489">
            <v>4950</v>
          </cell>
          <cell r="AK1489">
            <v>3500</v>
          </cell>
        </row>
        <row r="1490">
          <cell r="H1490">
            <v>90783105802</v>
          </cell>
          <cell r="I1490">
            <v>48861730</v>
          </cell>
          <cell r="J1490">
            <v>6</v>
          </cell>
          <cell r="K1490" t="str">
            <v>-</v>
          </cell>
          <cell r="L1490">
            <v>7470</v>
          </cell>
          <cell r="M1490">
            <v>7470</v>
          </cell>
          <cell r="Q1490">
            <v>7500</v>
          </cell>
          <cell r="R1490">
            <v>90783105802</v>
          </cell>
          <cell r="Y1490" t="str">
            <v>IZNC 5A 고속충전케이블 USB-8핀 1M C66, 화이트</v>
          </cell>
          <cell r="AC1490">
            <v>999.99999999999989</v>
          </cell>
          <cell r="AD1490">
            <v>100</v>
          </cell>
          <cell r="AE1490">
            <v>1100</v>
          </cell>
          <cell r="AG1490">
            <v>4500</v>
          </cell>
          <cell r="AH1490">
            <v>450</v>
          </cell>
          <cell r="AI1490">
            <v>4950</v>
          </cell>
          <cell r="AK1490">
            <v>3500</v>
          </cell>
        </row>
        <row r="1491">
          <cell r="H1491">
            <v>90754433050</v>
          </cell>
          <cell r="I1491">
            <v>48744017</v>
          </cell>
          <cell r="J1491" t="str">
            <v/>
          </cell>
          <cell r="K1491" t="str">
            <v>-</v>
          </cell>
          <cell r="L1491">
            <v>7470</v>
          </cell>
          <cell r="M1491">
            <v>7470</v>
          </cell>
          <cell r="Q1491">
            <v>7500</v>
          </cell>
          <cell r="R1491">
            <v>90754433050</v>
          </cell>
          <cell r="Y1491" t="str">
            <v>IZNC 5A 고속충전케이블 USB-8핀 1M 화이트</v>
          </cell>
          <cell r="AC1491">
            <v>999.99999999999989</v>
          </cell>
          <cell r="AD1491">
            <v>100</v>
          </cell>
          <cell r="AE1491">
            <v>1100</v>
          </cell>
          <cell r="AG1491">
            <v>4500</v>
          </cell>
          <cell r="AH1491">
            <v>450</v>
          </cell>
          <cell r="AI1491">
            <v>4950</v>
          </cell>
          <cell r="AK1491">
            <v>3500</v>
          </cell>
        </row>
        <row r="1492">
          <cell r="H1492">
            <v>90783105820</v>
          </cell>
          <cell r="I1492">
            <v>48861731</v>
          </cell>
          <cell r="J1492">
            <v>17</v>
          </cell>
          <cell r="K1492" t="str">
            <v>-</v>
          </cell>
          <cell r="L1492">
            <v>7470</v>
          </cell>
          <cell r="M1492">
            <v>7470</v>
          </cell>
          <cell r="Q1492">
            <v>7500</v>
          </cell>
          <cell r="R1492">
            <v>90783105820</v>
          </cell>
          <cell r="Y1492" t="str">
            <v>IZNC 5A 고속충전케이블 USB-C타입 1M C67, 화이트</v>
          </cell>
          <cell r="AC1492">
            <v>999.99999999999989</v>
          </cell>
          <cell r="AD1492">
            <v>100</v>
          </cell>
          <cell r="AE1492">
            <v>1100</v>
          </cell>
          <cell r="AG1492">
            <v>4500</v>
          </cell>
          <cell r="AH1492">
            <v>450</v>
          </cell>
          <cell r="AI1492">
            <v>4950</v>
          </cell>
          <cell r="AK1492">
            <v>3500</v>
          </cell>
        </row>
        <row r="1493">
          <cell r="H1493">
            <v>90754433059</v>
          </cell>
          <cell r="I1493">
            <v>48744018</v>
          </cell>
          <cell r="J1493">
            <v>4</v>
          </cell>
          <cell r="K1493" t="str">
            <v>-</v>
          </cell>
          <cell r="L1493">
            <v>7470</v>
          </cell>
          <cell r="M1493">
            <v>7470</v>
          </cell>
          <cell r="Q1493">
            <v>7500</v>
          </cell>
          <cell r="R1493">
            <v>90754433059</v>
          </cell>
          <cell r="Y1493" t="str">
            <v>IZNC 5A 고속충전케이블 USB-C타입 1M 화이트</v>
          </cell>
          <cell r="AC1493">
            <v>999.99999999999989</v>
          </cell>
          <cell r="AD1493">
            <v>100</v>
          </cell>
          <cell r="AE1493">
            <v>1100</v>
          </cell>
          <cell r="AG1493">
            <v>4500</v>
          </cell>
          <cell r="AH1493">
            <v>450</v>
          </cell>
          <cell r="AI1493">
            <v>4950</v>
          </cell>
          <cell r="AK1493">
            <v>3500</v>
          </cell>
        </row>
        <row r="1494">
          <cell r="H1494">
            <v>91092166652</v>
          </cell>
          <cell r="I1494">
            <v>50574672</v>
          </cell>
          <cell r="J1494">
            <v>44</v>
          </cell>
          <cell r="K1494" t="str">
            <v>-</v>
          </cell>
          <cell r="L1494">
            <v>6720</v>
          </cell>
          <cell r="M1494">
            <v>6720</v>
          </cell>
          <cell r="Q1494">
            <v>6740</v>
          </cell>
          <cell r="R1494">
            <v>91092166652</v>
          </cell>
          <cell r="Y1494" t="str">
            <v>IZNC 5A 충전케이블 USB-5핀 1M C19</v>
          </cell>
          <cell r="AC1494">
            <v>999.99999999999989</v>
          </cell>
          <cell r="AD1494">
            <v>100</v>
          </cell>
          <cell r="AE1494">
            <v>1100</v>
          </cell>
          <cell r="AG1494">
            <v>4045.454545454545</v>
          </cell>
          <cell r="AH1494">
            <v>404.54545454545496</v>
          </cell>
          <cell r="AI1494">
            <v>4450</v>
          </cell>
          <cell r="AK1494">
            <v>3045.454545454545</v>
          </cell>
        </row>
        <row r="1495">
          <cell r="H1495">
            <v>90767156518</v>
          </cell>
          <cell r="I1495">
            <v>48790406</v>
          </cell>
          <cell r="J1495" t="str">
            <v/>
          </cell>
          <cell r="K1495" t="str">
            <v>-</v>
          </cell>
          <cell r="L1495">
            <v>8220</v>
          </cell>
          <cell r="M1495">
            <v>8220</v>
          </cell>
          <cell r="Q1495">
            <v>8260</v>
          </cell>
          <cell r="R1495">
            <v>90767156518</v>
          </cell>
          <cell r="Y1495" t="str">
            <v>IZNC 60W 고속충전케이블 C-C 1M C88, 화이트</v>
          </cell>
          <cell r="AC1495">
            <v>999.99999999999989</v>
          </cell>
          <cell r="AD1495">
            <v>100</v>
          </cell>
          <cell r="AE1495">
            <v>1100</v>
          </cell>
          <cell r="AG1495">
            <v>4954.545454545454</v>
          </cell>
          <cell r="AH1495">
            <v>495.45454545454595</v>
          </cell>
          <cell r="AI1495">
            <v>5450</v>
          </cell>
          <cell r="AK1495">
            <v>3954.545454545454</v>
          </cell>
        </row>
        <row r="1496">
          <cell r="H1496">
            <v>91006720858</v>
          </cell>
          <cell r="I1496">
            <v>50018642</v>
          </cell>
          <cell r="J1496" t="str">
            <v/>
          </cell>
          <cell r="K1496" t="str">
            <v>-</v>
          </cell>
          <cell r="L1496">
            <v>7690</v>
          </cell>
          <cell r="M1496">
            <v>7690</v>
          </cell>
          <cell r="Q1496">
            <v>7580</v>
          </cell>
          <cell r="R1496">
            <v>91006720858</v>
          </cell>
          <cell r="Y1496" t="str">
            <v>IZNC 오픈형 유선 이어폰 3.5mm AUX단자 1.2M N2 화이트</v>
          </cell>
          <cell r="AC1496">
            <v>1200</v>
          </cell>
          <cell r="AD1496">
            <v>120</v>
          </cell>
          <cell r="AE1496">
            <v>1320</v>
          </cell>
          <cell r="AG1496">
            <v>5863.6363636363631</v>
          </cell>
          <cell r="AH1496">
            <v>586.36363636363694</v>
          </cell>
          <cell r="AI1496">
            <v>6450</v>
          </cell>
          <cell r="AK1496">
            <v>4663.6363636363631</v>
          </cell>
        </row>
        <row r="1497">
          <cell r="H1497">
            <v>91006720845</v>
          </cell>
          <cell r="I1497">
            <v>50018641</v>
          </cell>
          <cell r="J1497" t="str">
            <v/>
          </cell>
          <cell r="K1497" t="str">
            <v>-</v>
          </cell>
          <cell r="L1497">
            <v>7690</v>
          </cell>
          <cell r="M1497">
            <v>7690</v>
          </cell>
          <cell r="Q1497">
            <v>7580</v>
          </cell>
          <cell r="R1497">
            <v>91006720845</v>
          </cell>
          <cell r="Y1497" t="str">
            <v>IZNC 오픈형 유선 이어폰 3.5mm AUX단자 1.2M N26 블랙</v>
          </cell>
          <cell r="AC1497">
            <v>1200</v>
          </cell>
          <cell r="AD1497">
            <v>120</v>
          </cell>
          <cell r="AE1497">
            <v>1320</v>
          </cell>
          <cell r="AG1497">
            <v>5863.6363636363631</v>
          </cell>
          <cell r="AH1497">
            <v>586.36363636363694</v>
          </cell>
          <cell r="AI1497">
            <v>6450</v>
          </cell>
          <cell r="AK1497">
            <v>4663.6363636363631</v>
          </cell>
        </row>
        <row r="1498">
          <cell r="H1498">
            <v>90773570850</v>
          </cell>
          <cell r="I1498">
            <v>48812810</v>
          </cell>
          <cell r="J1498">
            <v>1</v>
          </cell>
          <cell r="K1498" t="str">
            <v>-</v>
          </cell>
          <cell r="L1498">
            <v>12600</v>
          </cell>
          <cell r="M1498">
            <v>12600</v>
          </cell>
          <cell r="Q1498">
            <v>12600</v>
          </cell>
          <cell r="R1498">
            <v>90773570850</v>
          </cell>
          <cell r="Y1498" t="str">
            <v>IZNC 오픈형 유선이어폰 3.5mm 1.2M N28</v>
          </cell>
          <cell r="AC1498">
            <v>1200</v>
          </cell>
          <cell r="AD1498">
            <v>120</v>
          </cell>
          <cell r="AE1498">
            <v>1320</v>
          </cell>
          <cell r="AG1498">
            <v>1363.6363636363635</v>
          </cell>
          <cell r="AH1498">
            <v>136.36363636363649</v>
          </cell>
          <cell r="AI1498">
            <v>1500</v>
          </cell>
          <cell r="AK1498">
            <v>163.63636363636351</v>
          </cell>
        </row>
        <row r="1499">
          <cell r="H1499">
            <v>91006720936</v>
          </cell>
          <cell r="I1499">
            <v>50018643</v>
          </cell>
          <cell r="J1499">
            <v>1</v>
          </cell>
          <cell r="K1499" t="str">
            <v>-</v>
          </cell>
          <cell r="L1499">
            <v>7690</v>
          </cell>
          <cell r="M1499">
            <v>7690</v>
          </cell>
          <cell r="Q1499">
            <v>7580</v>
          </cell>
          <cell r="R1499">
            <v>91006720936</v>
          </cell>
          <cell r="Y1499" t="str">
            <v>IZNC 커널형 유선 이어폰 3.5mm AUX단자 1.2M N1 화이트</v>
          </cell>
          <cell r="AC1499">
            <v>1200</v>
          </cell>
          <cell r="AD1499">
            <v>120</v>
          </cell>
          <cell r="AE1499">
            <v>1320</v>
          </cell>
          <cell r="AG1499">
            <v>5863.6363636363631</v>
          </cell>
          <cell r="AH1499">
            <v>586.36363636363694</v>
          </cell>
          <cell r="AI1499">
            <v>6450</v>
          </cell>
          <cell r="AK1499">
            <v>4663.6363636363631</v>
          </cell>
        </row>
        <row r="1500">
          <cell r="H1500">
            <v>91006720950</v>
          </cell>
          <cell r="I1500">
            <v>50018644</v>
          </cell>
          <cell r="J1500">
            <v>1</v>
          </cell>
          <cell r="K1500" t="str">
            <v>-</v>
          </cell>
          <cell r="L1500">
            <v>7690</v>
          </cell>
          <cell r="M1500">
            <v>7690</v>
          </cell>
          <cell r="Q1500">
            <v>7580</v>
          </cell>
          <cell r="R1500">
            <v>91006720950</v>
          </cell>
          <cell r="Y1500" t="str">
            <v>IZNC 커널형 유선 이어폰 3.5mm AUX단자 1.2M N27 화이트</v>
          </cell>
          <cell r="AC1500">
            <v>1200</v>
          </cell>
          <cell r="AD1500">
            <v>120</v>
          </cell>
          <cell r="AE1500">
            <v>1320</v>
          </cell>
          <cell r="AG1500">
            <v>5863.6363636363631</v>
          </cell>
          <cell r="AH1500">
            <v>586.36363636363694</v>
          </cell>
          <cell r="AI1500">
            <v>6450</v>
          </cell>
          <cell r="AK1500">
            <v>4663.6363636363631</v>
          </cell>
        </row>
        <row r="1501">
          <cell r="H1501">
            <v>90773570854</v>
          </cell>
          <cell r="I1501">
            <v>48812811</v>
          </cell>
          <cell r="J1501" t="str">
            <v/>
          </cell>
          <cell r="K1501" t="str">
            <v>-</v>
          </cell>
          <cell r="L1501">
            <v>8920</v>
          </cell>
          <cell r="M1501">
            <v>8920</v>
          </cell>
          <cell r="Q1501">
            <v>8750</v>
          </cell>
          <cell r="R1501">
            <v>90773570854</v>
          </cell>
          <cell r="Y1501" t="str">
            <v>IZNC 커널형 유선이어폰 C타입 1.2M N50</v>
          </cell>
          <cell r="AC1501">
            <v>1170</v>
          </cell>
          <cell r="AD1501">
            <v>117</v>
          </cell>
          <cell r="AE1501">
            <v>1287</v>
          </cell>
          <cell r="AG1501">
            <v>6772.7272727272721</v>
          </cell>
          <cell r="AH1501">
            <v>677.27272727272793</v>
          </cell>
          <cell r="AI1501">
            <v>7450</v>
          </cell>
          <cell r="AK1501">
            <v>5602.7272727272721</v>
          </cell>
        </row>
        <row r="1502">
          <cell r="H1502">
            <v>87733171674</v>
          </cell>
          <cell r="I1502">
            <v>40372839</v>
          </cell>
          <cell r="J1502" t="str">
            <v/>
          </cell>
          <cell r="K1502" t="str">
            <v>-</v>
          </cell>
          <cell r="L1502">
            <v>14590</v>
          </cell>
          <cell r="M1502">
            <v>14590</v>
          </cell>
          <cell r="Q1502">
            <v>15560</v>
          </cell>
          <cell r="R1502">
            <v>87733171674</v>
          </cell>
          <cell r="Y1502" t="str">
            <v>힙스터 컬러 소프트그립 말랑 실리콘 핸드폰 케이스 갤럭시S23 그레이</v>
          </cell>
          <cell r="AC1502">
            <v>2272.7272727272725</v>
          </cell>
          <cell r="AD1502">
            <v>227.27272727272725</v>
          </cell>
          <cell r="AE1502">
            <v>2500</v>
          </cell>
          <cell r="AG1502">
            <v>8090.9090909090901</v>
          </cell>
          <cell r="AH1502">
            <v>809.09090909090992</v>
          </cell>
          <cell r="AI1502">
            <v>8900</v>
          </cell>
          <cell r="AK1502">
            <v>5818.181818181818</v>
          </cell>
        </row>
        <row r="1503">
          <cell r="H1503">
            <v>87733171478</v>
          </cell>
          <cell r="I1503">
            <v>40372825</v>
          </cell>
          <cell r="J1503" t="str">
            <v/>
          </cell>
          <cell r="K1503" t="str">
            <v>-</v>
          </cell>
          <cell r="L1503">
            <v>14590</v>
          </cell>
          <cell r="M1503">
            <v>14590</v>
          </cell>
          <cell r="Q1503">
            <v>15560</v>
          </cell>
          <cell r="R1503">
            <v>87733171478</v>
          </cell>
          <cell r="Y1503" t="str">
            <v>힙스터 컬러 소프트그립 말랑 실리콘 핸드폰 케이스 갤럭시S23 그린</v>
          </cell>
          <cell r="AC1503">
            <v>2272.7272727272725</v>
          </cell>
          <cell r="AD1503">
            <v>227.27272727272725</v>
          </cell>
          <cell r="AE1503">
            <v>2500</v>
          </cell>
          <cell r="AG1503">
            <v>8090.9090909090901</v>
          </cell>
          <cell r="AH1503">
            <v>809.09090909090992</v>
          </cell>
          <cell r="AI1503">
            <v>8900</v>
          </cell>
          <cell r="AK1503">
            <v>5818.181818181818</v>
          </cell>
        </row>
        <row r="1504">
          <cell r="H1504">
            <v>87733172200</v>
          </cell>
          <cell r="I1504">
            <v>40372894</v>
          </cell>
          <cell r="J1504" t="str">
            <v/>
          </cell>
          <cell r="K1504" t="str">
            <v>-</v>
          </cell>
          <cell r="L1504">
            <v>14590</v>
          </cell>
          <cell r="M1504">
            <v>14590</v>
          </cell>
          <cell r="Q1504">
            <v>15560</v>
          </cell>
          <cell r="R1504">
            <v>87733172200</v>
          </cell>
          <cell r="Y1504" t="str">
            <v>힙스터 컬러 소프트그립 말랑 실리콘 핸드폰 케이스 갤럭시S23 네이비</v>
          </cell>
          <cell r="AC1504">
            <v>2272.7272727272725</v>
          </cell>
          <cell r="AD1504">
            <v>227.27272727272725</v>
          </cell>
          <cell r="AE1504">
            <v>2500</v>
          </cell>
          <cell r="AG1504">
            <v>8090.9090909090901</v>
          </cell>
          <cell r="AH1504">
            <v>809.09090909090992</v>
          </cell>
          <cell r="AI1504">
            <v>8900</v>
          </cell>
          <cell r="AK1504">
            <v>5818.181818181818</v>
          </cell>
        </row>
        <row r="1505">
          <cell r="H1505">
            <v>87733171625</v>
          </cell>
          <cell r="I1505">
            <v>40372833</v>
          </cell>
          <cell r="J1505" t="str">
            <v/>
          </cell>
          <cell r="K1505" t="str">
            <v>-</v>
          </cell>
          <cell r="L1505">
            <v>14590</v>
          </cell>
          <cell r="M1505">
            <v>14590</v>
          </cell>
          <cell r="Q1505">
            <v>15560</v>
          </cell>
          <cell r="R1505">
            <v>87733171625</v>
          </cell>
          <cell r="Y1505" t="str">
            <v>힙스터 컬러 소프트그립 말랑 실리콘 핸드폰 케이스 갤럭시S23 레드</v>
          </cell>
          <cell r="AC1505">
            <v>2272.7272727272725</v>
          </cell>
          <cell r="AD1505">
            <v>227.27272727272725</v>
          </cell>
          <cell r="AE1505">
            <v>2500</v>
          </cell>
          <cell r="AG1505">
            <v>8090.9090909090901</v>
          </cell>
          <cell r="AH1505">
            <v>809.09090909090992</v>
          </cell>
          <cell r="AI1505">
            <v>8900</v>
          </cell>
          <cell r="AK1505">
            <v>5818.181818181818</v>
          </cell>
        </row>
        <row r="1506">
          <cell r="H1506">
            <v>87733171561</v>
          </cell>
          <cell r="I1506">
            <v>40372830</v>
          </cell>
          <cell r="J1506" t="str">
            <v/>
          </cell>
          <cell r="K1506" t="str">
            <v>-</v>
          </cell>
          <cell r="L1506">
            <v>14590</v>
          </cell>
          <cell r="M1506">
            <v>14590</v>
          </cell>
          <cell r="Q1506">
            <v>15560</v>
          </cell>
          <cell r="R1506">
            <v>87733171561</v>
          </cell>
          <cell r="Y1506" t="str">
            <v>힙스터 컬러 소프트그립 말랑 실리콘 핸드폰 케이스 갤럭시S23 블랙</v>
          </cell>
          <cell r="AC1506">
            <v>2272.7272727272725</v>
          </cell>
          <cell r="AD1506">
            <v>227.27272727272725</v>
          </cell>
          <cell r="AE1506">
            <v>2500</v>
          </cell>
          <cell r="AG1506">
            <v>8090.9090909090901</v>
          </cell>
          <cell r="AH1506">
            <v>809.09090909090992</v>
          </cell>
          <cell r="AI1506">
            <v>8900</v>
          </cell>
          <cell r="AK1506">
            <v>5818.181818181818</v>
          </cell>
        </row>
        <row r="1507">
          <cell r="H1507">
            <v>87733171921</v>
          </cell>
          <cell r="I1507">
            <v>40372866</v>
          </cell>
          <cell r="J1507" t="str">
            <v/>
          </cell>
          <cell r="K1507" t="str">
            <v>-</v>
          </cell>
          <cell r="L1507">
            <v>14590</v>
          </cell>
          <cell r="M1507">
            <v>14590</v>
          </cell>
          <cell r="Q1507">
            <v>15560</v>
          </cell>
          <cell r="R1507">
            <v>87733171921</v>
          </cell>
          <cell r="Y1507" t="str">
            <v>힙스터 컬러 소프트그립 말랑 실리콘 핸드폰 케이스 갤럭시S23 옐로우</v>
          </cell>
          <cell r="AC1507">
            <v>2272.7272727272725</v>
          </cell>
          <cell r="AD1507">
            <v>227.27272727272725</v>
          </cell>
          <cell r="AE1507">
            <v>2500</v>
          </cell>
          <cell r="AG1507">
            <v>8090.9090909090901</v>
          </cell>
          <cell r="AH1507">
            <v>809.09090909090992</v>
          </cell>
          <cell r="AI1507">
            <v>8900</v>
          </cell>
          <cell r="AK1507">
            <v>5818.181818181818</v>
          </cell>
        </row>
        <row r="1508">
          <cell r="H1508">
            <v>87733171960</v>
          </cell>
          <cell r="I1508">
            <v>40372869</v>
          </cell>
          <cell r="J1508" t="str">
            <v/>
          </cell>
          <cell r="K1508" t="str">
            <v>-</v>
          </cell>
          <cell r="L1508">
            <v>14590</v>
          </cell>
          <cell r="M1508">
            <v>14590</v>
          </cell>
          <cell r="Q1508">
            <v>15560</v>
          </cell>
          <cell r="R1508">
            <v>87733171960</v>
          </cell>
          <cell r="Y1508" t="str">
            <v>힙스터 컬러 소프트그립 말랑 실리콘 핸드폰 케이스 갤럭시S23 핑크</v>
          </cell>
          <cell r="AC1508">
            <v>2272.7272727272725</v>
          </cell>
          <cell r="AD1508">
            <v>227.27272727272725</v>
          </cell>
          <cell r="AE1508">
            <v>2500</v>
          </cell>
          <cell r="AG1508">
            <v>8090.9090909090901</v>
          </cell>
          <cell r="AH1508">
            <v>809.09090909090992</v>
          </cell>
          <cell r="AI1508">
            <v>8900</v>
          </cell>
          <cell r="AK1508">
            <v>5818.181818181818</v>
          </cell>
        </row>
        <row r="1509">
          <cell r="H1509">
            <v>87733172523</v>
          </cell>
          <cell r="I1509">
            <v>40372921</v>
          </cell>
          <cell r="J1509" t="str">
            <v/>
          </cell>
          <cell r="K1509" t="str">
            <v>-</v>
          </cell>
          <cell r="L1509">
            <v>14590</v>
          </cell>
          <cell r="M1509">
            <v>14590</v>
          </cell>
          <cell r="Q1509">
            <v>15560</v>
          </cell>
          <cell r="R1509">
            <v>87733172523</v>
          </cell>
          <cell r="Y1509" t="str">
            <v>힙스터 컬러 소프트그립 말랑 실리콘 핸드폰 케이스 갤럭시S23울트라 그레이</v>
          </cell>
          <cell r="AC1509">
            <v>2272.7272727272725</v>
          </cell>
          <cell r="AD1509">
            <v>227.27272727272725</v>
          </cell>
          <cell r="AE1509">
            <v>2500</v>
          </cell>
          <cell r="AG1509">
            <v>8090.9090909090901</v>
          </cell>
          <cell r="AH1509">
            <v>809.09090909090992</v>
          </cell>
          <cell r="AI1509">
            <v>8900</v>
          </cell>
          <cell r="AK1509">
            <v>5818.181818181818</v>
          </cell>
        </row>
        <row r="1510">
          <cell r="H1510">
            <v>87733171693</v>
          </cell>
          <cell r="I1510">
            <v>40372845</v>
          </cell>
          <cell r="J1510" t="str">
            <v/>
          </cell>
          <cell r="K1510" t="str">
            <v>-</v>
          </cell>
          <cell r="L1510">
            <v>14590</v>
          </cell>
          <cell r="M1510">
            <v>14590</v>
          </cell>
          <cell r="Q1510">
            <v>15560</v>
          </cell>
          <cell r="R1510">
            <v>87733171693</v>
          </cell>
          <cell r="Y1510" t="str">
            <v>힙스터 컬러 소프트그립 말랑 실리콘 핸드폰 케이스 갤럭시S23울트라 그린</v>
          </cell>
          <cell r="AC1510">
            <v>2272.7272727272725</v>
          </cell>
          <cell r="AD1510">
            <v>227.27272727272725</v>
          </cell>
          <cell r="AE1510">
            <v>2500</v>
          </cell>
          <cell r="AG1510">
            <v>8090.9090909090901</v>
          </cell>
          <cell r="AH1510">
            <v>809.09090909090992</v>
          </cell>
          <cell r="AI1510">
            <v>8900</v>
          </cell>
          <cell r="AK1510">
            <v>5818.181818181818</v>
          </cell>
        </row>
        <row r="1511">
          <cell r="H1511">
            <v>87733171831</v>
          </cell>
          <cell r="I1511">
            <v>40372853</v>
          </cell>
          <cell r="J1511" t="str">
            <v/>
          </cell>
          <cell r="K1511" t="str">
            <v>-</v>
          </cell>
          <cell r="L1511">
            <v>14590</v>
          </cell>
          <cell r="M1511">
            <v>14590</v>
          </cell>
          <cell r="Q1511">
            <v>15560</v>
          </cell>
          <cell r="R1511">
            <v>87733171831</v>
          </cell>
          <cell r="Y1511" t="str">
            <v>힙스터 컬러 소프트그립 말랑 실리콘 핸드폰 케이스 갤럭시S23울트라 네이비</v>
          </cell>
          <cell r="AC1511">
            <v>2272.7272727272725</v>
          </cell>
          <cell r="AD1511">
            <v>227.27272727272725</v>
          </cell>
          <cell r="AE1511">
            <v>2500</v>
          </cell>
          <cell r="AG1511">
            <v>8090.9090909090901</v>
          </cell>
          <cell r="AH1511">
            <v>809.09090909090992</v>
          </cell>
          <cell r="AI1511">
            <v>8900</v>
          </cell>
          <cell r="AK1511">
            <v>5818.181818181818</v>
          </cell>
        </row>
        <row r="1512">
          <cell r="H1512">
            <v>87733172212</v>
          </cell>
          <cell r="I1512">
            <v>40372895</v>
          </cell>
          <cell r="J1512" t="str">
            <v/>
          </cell>
          <cell r="K1512" t="str">
            <v>-</v>
          </cell>
          <cell r="L1512">
            <v>14590</v>
          </cell>
          <cell r="M1512">
            <v>14590</v>
          </cell>
          <cell r="Q1512">
            <v>15560</v>
          </cell>
          <cell r="R1512">
            <v>87733172212</v>
          </cell>
          <cell r="Y1512" t="str">
            <v>힙스터 컬러 소프트그립 말랑 실리콘 핸드폰 케이스 갤럭시S23울트라 레드</v>
          </cell>
          <cell r="AC1512">
            <v>2272.7272727272725</v>
          </cell>
          <cell r="AD1512">
            <v>227.27272727272725</v>
          </cell>
          <cell r="AE1512">
            <v>2500</v>
          </cell>
          <cell r="AG1512">
            <v>8090.9090909090901</v>
          </cell>
          <cell r="AH1512">
            <v>809.09090909090992</v>
          </cell>
          <cell r="AI1512">
            <v>8900</v>
          </cell>
          <cell r="AK1512">
            <v>5818.181818181818</v>
          </cell>
        </row>
        <row r="1513">
          <cell r="H1513">
            <v>87733171849</v>
          </cell>
          <cell r="I1513">
            <v>40372854</v>
          </cell>
          <cell r="J1513" t="str">
            <v/>
          </cell>
          <cell r="K1513" t="str">
            <v>-</v>
          </cell>
          <cell r="L1513">
            <v>14590</v>
          </cell>
          <cell r="M1513">
            <v>14590</v>
          </cell>
          <cell r="Q1513">
            <v>15560</v>
          </cell>
          <cell r="R1513">
            <v>87733171849</v>
          </cell>
          <cell r="Y1513" t="str">
            <v>힙스터 컬러 소프트그립 말랑 실리콘 핸드폰 케이스 갤럭시S23울트라 블랙</v>
          </cell>
          <cell r="AC1513">
            <v>2272.7272727272725</v>
          </cell>
          <cell r="AD1513">
            <v>227.27272727272725</v>
          </cell>
          <cell r="AE1513">
            <v>2500</v>
          </cell>
          <cell r="AG1513">
            <v>8090.9090909090901</v>
          </cell>
          <cell r="AH1513">
            <v>809.09090909090992</v>
          </cell>
          <cell r="AI1513">
            <v>8900</v>
          </cell>
          <cell r="AK1513">
            <v>5818.181818181818</v>
          </cell>
        </row>
        <row r="1514">
          <cell r="H1514">
            <v>87733172282</v>
          </cell>
          <cell r="I1514">
            <v>40372900</v>
          </cell>
          <cell r="J1514" t="str">
            <v/>
          </cell>
          <cell r="K1514" t="str">
            <v>-</v>
          </cell>
          <cell r="L1514">
            <v>14590</v>
          </cell>
          <cell r="M1514">
            <v>14590</v>
          </cell>
          <cell r="Q1514">
            <v>15560</v>
          </cell>
          <cell r="R1514">
            <v>87733172282</v>
          </cell>
          <cell r="Y1514" t="str">
            <v>힙스터 컬러 소프트그립 말랑 실리콘 핸드폰 케이스 갤럭시S23울트라 핑크</v>
          </cell>
          <cell r="AC1514">
            <v>2272.7272727272725</v>
          </cell>
          <cell r="AD1514">
            <v>227.27272727272725</v>
          </cell>
          <cell r="AE1514">
            <v>2500</v>
          </cell>
          <cell r="AG1514">
            <v>8090.9090909090901</v>
          </cell>
          <cell r="AH1514">
            <v>809.09090909090992</v>
          </cell>
          <cell r="AI1514">
            <v>8900</v>
          </cell>
          <cell r="AK1514">
            <v>5818.181818181818</v>
          </cell>
        </row>
        <row r="1515">
          <cell r="H1515">
            <v>87733171738</v>
          </cell>
          <cell r="I1515">
            <v>40372849</v>
          </cell>
          <cell r="J1515" t="str">
            <v/>
          </cell>
          <cell r="K1515" t="str">
            <v>-</v>
          </cell>
          <cell r="L1515">
            <v>14590</v>
          </cell>
          <cell r="M1515">
            <v>14590</v>
          </cell>
          <cell r="Q1515">
            <v>15560</v>
          </cell>
          <cell r="R1515">
            <v>87733171738</v>
          </cell>
          <cell r="Y1515" t="str">
            <v>힙스터 컬러 소프트그립 말랑 실리콘 핸드폰 케이스 갤럭시S23플러스 그레이</v>
          </cell>
          <cell r="AC1515">
            <v>2272.7272727272725</v>
          </cell>
          <cell r="AD1515">
            <v>227.27272727272725</v>
          </cell>
          <cell r="AE1515">
            <v>2500</v>
          </cell>
          <cell r="AG1515">
            <v>8090.9090909090901</v>
          </cell>
          <cell r="AH1515">
            <v>809.09090909090992</v>
          </cell>
          <cell r="AI1515">
            <v>8900</v>
          </cell>
          <cell r="AK1515">
            <v>5818.181818181818</v>
          </cell>
        </row>
        <row r="1516">
          <cell r="H1516">
            <v>87733171986</v>
          </cell>
          <cell r="I1516">
            <v>40372871</v>
          </cell>
          <cell r="J1516" t="str">
            <v/>
          </cell>
          <cell r="K1516" t="str">
            <v>-</v>
          </cell>
          <cell r="L1516">
            <v>14590</v>
          </cell>
          <cell r="M1516">
            <v>14590</v>
          </cell>
          <cell r="Q1516">
            <v>15560</v>
          </cell>
          <cell r="R1516">
            <v>87733171986</v>
          </cell>
          <cell r="Y1516" t="str">
            <v>힙스터 컬러 소프트그립 말랑 실리콘 핸드폰 케이스 갤럭시S23플러스 그린</v>
          </cell>
          <cell r="AC1516">
            <v>2272.7272727272725</v>
          </cell>
          <cell r="AD1516">
            <v>227.27272727272725</v>
          </cell>
          <cell r="AE1516">
            <v>2500</v>
          </cell>
          <cell r="AG1516">
            <v>8090.9090909090901</v>
          </cell>
          <cell r="AH1516">
            <v>809.09090909090992</v>
          </cell>
          <cell r="AI1516">
            <v>8900</v>
          </cell>
          <cell r="AK1516">
            <v>5818.181818181818</v>
          </cell>
        </row>
        <row r="1517">
          <cell r="H1517">
            <v>87733172321</v>
          </cell>
          <cell r="I1517">
            <v>40372901</v>
          </cell>
          <cell r="J1517" t="str">
            <v/>
          </cell>
          <cell r="K1517" t="str">
            <v>-</v>
          </cell>
          <cell r="L1517">
            <v>14590</v>
          </cell>
          <cell r="M1517">
            <v>14590</v>
          </cell>
          <cell r="Q1517">
            <v>15560</v>
          </cell>
          <cell r="R1517">
            <v>87733172321</v>
          </cell>
          <cell r="Y1517" t="str">
            <v>힙스터 컬러 소프트그립 말랑 실리콘 핸드폰 케이스 갤럭시S23플러스 네이비</v>
          </cell>
          <cell r="AC1517">
            <v>2272.7272727272725</v>
          </cell>
          <cell r="AD1517">
            <v>227.27272727272725</v>
          </cell>
          <cell r="AE1517">
            <v>2500</v>
          </cell>
          <cell r="AG1517">
            <v>8090.9090909090901</v>
          </cell>
          <cell r="AH1517">
            <v>809.09090909090992</v>
          </cell>
          <cell r="AI1517">
            <v>8900</v>
          </cell>
          <cell r="AK1517">
            <v>5818.181818181818</v>
          </cell>
        </row>
        <row r="1518">
          <cell r="H1518">
            <v>87733171417</v>
          </cell>
          <cell r="I1518">
            <v>40372818</v>
          </cell>
          <cell r="J1518" t="str">
            <v/>
          </cell>
          <cell r="K1518" t="str">
            <v>-</v>
          </cell>
          <cell r="L1518">
            <v>14590</v>
          </cell>
          <cell r="M1518">
            <v>14590</v>
          </cell>
          <cell r="Q1518">
            <v>15560</v>
          </cell>
          <cell r="R1518">
            <v>87733171417</v>
          </cell>
          <cell r="Y1518" t="str">
            <v>힙스터 컬러 소프트그립 말랑 실리콘 핸드폰 케이스 갤럭시S23플러스 레드</v>
          </cell>
          <cell r="AC1518">
            <v>2272.7272727272725</v>
          </cell>
          <cell r="AD1518">
            <v>227.27272727272725</v>
          </cell>
          <cell r="AE1518">
            <v>2500</v>
          </cell>
          <cell r="AG1518">
            <v>8090.9090909090901</v>
          </cell>
          <cell r="AH1518">
            <v>809.09090909090992</v>
          </cell>
          <cell r="AI1518">
            <v>8900</v>
          </cell>
          <cell r="AK1518">
            <v>5818.181818181818</v>
          </cell>
        </row>
        <row r="1519">
          <cell r="H1519">
            <v>87733172390</v>
          </cell>
          <cell r="I1519">
            <v>40372909</v>
          </cell>
          <cell r="J1519" t="str">
            <v/>
          </cell>
          <cell r="K1519" t="str">
            <v>-</v>
          </cell>
          <cell r="L1519">
            <v>14590</v>
          </cell>
          <cell r="M1519">
            <v>14590</v>
          </cell>
          <cell r="Q1519">
            <v>15560</v>
          </cell>
          <cell r="R1519">
            <v>87733172390</v>
          </cell>
          <cell r="Y1519" t="str">
            <v>힙스터 컬러 소프트그립 말랑 실리콘 핸드폰 케이스 갤럭시S23플러스 블랙</v>
          </cell>
          <cell r="AC1519">
            <v>2272.7272727272725</v>
          </cell>
          <cell r="AD1519">
            <v>227.27272727272725</v>
          </cell>
          <cell r="AE1519">
            <v>2500</v>
          </cell>
          <cell r="AG1519">
            <v>8090.9090909090901</v>
          </cell>
          <cell r="AH1519">
            <v>809.09090909090992</v>
          </cell>
          <cell r="AI1519">
            <v>8900</v>
          </cell>
          <cell r="AK1519">
            <v>5818.181818181818</v>
          </cell>
        </row>
        <row r="1520">
          <cell r="H1520">
            <v>87733171379</v>
          </cell>
          <cell r="I1520">
            <v>40372814</v>
          </cell>
          <cell r="J1520" t="str">
            <v/>
          </cell>
          <cell r="K1520" t="str">
            <v>-</v>
          </cell>
          <cell r="L1520">
            <v>14590</v>
          </cell>
          <cell r="M1520">
            <v>14590</v>
          </cell>
          <cell r="Q1520">
            <v>15560</v>
          </cell>
          <cell r="R1520">
            <v>87733171379</v>
          </cell>
          <cell r="Y1520" t="str">
            <v>힙스터 컬러 소프트그립 말랑 실리콘 핸드폰 케이스 갤럭시S23플러스 옐로우</v>
          </cell>
          <cell r="AC1520">
            <v>2272.7272727272725</v>
          </cell>
          <cell r="AD1520">
            <v>227.27272727272725</v>
          </cell>
          <cell r="AE1520">
            <v>2500</v>
          </cell>
          <cell r="AG1520">
            <v>8090.9090909090901</v>
          </cell>
          <cell r="AH1520">
            <v>809.09090909090992</v>
          </cell>
          <cell r="AI1520">
            <v>8900</v>
          </cell>
          <cell r="AK1520">
            <v>5818.181818181818</v>
          </cell>
        </row>
        <row r="1521">
          <cell r="H1521">
            <v>87733172241</v>
          </cell>
          <cell r="I1521">
            <v>40372897</v>
          </cell>
          <cell r="J1521" t="str">
            <v/>
          </cell>
          <cell r="K1521" t="str">
            <v>-</v>
          </cell>
          <cell r="L1521">
            <v>14590</v>
          </cell>
          <cell r="M1521">
            <v>14590</v>
          </cell>
          <cell r="Q1521">
            <v>15560</v>
          </cell>
          <cell r="R1521">
            <v>87733172241</v>
          </cell>
          <cell r="Y1521" t="str">
            <v>힙스터 컬러 소프트그립 말랑 실리콘 핸드폰 케이스 갤럭시S23플러스 핑크</v>
          </cell>
          <cell r="AC1521">
            <v>2272.7272727272725</v>
          </cell>
          <cell r="AD1521">
            <v>227.27272727272725</v>
          </cell>
          <cell r="AE1521">
            <v>2500</v>
          </cell>
          <cell r="AG1521">
            <v>8090.9090909090901</v>
          </cell>
          <cell r="AH1521">
            <v>809.09090909090992</v>
          </cell>
          <cell r="AI1521">
            <v>8900</v>
          </cell>
          <cell r="AK1521">
            <v>5818.181818181818</v>
          </cell>
        </row>
        <row r="1522">
          <cell r="H1522">
            <v>87733171907</v>
          </cell>
          <cell r="I1522">
            <v>40372865</v>
          </cell>
          <cell r="J1522" t="str">
            <v/>
          </cell>
          <cell r="K1522" t="str">
            <v>-</v>
          </cell>
          <cell r="L1522">
            <v>14590</v>
          </cell>
          <cell r="M1522">
            <v>14590</v>
          </cell>
          <cell r="Q1522">
            <v>15560</v>
          </cell>
          <cell r="R1522">
            <v>87733171907</v>
          </cell>
          <cell r="Y1522" t="str">
            <v>힙스터 컬러 소프트그립 말랑 실리콘 핸드폰 케이스 아이폰13 핑크</v>
          </cell>
          <cell r="AC1522">
            <v>2272.7272727272725</v>
          </cell>
          <cell r="AD1522">
            <v>227.27272727272725</v>
          </cell>
          <cell r="AE1522">
            <v>2500</v>
          </cell>
          <cell r="AG1522">
            <v>8090.9090909090901</v>
          </cell>
          <cell r="AH1522">
            <v>809.09090909090992</v>
          </cell>
          <cell r="AI1522">
            <v>8900</v>
          </cell>
          <cell r="AK1522">
            <v>5818.181818181818</v>
          </cell>
        </row>
        <row r="1523">
          <cell r="H1523">
            <v>87733172078</v>
          </cell>
          <cell r="I1523">
            <v>40372880</v>
          </cell>
          <cell r="J1523" t="str">
            <v/>
          </cell>
          <cell r="K1523" t="str">
            <v>-</v>
          </cell>
          <cell r="L1523">
            <v>14590</v>
          </cell>
          <cell r="M1523">
            <v>14590</v>
          </cell>
          <cell r="Q1523">
            <v>15560</v>
          </cell>
          <cell r="R1523">
            <v>87733172078</v>
          </cell>
          <cell r="Y1523" t="str">
            <v>힙스터 컬러 소프트그립 말랑 실리콘 핸드폰 케이스 아이폰13미니 핑크</v>
          </cell>
          <cell r="AC1523">
            <v>2272.7272727272725</v>
          </cell>
          <cell r="AD1523">
            <v>227.27272727272725</v>
          </cell>
          <cell r="AE1523">
            <v>2500</v>
          </cell>
          <cell r="AG1523">
            <v>8090.9090909090901</v>
          </cell>
          <cell r="AH1523">
            <v>809.09090909090992</v>
          </cell>
          <cell r="AI1523">
            <v>8900</v>
          </cell>
          <cell r="AK1523">
            <v>5818.181818181818</v>
          </cell>
        </row>
        <row r="1524">
          <cell r="H1524">
            <v>87733171435</v>
          </cell>
          <cell r="I1524">
            <v>40372822</v>
          </cell>
          <cell r="J1524" t="str">
            <v/>
          </cell>
          <cell r="K1524" t="str">
            <v>-</v>
          </cell>
          <cell r="L1524">
            <v>14590</v>
          </cell>
          <cell r="M1524">
            <v>14590</v>
          </cell>
          <cell r="Q1524">
            <v>15560</v>
          </cell>
          <cell r="R1524">
            <v>87733171435</v>
          </cell>
          <cell r="Y1524" t="str">
            <v>힙스터 컬러 소프트그립 말랑 실리콘 핸드폰 케이스 아이폰13프로 핑크</v>
          </cell>
          <cell r="AC1524">
            <v>2272.7272727272725</v>
          </cell>
          <cell r="AD1524">
            <v>227.27272727272725</v>
          </cell>
          <cell r="AE1524">
            <v>2500</v>
          </cell>
          <cell r="AG1524">
            <v>8090.9090909090901</v>
          </cell>
          <cell r="AH1524">
            <v>809.09090909090992</v>
          </cell>
          <cell r="AI1524">
            <v>8900</v>
          </cell>
          <cell r="AK1524">
            <v>5818.181818181818</v>
          </cell>
        </row>
        <row r="1525">
          <cell r="H1525">
            <v>87733172160</v>
          </cell>
          <cell r="I1525">
            <v>40372890</v>
          </cell>
          <cell r="J1525" t="str">
            <v/>
          </cell>
          <cell r="K1525" t="str">
            <v>-</v>
          </cell>
          <cell r="L1525">
            <v>14590</v>
          </cell>
          <cell r="M1525">
            <v>14590</v>
          </cell>
          <cell r="Q1525">
            <v>15560</v>
          </cell>
          <cell r="R1525">
            <v>87733172160</v>
          </cell>
          <cell r="Y1525" t="str">
            <v>힙스터 컬러 소프트그립 말랑 실리콘 핸드폰 케이스 아이폰13프로맥스 핑크</v>
          </cell>
          <cell r="AC1525">
            <v>2272.7272727272725</v>
          </cell>
          <cell r="AD1525">
            <v>227.27272727272725</v>
          </cell>
          <cell r="AE1525">
            <v>2500</v>
          </cell>
          <cell r="AG1525">
            <v>8090.9090909090901</v>
          </cell>
          <cell r="AH1525">
            <v>809.09090909090992</v>
          </cell>
          <cell r="AI1525">
            <v>8900</v>
          </cell>
          <cell r="AK1525">
            <v>5818.181818181818</v>
          </cell>
        </row>
        <row r="1526">
          <cell r="H1526">
            <v>87733171661</v>
          </cell>
          <cell r="I1526">
            <v>40372838</v>
          </cell>
          <cell r="J1526" t="str">
            <v/>
          </cell>
          <cell r="K1526" t="str">
            <v>-</v>
          </cell>
          <cell r="L1526">
            <v>14590</v>
          </cell>
          <cell r="M1526">
            <v>14590</v>
          </cell>
          <cell r="Q1526">
            <v>15560</v>
          </cell>
          <cell r="R1526">
            <v>87733171661</v>
          </cell>
          <cell r="Y1526" t="str">
            <v>힙스터 컬러 소프트그립 말랑 실리콘 핸드폰 케이스 아이폰14 그레이</v>
          </cell>
          <cell r="AC1526">
            <v>2272.7272727272725</v>
          </cell>
          <cell r="AD1526">
            <v>227.27272727272725</v>
          </cell>
          <cell r="AE1526">
            <v>2500</v>
          </cell>
          <cell r="AG1526">
            <v>8090.9090909090901</v>
          </cell>
          <cell r="AH1526">
            <v>809.09090909090992</v>
          </cell>
          <cell r="AI1526">
            <v>8900</v>
          </cell>
          <cell r="AK1526">
            <v>5818.181818181818</v>
          </cell>
        </row>
        <row r="1527">
          <cell r="H1527">
            <v>87733172414</v>
          </cell>
          <cell r="I1527">
            <v>40372911</v>
          </cell>
          <cell r="J1527" t="str">
            <v/>
          </cell>
          <cell r="K1527" t="str">
            <v>-</v>
          </cell>
          <cell r="L1527">
            <v>14590</v>
          </cell>
          <cell r="M1527">
            <v>14590</v>
          </cell>
          <cell r="Q1527">
            <v>15560</v>
          </cell>
          <cell r="R1527">
            <v>87733172414</v>
          </cell>
          <cell r="Y1527" t="str">
            <v>힙스터 컬러 소프트그립 말랑 실리콘 핸드폰 케이스 아이폰14 그린</v>
          </cell>
          <cell r="AC1527">
            <v>2272.7272727272725</v>
          </cell>
          <cell r="AD1527">
            <v>227.27272727272725</v>
          </cell>
          <cell r="AE1527">
            <v>2500</v>
          </cell>
          <cell r="AG1527">
            <v>8090.9090909090901</v>
          </cell>
          <cell r="AH1527">
            <v>809.09090909090992</v>
          </cell>
          <cell r="AI1527">
            <v>8900</v>
          </cell>
          <cell r="AK1527">
            <v>5818.181818181818</v>
          </cell>
        </row>
        <row r="1528">
          <cell r="H1528">
            <v>87733171799</v>
          </cell>
          <cell r="I1528">
            <v>40372851</v>
          </cell>
          <cell r="J1528" t="str">
            <v/>
          </cell>
          <cell r="K1528" t="str">
            <v>-</v>
          </cell>
          <cell r="L1528">
            <v>14590</v>
          </cell>
          <cell r="M1528">
            <v>14590</v>
          </cell>
          <cell r="Q1528">
            <v>15560</v>
          </cell>
          <cell r="R1528">
            <v>87733171799</v>
          </cell>
          <cell r="Y1528" t="str">
            <v>힙스터 컬러 소프트그립 말랑 실리콘 핸드폰 케이스 아이폰14 네이비</v>
          </cell>
          <cell r="AC1528">
            <v>2272.7272727272725</v>
          </cell>
          <cell r="AD1528">
            <v>227.27272727272725</v>
          </cell>
          <cell r="AE1528">
            <v>2500</v>
          </cell>
          <cell r="AG1528">
            <v>8090.9090909090901</v>
          </cell>
          <cell r="AH1528">
            <v>809.09090909090992</v>
          </cell>
          <cell r="AI1528">
            <v>8900</v>
          </cell>
          <cell r="AK1528">
            <v>5818.181818181818</v>
          </cell>
        </row>
        <row r="1529">
          <cell r="H1529">
            <v>87733171522</v>
          </cell>
          <cell r="I1529">
            <v>40372828</v>
          </cell>
          <cell r="J1529" t="str">
            <v/>
          </cell>
          <cell r="K1529" t="str">
            <v>-</v>
          </cell>
          <cell r="L1529">
            <v>14590</v>
          </cell>
          <cell r="M1529">
            <v>14590</v>
          </cell>
          <cell r="Q1529">
            <v>15560</v>
          </cell>
          <cell r="R1529">
            <v>87733171522</v>
          </cell>
          <cell r="Y1529" t="str">
            <v>힙스터 컬러 소프트그립 말랑 실리콘 핸드폰 케이스 아이폰14 레드</v>
          </cell>
          <cell r="AC1529">
            <v>2272.7272727272725</v>
          </cell>
          <cell r="AD1529">
            <v>227.27272727272725</v>
          </cell>
          <cell r="AE1529">
            <v>2500</v>
          </cell>
          <cell r="AG1529">
            <v>8090.9090909090901</v>
          </cell>
          <cell r="AH1529">
            <v>809.09090909090992</v>
          </cell>
          <cell r="AI1529">
            <v>8900</v>
          </cell>
          <cell r="AK1529">
            <v>5818.181818181818</v>
          </cell>
        </row>
        <row r="1530">
          <cell r="H1530">
            <v>87733171585</v>
          </cell>
          <cell r="I1530">
            <v>40372831</v>
          </cell>
          <cell r="J1530" t="str">
            <v/>
          </cell>
          <cell r="K1530" t="str">
            <v>-</v>
          </cell>
          <cell r="L1530">
            <v>14590</v>
          </cell>
          <cell r="M1530">
            <v>14590</v>
          </cell>
          <cell r="Q1530">
            <v>15560</v>
          </cell>
          <cell r="R1530">
            <v>87733171585</v>
          </cell>
          <cell r="Y1530" t="str">
            <v>힙스터 컬러 소프트그립 말랑 실리콘 핸드폰 케이스 아이폰14 블랙</v>
          </cell>
          <cell r="AC1530">
            <v>2272.7272727272725</v>
          </cell>
          <cell r="AD1530">
            <v>227.27272727272725</v>
          </cell>
          <cell r="AE1530">
            <v>2500</v>
          </cell>
          <cell r="AG1530">
            <v>8090.9090909090901</v>
          </cell>
          <cell r="AH1530">
            <v>809.09090909090992</v>
          </cell>
          <cell r="AI1530">
            <v>8900</v>
          </cell>
          <cell r="AK1530">
            <v>5818.181818181818</v>
          </cell>
        </row>
        <row r="1531">
          <cell r="H1531">
            <v>87733171450</v>
          </cell>
          <cell r="I1531">
            <v>40372823</v>
          </cell>
          <cell r="J1531" t="str">
            <v/>
          </cell>
          <cell r="K1531" t="str">
            <v>-</v>
          </cell>
          <cell r="L1531">
            <v>14590</v>
          </cell>
          <cell r="M1531">
            <v>14590</v>
          </cell>
          <cell r="Q1531">
            <v>15560</v>
          </cell>
          <cell r="R1531">
            <v>87733171450</v>
          </cell>
          <cell r="Y1531" t="str">
            <v>힙스터 컬러 소프트그립 말랑 실리콘 핸드폰 케이스 아이폰14 옐로우</v>
          </cell>
          <cell r="AC1531">
            <v>2272.7272727272725</v>
          </cell>
          <cell r="AD1531">
            <v>227.27272727272725</v>
          </cell>
          <cell r="AE1531">
            <v>2500</v>
          </cell>
          <cell r="AG1531">
            <v>8090.9090909090901</v>
          </cell>
          <cell r="AH1531">
            <v>809.09090909090992</v>
          </cell>
          <cell r="AI1531">
            <v>8900</v>
          </cell>
          <cell r="AK1531">
            <v>5818.181818181818</v>
          </cell>
        </row>
        <row r="1532">
          <cell r="H1532">
            <v>87733172174</v>
          </cell>
          <cell r="I1532">
            <v>40372891</v>
          </cell>
          <cell r="J1532" t="str">
            <v/>
          </cell>
          <cell r="K1532" t="str">
            <v>-</v>
          </cell>
          <cell r="L1532">
            <v>14590</v>
          </cell>
          <cell r="M1532">
            <v>14590</v>
          </cell>
          <cell r="Q1532">
            <v>15560</v>
          </cell>
          <cell r="R1532">
            <v>87733172174</v>
          </cell>
          <cell r="Y1532" t="str">
            <v>힙스터 컬러 소프트그립 말랑 실리콘 핸드폰 케이스 아이폰14 핑크</v>
          </cell>
          <cell r="AC1532">
            <v>2272.7272727272725</v>
          </cell>
          <cell r="AD1532">
            <v>227.27272727272725</v>
          </cell>
          <cell r="AE1532">
            <v>2500</v>
          </cell>
          <cell r="AG1532">
            <v>8090.9090909090901</v>
          </cell>
          <cell r="AH1532">
            <v>809.09090909090992</v>
          </cell>
          <cell r="AI1532">
            <v>8900</v>
          </cell>
          <cell r="AK1532">
            <v>5818.181818181818</v>
          </cell>
        </row>
        <row r="1533">
          <cell r="H1533">
            <v>87733171881</v>
          </cell>
          <cell r="I1533">
            <v>40372862</v>
          </cell>
          <cell r="J1533" t="str">
            <v/>
          </cell>
          <cell r="K1533" t="str">
            <v>-</v>
          </cell>
          <cell r="L1533">
            <v>14590</v>
          </cell>
          <cell r="M1533">
            <v>14590</v>
          </cell>
          <cell r="Q1533">
            <v>15560</v>
          </cell>
          <cell r="R1533">
            <v>87733171881</v>
          </cell>
          <cell r="Y1533" t="str">
            <v>힙스터 컬러 소프트그립 말랑 실리콘 핸드폰 케이스 아이폰14프로 그레이</v>
          </cell>
          <cell r="AC1533">
            <v>2272.7272727272725</v>
          </cell>
          <cell r="AD1533">
            <v>227.27272727272725</v>
          </cell>
          <cell r="AE1533">
            <v>2500</v>
          </cell>
          <cell r="AG1533">
            <v>8090.9090909090901</v>
          </cell>
          <cell r="AH1533">
            <v>809.09090909090992</v>
          </cell>
          <cell r="AI1533">
            <v>8900</v>
          </cell>
          <cell r="AK1533">
            <v>5818.181818181818</v>
          </cell>
        </row>
        <row r="1534">
          <cell r="H1534">
            <v>87733172107</v>
          </cell>
          <cell r="I1534">
            <v>40372883</v>
          </cell>
          <cell r="J1534" t="str">
            <v/>
          </cell>
          <cell r="K1534" t="str">
            <v>-</v>
          </cell>
          <cell r="L1534">
            <v>14590</v>
          </cell>
          <cell r="M1534">
            <v>14590</v>
          </cell>
          <cell r="Q1534">
            <v>15560</v>
          </cell>
          <cell r="R1534">
            <v>87733172107</v>
          </cell>
          <cell r="Y1534" t="str">
            <v>힙스터 컬러 소프트그립 말랑 실리콘 핸드폰 케이스 아이폰14프로 그린</v>
          </cell>
          <cell r="AC1534">
            <v>2272.7272727272725</v>
          </cell>
          <cell r="AD1534">
            <v>227.27272727272725</v>
          </cell>
          <cell r="AE1534">
            <v>2500</v>
          </cell>
          <cell r="AG1534">
            <v>8090.9090909090901</v>
          </cell>
          <cell r="AH1534">
            <v>809.09090909090992</v>
          </cell>
          <cell r="AI1534">
            <v>8900</v>
          </cell>
          <cell r="AK1534">
            <v>5818.181818181818</v>
          </cell>
        </row>
        <row r="1535">
          <cell r="H1535">
            <v>87733172258</v>
          </cell>
          <cell r="I1535">
            <v>40372898</v>
          </cell>
          <cell r="J1535" t="str">
            <v/>
          </cell>
          <cell r="K1535" t="str">
            <v>-</v>
          </cell>
          <cell r="L1535">
            <v>14590</v>
          </cell>
          <cell r="M1535">
            <v>14590</v>
          </cell>
          <cell r="Q1535">
            <v>15560</v>
          </cell>
          <cell r="R1535">
            <v>87733172258</v>
          </cell>
          <cell r="Y1535" t="str">
            <v>힙스터 컬러 소프트그립 말랑 실리콘 핸드폰 케이스 아이폰14프로 네이비</v>
          </cell>
          <cell r="AC1535">
            <v>2272.7272727272725</v>
          </cell>
          <cell r="AD1535">
            <v>227.27272727272725</v>
          </cell>
          <cell r="AE1535">
            <v>2500</v>
          </cell>
          <cell r="AG1535">
            <v>8090.9090909090901</v>
          </cell>
          <cell r="AH1535">
            <v>809.09090909090992</v>
          </cell>
          <cell r="AI1535">
            <v>8900</v>
          </cell>
          <cell r="AK1535">
            <v>5818.181818181818</v>
          </cell>
        </row>
        <row r="1536">
          <cell r="H1536">
            <v>87733172482</v>
          </cell>
          <cell r="I1536">
            <v>40372918</v>
          </cell>
          <cell r="J1536" t="str">
            <v/>
          </cell>
          <cell r="K1536" t="str">
            <v>-</v>
          </cell>
          <cell r="L1536">
            <v>14590</v>
          </cell>
          <cell r="M1536">
            <v>14590</v>
          </cell>
          <cell r="Q1536">
            <v>15560</v>
          </cell>
          <cell r="R1536">
            <v>87733172482</v>
          </cell>
          <cell r="Y1536" t="str">
            <v>힙스터 컬러 소프트그립 말랑 실리콘 핸드폰 케이스 아이폰14프로 레드</v>
          </cell>
          <cell r="AC1536">
            <v>2272.7272727272725</v>
          </cell>
          <cell r="AD1536">
            <v>227.27272727272725</v>
          </cell>
          <cell r="AE1536">
            <v>2500</v>
          </cell>
          <cell r="AG1536">
            <v>8090.9090909090901</v>
          </cell>
          <cell r="AH1536">
            <v>809.09090909090992</v>
          </cell>
          <cell r="AI1536">
            <v>8900</v>
          </cell>
          <cell r="AK1536">
            <v>5818.181818181818</v>
          </cell>
        </row>
        <row r="1537">
          <cell r="H1537">
            <v>87733172510</v>
          </cell>
          <cell r="I1537">
            <v>40372920</v>
          </cell>
          <cell r="J1537" t="str">
            <v/>
          </cell>
          <cell r="K1537" t="str">
            <v>-</v>
          </cell>
          <cell r="L1537">
            <v>14590</v>
          </cell>
          <cell r="M1537">
            <v>14590</v>
          </cell>
          <cell r="Q1537">
            <v>15560</v>
          </cell>
          <cell r="R1537">
            <v>87733172510</v>
          </cell>
          <cell r="Y1537" t="str">
            <v>힙스터 컬러 소프트그립 말랑 실리콘 핸드폰 케이스 아이폰14프로 블랙</v>
          </cell>
          <cell r="AC1537">
            <v>2272.7272727272725</v>
          </cell>
          <cell r="AD1537">
            <v>227.27272727272725</v>
          </cell>
          <cell r="AE1537">
            <v>2500</v>
          </cell>
          <cell r="AG1537">
            <v>8090.9090909090901</v>
          </cell>
          <cell r="AH1537">
            <v>809.09090909090992</v>
          </cell>
          <cell r="AI1537">
            <v>8900</v>
          </cell>
          <cell r="AK1537">
            <v>5818.181818181818</v>
          </cell>
        </row>
        <row r="1538">
          <cell r="H1538">
            <v>87733171541</v>
          </cell>
          <cell r="I1538">
            <v>40372829</v>
          </cell>
          <cell r="J1538" t="str">
            <v/>
          </cell>
          <cell r="K1538" t="str">
            <v>-</v>
          </cell>
          <cell r="L1538">
            <v>14590</v>
          </cell>
          <cell r="M1538">
            <v>14590</v>
          </cell>
          <cell r="Q1538">
            <v>15560</v>
          </cell>
          <cell r="R1538">
            <v>87733171541</v>
          </cell>
          <cell r="Y1538" t="str">
            <v>힙스터 컬러 소프트그립 말랑 실리콘 핸드폰 케이스 아이폰14프로 핑크</v>
          </cell>
          <cell r="AC1538">
            <v>2272.7272727272725</v>
          </cell>
          <cell r="AD1538">
            <v>227.27272727272725</v>
          </cell>
          <cell r="AE1538">
            <v>2500</v>
          </cell>
          <cell r="AG1538">
            <v>8090.9090909090901</v>
          </cell>
          <cell r="AH1538">
            <v>809.09090909090992</v>
          </cell>
          <cell r="AI1538">
            <v>8900</v>
          </cell>
          <cell r="AK1538">
            <v>5818.181818181818</v>
          </cell>
        </row>
        <row r="1539">
          <cell r="H1539">
            <v>87733172367</v>
          </cell>
          <cell r="I1539">
            <v>40372906</v>
          </cell>
          <cell r="J1539" t="str">
            <v/>
          </cell>
          <cell r="K1539" t="str">
            <v>-</v>
          </cell>
          <cell r="L1539">
            <v>14590</v>
          </cell>
          <cell r="M1539">
            <v>14590</v>
          </cell>
          <cell r="Q1539">
            <v>15560</v>
          </cell>
          <cell r="R1539">
            <v>87733172367</v>
          </cell>
          <cell r="Y1539" t="str">
            <v>힙스터 컬러 소프트그립 말랑 실리콘 핸드폰 케이스 아이폰14프로맥스 그레이</v>
          </cell>
          <cell r="AC1539">
            <v>2272.7272727272725</v>
          </cell>
          <cell r="AD1539">
            <v>227.27272727272725</v>
          </cell>
          <cell r="AE1539">
            <v>2500</v>
          </cell>
          <cell r="AG1539">
            <v>8090.9090909090901</v>
          </cell>
          <cell r="AH1539">
            <v>809.09090909090992</v>
          </cell>
          <cell r="AI1539">
            <v>8900</v>
          </cell>
          <cell r="AK1539">
            <v>5818.181818181818</v>
          </cell>
        </row>
        <row r="1540">
          <cell r="H1540">
            <v>87733172330</v>
          </cell>
          <cell r="I1540">
            <v>40372902</v>
          </cell>
          <cell r="J1540" t="str">
            <v/>
          </cell>
          <cell r="K1540" t="str">
            <v>-</v>
          </cell>
          <cell r="L1540">
            <v>14590</v>
          </cell>
          <cell r="M1540">
            <v>14590</v>
          </cell>
          <cell r="Q1540">
            <v>15560</v>
          </cell>
          <cell r="R1540">
            <v>87733172330</v>
          </cell>
          <cell r="Y1540" t="str">
            <v>힙스터 컬러 소프트그립 말랑 실리콘 핸드폰 케이스 아이폰14프로맥스 그린</v>
          </cell>
          <cell r="AC1540">
            <v>2272.7272727272725</v>
          </cell>
          <cell r="AD1540">
            <v>227.27272727272725</v>
          </cell>
          <cell r="AE1540">
            <v>2500</v>
          </cell>
          <cell r="AG1540">
            <v>8090.9090909090901</v>
          </cell>
          <cell r="AH1540">
            <v>809.09090909090992</v>
          </cell>
          <cell r="AI1540">
            <v>8900</v>
          </cell>
          <cell r="AK1540">
            <v>5818.181818181818</v>
          </cell>
        </row>
        <row r="1541">
          <cell r="H1541">
            <v>87733171351</v>
          </cell>
          <cell r="I1541">
            <v>40372810</v>
          </cell>
          <cell r="J1541" t="str">
            <v/>
          </cell>
          <cell r="K1541" t="str">
            <v>-</v>
          </cell>
          <cell r="L1541">
            <v>14590</v>
          </cell>
          <cell r="M1541">
            <v>14590</v>
          </cell>
          <cell r="Q1541">
            <v>15560</v>
          </cell>
          <cell r="R1541">
            <v>87733171351</v>
          </cell>
          <cell r="Y1541" t="str">
            <v>힙스터 컬러 소프트그립 말랑 실리콘 핸드폰 케이스 아이폰14프로맥스 네이비</v>
          </cell>
          <cell r="AC1541">
            <v>2272.7272727272725</v>
          </cell>
          <cell r="AD1541">
            <v>227.27272727272725</v>
          </cell>
          <cell r="AE1541">
            <v>2500</v>
          </cell>
          <cell r="AG1541">
            <v>8090.9090909090901</v>
          </cell>
          <cell r="AH1541">
            <v>809.09090909090992</v>
          </cell>
          <cell r="AI1541">
            <v>8900</v>
          </cell>
          <cell r="AK1541">
            <v>5818.181818181818</v>
          </cell>
        </row>
        <row r="1542">
          <cell r="H1542">
            <v>87733172420</v>
          </cell>
          <cell r="I1542">
            <v>40372912</v>
          </cell>
          <cell r="J1542" t="str">
            <v/>
          </cell>
          <cell r="K1542" t="str">
            <v>-</v>
          </cell>
          <cell r="L1542">
            <v>14590</v>
          </cell>
          <cell r="M1542">
            <v>14590</v>
          </cell>
          <cell r="Q1542">
            <v>15560</v>
          </cell>
          <cell r="R1542">
            <v>87733172420</v>
          </cell>
          <cell r="Y1542" t="str">
            <v>힙스터 컬러 소프트그립 말랑 실리콘 핸드폰 케이스 아이폰14프로맥스 레드</v>
          </cell>
          <cell r="AC1542">
            <v>2272.7272727272725</v>
          </cell>
          <cell r="AD1542">
            <v>227.27272727272725</v>
          </cell>
          <cell r="AE1542">
            <v>2500</v>
          </cell>
          <cell r="AG1542">
            <v>8090.9090909090901</v>
          </cell>
          <cell r="AH1542">
            <v>809.09090909090992</v>
          </cell>
          <cell r="AI1542">
            <v>8900</v>
          </cell>
          <cell r="AK1542">
            <v>5818.181818181818</v>
          </cell>
        </row>
        <row r="1543">
          <cell r="H1543">
            <v>87733172376</v>
          </cell>
          <cell r="I1543">
            <v>40372907</v>
          </cell>
          <cell r="J1543" t="str">
            <v/>
          </cell>
          <cell r="K1543" t="str">
            <v>-</v>
          </cell>
          <cell r="L1543">
            <v>14590</v>
          </cell>
          <cell r="M1543">
            <v>14590</v>
          </cell>
          <cell r="Q1543">
            <v>15560</v>
          </cell>
          <cell r="R1543">
            <v>87733172376</v>
          </cell>
          <cell r="Y1543" t="str">
            <v>힙스터 컬러 소프트그립 말랑 실리콘 핸드폰 케이스 아이폰14프로맥스 블랙</v>
          </cell>
          <cell r="AC1543">
            <v>2272.7272727272725</v>
          </cell>
          <cell r="AD1543">
            <v>227.27272727272725</v>
          </cell>
          <cell r="AE1543">
            <v>2500</v>
          </cell>
          <cell r="AG1543">
            <v>8090.9090909090901</v>
          </cell>
          <cell r="AH1543">
            <v>809.09090909090992</v>
          </cell>
          <cell r="AI1543">
            <v>8900</v>
          </cell>
          <cell r="AK1543">
            <v>5818.181818181818</v>
          </cell>
        </row>
        <row r="1544">
          <cell r="H1544">
            <v>87733171948</v>
          </cell>
          <cell r="I1544">
            <v>40372868</v>
          </cell>
          <cell r="J1544" t="str">
            <v/>
          </cell>
          <cell r="K1544" t="str">
            <v>-</v>
          </cell>
          <cell r="L1544">
            <v>14590</v>
          </cell>
          <cell r="M1544">
            <v>14590</v>
          </cell>
          <cell r="Q1544">
            <v>15560</v>
          </cell>
          <cell r="R1544">
            <v>87733171948</v>
          </cell>
          <cell r="Y1544" t="str">
            <v>힙스터 컬러 소프트그립 말랑 실리콘 핸드폰 케이스 아이폰14프로맥스 옐로우</v>
          </cell>
          <cell r="AC1544">
            <v>2272.7272727272725</v>
          </cell>
          <cell r="AD1544">
            <v>227.27272727272725</v>
          </cell>
          <cell r="AE1544">
            <v>2500</v>
          </cell>
          <cell r="AG1544">
            <v>8090.9090909090901</v>
          </cell>
          <cell r="AH1544">
            <v>809.09090909090992</v>
          </cell>
          <cell r="AI1544">
            <v>8900</v>
          </cell>
          <cell r="AK1544">
            <v>5818.181818181818</v>
          </cell>
        </row>
        <row r="1545">
          <cell r="H1545">
            <v>87733172138</v>
          </cell>
          <cell r="I1545">
            <v>40372888</v>
          </cell>
          <cell r="J1545" t="str">
            <v/>
          </cell>
          <cell r="K1545" t="str">
            <v>-</v>
          </cell>
          <cell r="L1545">
            <v>14590</v>
          </cell>
          <cell r="M1545">
            <v>14590</v>
          </cell>
          <cell r="Q1545">
            <v>15560</v>
          </cell>
          <cell r="R1545">
            <v>87733172138</v>
          </cell>
          <cell r="Y1545" t="str">
            <v>힙스터 컬러 소프트그립 말랑 실리콘 핸드폰 케이스 아이폰14프로맥스 핑크</v>
          </cell>
          <cell r="AC1545">
            <v>2272.7272727272725</v>
          </cell>
          <cell r="AD1545">
            <v>227.27272727272725</v>
          </cell>
          <cell r="AE1545">
            <v>2500</v>
          </cell>
          <cell r="AG1545">
            <v>8090.9090909090901</v>
          </cell>
          <cell r="AH1545">
            <v>809.09090909090992</v>
          </cell>
          <cell r="AI1545">
            <v>8900</v>
          </cell>
          <cell r="AK1545">
            <v>5818.181818181818</v>
          </cell>
        </row>
        <row r="1546">
          <cell r="H1546">
            <v>87733172129</v>
          </cell>
          <cell r="I1546">
            <v>40372887</v>
          </cell>
          <cell r="J1546" t="str">
            <v/>
          </cell>
          <cell r="K1546" t="str">
            <v>-</v>
          </cell>
          <cell r="L1546">
            <v>14590</v>
          </cell>
          <cell r="M1546">
            <v>14590</v>
          </cell>
          <cell r="Q1546">
            <v>15560</v>
          </cell>
          <cell r="R1546">
            <v>87733172129</v>
          </cell>
          <cell r="Y1546" t="str">
            <v>힙스터 컬러 소프트그립 말랑 실리콘 핸드폰 케이스 아이폰14플러스 그레이</v>
          </cell>
          <cell r="AC1546">
            <v>2272.7272727272725</v>
          </cell>
          <cell r="AD1546">
            <v>227.27272727272725</v>
          </cell>
          <cell r="AE1546">
            <v>2500</v>
          </cell>
          <cell r="AG1546">
            <v>8090.9090909090901</v>
          </cell>
          <cell r="AH1546">
            <v>809.09090909090992</v>
          </cell>
          <cell r="AI1546">
            <v>8900</v>
          </cell>
          <cell r="AK1546">
            <v>5818.181818181818</v>
          </cell>
        </row>
        <row r="1547">
          <cell r="H1547">
            <v>87733171372</v>
          </cell>
          <cell r="I1547">
            <v>40372812</v>
          </cell>
          <cell r="J1547" t="str">
            <v/>
          </cell>
          <cell r="K1547" t="str">
            <v>-</v>
          </cell>
          <cell r="L1547">
            <v>14590</v>
          </cell>
          <cell r="M1547">
            <v>14590</v>
          </cell>
          <cell r="Q1547">
            <v>15560</v>
          </cell>
          <cell r="R1547">
            <v>87733171372</v>
          </cell>
          <cell r="Y1547" t="str">
            <v>힙스터 컬러 소프트그립 말랑 실리콘 핸드폰 케이스 아이폰14플러스 그린</v>
          </cell>
          <cell r="AC1547">
            <v>2272.7272727272725</v>
          </cell>
          <cell r="AD1547">
            <v>227.27272727272725</v>
          </cell>
          <cell r="AE1547">
            <v>2500</v>
          </cell>
          <cell r="AG1547">
            <v>8090.9090909090901</v>
          </cell>
          <cell r="AH1547">
            <v>809.09090909090992</v>
          </cell>
          <cell r="AI1547">
            <v>8900</v>
          </cell>
          <cell r="AK1547">
            <v>5818.181818181818</v>
          </cell>
        </row>
        <row r="1548">
          <cell r="H1548">
            <v>87733172147</v>
          </cell>
          <cell r="I1548">
            <v>40372889</v>
          </cell>
          <cell r="J1548" t="str">
            <v/>
          </cell>
          <cell r="K1548" t="str">
            <v>-</v>
          </cell>
          <cell r="L1548">
            <v>14590</v>
          </cell>
          <cell r="M1548">
            <v>14590</v>
          </cell>
          <cell r="Q1548">
            <v>15560</v>
          </cell>
          <cell r="R1548">
            <v>87733172147</v>
          </cell>
          <cell r="Y1548" t="str">
            <v>힙스터 컬러 소프트그립 말랑 실리콘 핸드폰 케이스 아이폰14플러스 네이비</v>
          </cell>
          <cell r="AC1548">
            <v>2272.7272727272725</v>
          </cell>
          <cell r="AD1548">
            <v>227.27272727272725</v>
          </cell>
          <cell r="AE1548">
            <v>2500</v>
          </cell>
          <cell r="AG1548">
            <v>8090.9090909090901</v>
          </cell>
          <cell r="AH1548">
            <v>809.09090909090992</v>
          </cell>
          <cell r="AI1548">
            <v>8900</v>
          </cell>
          <cell r="AK1548">
            <v>5818.181818181818</v>
          </cell>
        </row>
        <row r="1549">
          <cell r="H1549">
            <v>87733172226</v>
          </cell>
          <cell r="I1549">
            <v>40372896</v>
          </cell>
          <cell r="J1549" t="str">
            <v/>
          </cell>
          <cell r="K1549" t="str">
            <v>-</v>
          </cell>
          <cell r="L1549">
            <v>14590</v>
          </cell>
          <cell r="M1549">
            <v>14590</v>
          </cell>
          <cell r="Q1549">
            <v>15560</v>
          </cell>
          <cell r="R1549">
            <v>87733172226</v>
          </cell>
          <cell r="Y1549" t="str">
            <v>힙스터 컬러 소프트그립 말랑 실리콘 핸드폰 케이스 아이폰14플러스 레드</v>
          </cell>
          <cell r="AC1549">
            <v>2272.7272727272725</v>
          </cell>
          <cell r="AD1549">
            <v>227.27272727272725</v>
          </cell>
          <cell r="AE1549">
            <v>2500</v>
          </cell>
          <cell r="AG1549">
            <v>8090.9090909090901</v>
          </cell>
          <cell r="AH1549">
            <v>809.09090909090992</v>
          </cell>
          <cell r="AI1549">
            <v>8900</v>
          </cell>
          <cell r="AK1549">
            <v>5818.181818181818</v>
          </cell>
        </row>
        <row r="1550">
          <cell r="H1550">
            <v>87733171394</v>
          </cell>
          <cell r="I1550">
            <v>40372815</v>
          </cell>
          <cell r="J1550" t="str">
            <v/>
          </cell>
          <cell r="K1550" t="str">
            <v>-</v>
          </cell>
          <cell r="L1550">
            <v>14590</v>
          </cell>
          <cell r="M1550">
            <v>14590</v>
          </cell>
          <cell r="Q1550">
            <v>15560</v>
          </cell>
          <cell r="R1550">
            <v>87733171394</v>
          </cell>
          <cell r="Y1550" t="str">
            <v>힙스터 컬러 소프트그립 말랑 실리콘 핸드폰 케이스 아이폰14플러스 블랙</v>
          </cell>
          <cell r="AC1550">
            <v>2272.7272727272725</v>
          </cell>
          <cell r="AD1550">
            <v>227.27272727272725</v>
          </cell>
          <cell r="AE1550">
            <v>2500</v>
          </cell>
          <cell r="AG1550">
            <v>8090.9090909090901</v>
          </cell>
          <cell r="AH1550">
            <v>809.09090909090992</v>
          </cell>
          <cell r="AI1550">
            <v>8900</v>
          </cell>
          <cell r="AK1550">
            <v>5818.181818181818</v>
          </cell>
        </row>
        <row r="1551">
          <cell r="H1551">
            <v>87733172401</v>
          </cell>
          <cell r="I1551">
            <v>40372910</v>
          </cell>
          <cell r="J1551" t="str">
            <v/>
          </cell>
          <cell r="K1551" t="str">
            <v>-</v>
          </cell>
          <cell r="L1551">
            <v>14590</v>
          </cell>
          <cell r="M1551">
            <v>14590</v>
          </cell>
          <cell r="Q1551">
            <v>15560</v>
          </cell>
          <cell r="R1551">
            <v>87733172401</v>
          </cell>
          <cell r="Y1551" t="str">
            <v>힙스터 컬러 소프트그립 말랑 실리콘 핸드폰 케이스 아이폰14플러스 옐로우</v>
          </cell>
          <cell r="AC1551">
            <v>2272.7272727272725</v>
          </cell>
          <cell r="AD1551">
            <v>227.27272727272725</v>
          </cell>
          <cell r="AE1551">
            <v>2500</v>
          </cell>
          <cell r="AG1551">
            <v>8090.9090909090901</v>
          </cell>
          <cell r="AH1551">
            <v>809.09090909090992</v>
          </cell>
          <cell r="AI1551">
            <v>8900</v>
          </cell>
          <cell r="AK1551">
            <v>5818.181818181818</v>
          </cell>
        </row>
        <row r="1552">
          <cell r="H1552">
            <v>87733172121</v>
          </cell>
          <cell r="I1552">
            <v>40372885</v>
          </cell>
          <cell r="J1552" t="str">
            <v/>
          </cell>
          <cell r="K1552" t="str">
            <v>-</v>
          </cell>
          <cell r="L1552">
            <v>14590</v>
          </cell>
          <cell r="M1552">
            <v>14590</v>
          </cell>
          <cell r="Q1552">
            <v>15560</v>
          </cell>
          <cell r="R1552">
            <v>87733172121</v>
          </cell>
          <cell r="Y1552" t="str">
            <v>힙스터 컬러 소프트그립 말랑 실리콘 핸드폰 케이스 아이폰14플러스 핑크</v>
          </cell>
          <cell r="AC1552">
            <v>2272.7272727272725</v>
          </cell>
          <cell r="AD1552">
            <v>227.27272727272725</v>
          </cell>
          <cell r="AE1552">
            <v>2500</v>
          </cell>
          <cell r="AG1552">
            <v>8090.9090909090901</v>
          </cell>
          <cell r="AH1552">
            <v>809.09090909090992</v>
          </cell>
          <cell r="AI1552">
            <v>8900</v>
          </cell>
          <cell r="AK1552">
            <v>5818.181818181818</v>
          </cell>
        </row>
        <row r="1553">
          <cell r="H1553">
            <v>87733172187</v>
          </cell>
          <cell r="I1553">
            <v>40372892</v>
          </cell>
          <cell r="J1553" t="str">
            <v/>
          </cell>
          <cell r="K1553" t="str">
            <v>-</v>
          </cell>
          <cell r="L1553">
            <v>14590</v>
          </cell>
          <cell r="M1553">
            <v>14590</v>
          </cell>
          <cell r="Q1553">
            <v>15560</v>
          </cell>
          <cell r="R1553">
            <v>87733172187</v>
          </cell>
          <cell r="Y1553" t="str">
            <v>힙스터 컬러 소프트그립 말랑 실리콘 핸드폰 케이스 아이폰15 그레이</v>
          </cell>
          <cell r="AC1553">
            <v>2272.7272727272725</v>
          </cell>
          <cell r="AD1553">
            <v>227.27272727272725</v>
          </cell>
          <cell r="AE1553">
            <v>2500</v>
          </cell>
          <cell r="AG1553">
            <v>8090.9090909090901</v>
          </cell>
          <cell r="AH1553">
            <v>809.09090909090992</v>
          </cell>
          <cell r="AI1553">
            <v>8900</v>
          </cell>
          <cell r="AK1553">
            <v>5818.181818181818</v>
          </cell>
        </row>
        <row r="1554">
          <cell r="H1554">
            <v>87733171722</v>
          </cell>
          <cell r="I1554">
            <v>40372848</v>
          </cell>
          <cell r="J1554" t="str">
            <v/>
          </cell>
          <cell r="K1554" t="str">
            <v>-</v>
          </cell>
          <cell r="L1554">
            <v>14590</v>
          </cell>
          <cell r="M1554">
            <v>14590</v>
          </cell>
          <cell r="Q1554">
            <v>15560</v>
          </cell>
          <cell r="R1554">
            <v>87733171722</v>
          </cell>
          <cell r="Y1554" t="str">
            <v>힙스터 컬러 소프트그립 말랑 실리콘 핸드폰 케이스 아이폰15 그린</v>
          </cell>
          <cell r="AC1554">
            <v>2272.7272727272725</v>
          </cell>
          <cell r="AD1554">
            <v>227.27272727272725</v>
          </cell>
          <cell r="AE1554">
            <v>2500</v>
          </cell>
          <cell r="AG1554">
            <v>8090.9090909090901</v>
          </cell>
          <cell r="AH1554">
            <v>809.09090909090992</v>
          </cell>
          <cell r="AI1554">
            <v>8900</v>
          </cell>
          <cell r="AK1554">
            <v>5818.181818181818</v>
          </cell>
        </row>
        <row r="1555">
          <cell r="H1555">
            <v>87733171815</v>
          </cell>
          <cell r="I1555">
            <v>40372852</v>
          </cell>
          <cell r="J1555" t="str">
            <v/>
          </cell>
          <cell r="K1555" t="str">
            <v>-</v>
          </cell>
          <cell r="L1555">
            <v>14590</v>
          </cell>
          <cell r="M1555">
            <v>14590</v>
          </cell>
          <cell r="Q1555">
            <v>15560</v>
          </cell>
          <cell r="R1555">
            <v>87733171815</v>
          </cell>
          <cell r="Y1555" t="str">
            <v>힙스터 컬러 소프트그립 말랑 실리콘 핸드폰 케이스 아이폰15 네이비</v>
          </cell>
          <cell r="AC1555">
            <v>2272.7272727272725</v>
          </cell>
          <cell r="AD1555">
            <v>227.27272727272725</v>
          </cell>
          <cell r="AE1555">
            <v>2500</v>
          </cell>
          <cell r="AG1555">
            <v>8090.9090909090901</v>
          </cell>
          <cell r="AH1555">
            <v>809.09090909090992</v>
          </cell>
          <cell r="AI1555">
            <v>8900</v>
          </cell>
          <cell r="AK1555">
            <v>5818.181818181818</v>
          </cell>
        </row>
        <row r="1556">
          <cell r="H1556">
            <v>87733172051</v>
          </cell>
          <cell r="I1556">
            <v>40372878</v>
          </cell>
          <cell r="J1556" t="str">
            <v/>
          </cell>
          <cell r="K1556" t="str">
            <v>-</v>
          </cell>
          <cell r="L1556">
            <v>14590</v>
          </cell>
          <cell r="M1556">
            <v>14590</v>
          </cell>
          <cell r="Q1556">
            <v>15560</v>
          </cell>
          <cell r="R1556">
            <v>87733172051</v>
          </cell>
          <cell r="Y1556" t="str">
            <v>힙스터 컬러 소프트그립 말랑 실리콘 핸드폰 케이스 아이폰15 블랙</v>
          </cell>
          <cell r="AC1556">
            <v>2272.7272727272725</v>
          </cell>
          <cell r="AD1556">
            <v>227.27272727272725</v>
          </cell>
          <cell r="AE1556">
            <v>2500</v>
          </cell>
          <cell r="AG1556">
            <v>8090.9090909090901</v>
          </cell>
          <cell r="AH1556">
            <v>809.09090909090992</v>
          </cell>
          <cell r="AI1556">
            <v>8900</v>
          </cell>
          <cell r="AK1556">
            <v>5818.181818181818</v>
          </cell>
        </row>
        <row r="1557">
          <cell r="H1557">
            <v>87733172271</v>
          </cell>
          <cell r="I1557">
            <v>40372899</v>
          </cell>
          <cell r="J1557" t="str">
            <v/>
          </cell>
          <cell r="K1557" t="str">
            <v>-</v>
          </cell>
          <cell r="L1557">
            <v>14590</v>
          </cell>
          <cell r="M1557">
            <v>14590</v>
          </cell>
          <cell r="Q1557">
            <v>15560</v>
          </cell>
          <cell r="R1557">
            <v>87733172271</v>
          </cell>
          <cell r="Y1557" t="str">
            <v>힙스터 컬러 소프트그립 말랑 실리콘 핸드폰 케이스 아이폰15 핑크</v>
          </cell>
          <cell r="AC1557">
            <v>2272.7272727272725</v>
          </cell>
          <cell r="AD1557">
            <v>227.27272727272725</v>
          </cell>
          <cell r="AE1557">
            <v>2500</v>
          </cell>
          <cell r="AG1557">
            <v>8090.9090909090901</v>
          </cell>
          <cell r="AH1557">
            <v>809.09090909090992</v>
          </cell>
          <cell r="AI1557">
            <v>8900</v>
          </cell>
          <cell r="AK1557">
            <v>5818.181818181818</v>
          </cell>
        </row>
        <row r="1558">
          <cell r="H1558">
            <v>87733172018</v>
          </cell>
          <cell r="I1558">
            <v>40372874</v>
          </cell>
          <cell r="J1558" t="str">
            <v/>
          </cell>
          <cell r="K1558" t="str">
            <v>-</v>
          </cell>
          <cell r="L1558">
            <v>14590</v>
          </cell>
          <cell r="M1558">
            <v>14590</v>
          </cell>
          <cell r="Q1558">
            <v>15560</v>
          </cell>
          <cell r="R1558">
            <v>87733172018</v>
          </cell>
          <cell r="Y1558" t="str">
            <v>힙스터 컬러 소프트그립 말랑 실리콘 핸드폰 케이스 아이폰15프로 그레이</v>
          </cell>
          <cell r="AC1558">
            <v>2272.7272727272725</v>
          </cell>
          <cell r="AD1558">
            <v>227.27272727272725</v>
          </cell>
          <cell r="AE1558">
            <v>2500</v>
          </cell>
          <cell r="AG1558">
            <v>8090.9090909090901</v>
          </cell>
          <cell r="AH1558">
            <v>809.09090909090992</v>
          </cell>
          <cell r="AI1558">
            <v>8900</v>
          </cell>
          <cell r="AK1558">
            <v>5818.181818181818</v>
          </cell>
        </row>
        <row r="1559">
          <cell r="H1559">
            <v>87733171645</v>
          </cell>
          <cell r="I1559">
            <v>40372834</v>
          </cell>
          <cell r="J1559" t="str">
            <v/>
          </cell>
          <cell r="K1559" t="str">
            <v>-</v>
          </cell>
          <cell r="L1559">
            <v>14590</v>
          </cell>
          <cell r="M1559">
            <v>14590</v>
          </cell>
          <cell r="Q1559">
            <v>15560</v>
          </cell>
          <cell r="R1559">
            <v>87733171645</v>
          </cell>
          <cell r="Y1559" t="str">
            <v>힙스터 컬러 소프트그립 말랑 실리콘 핸드폰 케이스 아이폰15프로 그린</v>
          </cell>
          <cell r="AC1559">
            <v>2272.7272727272725</v>
          </cell>
          <cell r="AD1559">
            <v>227.27272727272725</v>
          </cell>
          <cell r="AE1559">
            <v>2500</v>
          </cell>
          <cell r="AG1559">
            <v>8090.9090909090901</v>
          </cell>
          <cell r="AH1559">
            <v>809.09090909090992</v>
          </cell>
          <cell r="AI1559">
            <v>8900</v>
          </cell>
          <cell r="AK1559">
            <v>5818.181818181818</v>
          </cell>
        </row>
        <row r="1560">
          <cell r="H1560">
            <v>87733171495</v>
          </cell>
          <cell r="I1560">
            <v>40372826</v>
          </cell>
          <cell r="J1560" t="str">
            <v/>
          </cell>
          <cell r="K1560" t="str">
            <v>-</v>
          </cell>
          <cell r="L1560">
            <v>14590</v>
          </cell>
          <cell r="M1560">
            <v>14590</v>
          </cell>
          <cell r="Q1560">
            <v>15560</v>
          </cell>
          <cell r="R1560">
            <v>87733171495</v>
          </cell>
          <cell r="Y1560" t="str">
            <v>힙스터 컬러 소프트그립 말랑 실리콘 핸드폰 케이스 아이폰15프로 네이비</v>
          </cell>
          <cell r="AC1560">
            <v>2272.7272727272725</v>
          </cell>
          <cell r="AD1560">
            <v>227.27272727272725</v>
          </cell>
          <cell r="AE1560">
            <v>2500</v>
          </cell>
          <cell r="AG1560">
            <v>8090.9090909090901</v>
          </cell>
          <cell r="AH1560">
            <v>809.09090909090992</v>
          </cell>
          <cell r="AI1560">
            <v>8900</v>
          </cell>
          <cell r="AK1560">
            <v>5818.181818181818</v>
          </cell>
        </row>
        <row r="1561">
          <cell r="H1561">
            <v>87733171510</v>
          </cell>
          <cell r="I1561">
            <v>40372827</v>
          </cell>
          <cell r="J1561" t="str">
            <v/>
          </cell>
          <cell r="K1561" t="str">
            <v>-</v>
          </cell>
          <cell r="L1561">
            <v>14590</v>
          </cell>
          <cell r="M1561">
            <v>14590</v>
          </cell>
          <cell r="Q1561">
            <v>15560</v>
          </cell>
          <cell r="R1561">
            <v>87733171510</v>
          </cell>
          <cell r="Y1561" t="str">
            <v>힙스터 컬러 소프트그립 말랑 실리콘 핸드폰 케이스 아이폰15프로 블랙</v>
          </cell>
          <cell r="AC1561">
            <v>2272.7272727272725</v>
          </cell>
          <cell r="AD1561">
            <v>227.27272727272725</v>
          </cell>
          <cell r="AE1561">
            <v>2500</v>
          </cell>
          <cell r="AG1561">
            <v>8090.9090909090901</v>
          </cell>
          <cell r="AH1561">
            <v>809.09090909090992</v>
          </cell>
          <cell r="AI1561">
            <v>8900</v>
          </cell>
          <cell r="AK1561">
            <v>5818.181818181818</v>
          </cell>
        </row>
        <row r="1562">
          <cell r="H1562">
            <v>87733172004</v>
          </cell>
          <cell r="I1562">
            <v>40372872</v>
          </cell>
          <cell r="J1562" t="str">
            <v/>
          </cell>
          <cell r="K1562" t="str">
            <v>-</v>
          </cell>
          <cell r="L1562">
            <v>14590</v>
          </cell>
          <cell r="M1562">
            <v>14590</v>
          </cell>
          <cell r="Q1562">
            <v>15560</v>
          </cell>
          <cell r="R1562">
            <v>87733172004</v>
          </cell>
          <cell r="Y1562" t="str">
            <v>힙스터 컬러 소프트그립 말랑 실리콘 핸드폰 케이스 아이폰15프로 핑크</v>
          </cell>
          <cell r="AC1562">
            <v>2272.7272727272725</v>
          </cell>
          <cell r="AD1562">
            <v>227.27272727272725</v>
          </cell>
          <cell r="AE1562">
            <v>2500</v>
          </cell>
          <cell r="AG1562">
            <v>8090.9090909090901</v>
          </cell>
          <cell r="AH1562">
            <v>809.09090909090992</v>
          </cell>
          <cell r="AI1562">
            <v>8900</v>
          </cell>
          <cell r="AK1562">
            <v>5818.181818181818</v>
          </cell>
        </row>
        <row r="1563">
          <cell r="H1563">
            <v>87733172463</v>
          </cell>
          <cell r="I1563">
            <v>40372916</v>
          </cell>
          <cell r="J1563" t="str">
            <v/>
          </cell>
          <cell r="K1563" t="str">
            <v>-</v>
          </cell>
          <cell r="L1563">
            <v>14590</v>
          </cell>
          <cell r="M1563">
            <v>14590</v>
          </cell>
          <cell r="Q1563">
            <v>15560</v>
          </cell>
          <cell r="R1563">
            <v>87733172463</v>
          </cell>
          <cell r="Y1563" t="str">
            <v>힙스터 컬러 소프트그립 말랑 실리콘 핸드폰 케이스 아이폰15프로맥스 그레이</v>
          </cell>
          <cell r="AC1563">
            <v>2272.7272727272725</v>
          </cell>
          <cell r="AD1563">
            <v>227.27272727272725</v>
          </cell>
          <cell r="AE1563">
            <v>2500</v>
          </cell>
          <cell r="AG1563">
            <v>8090.9090909090901</v>
          </cell>
          <cell r="AH1563">
            <v>809.09090909090992</v>
          </cell>
          <cell r="AI1563">
            <v>8900</v>
          </cell>
          <cell r="AK1563">
            <v>5818.181818181818</v>
          </cell>
        </row>
        <row r="1564">
          <cell r="H1564">
            <v>87733171364</v>
          </cell>
          <cell r="I1564">
            <v>40372811</v>
          </cell>
          <cell r="J1564" t="str">
            <v/>
          </cell>
          <cell r="K1564" t="str">
            <v>-</v>
          </cell>
          <cell r="L1564">
            <v>14590</v>
          </cell>
          <cell r="M1564">
            <v>14590</v>
          </cell>
          <cell r="Q1564">
            <v>15560</v>
          </cell>
          <cell r="R1564">
            <v>87733171364</v>
          </cell>
          <cell r="Y1564" t="str">
            <v>힙스터 컬러 소프트그립 말랑 실리콘 핸드폰 케이스 아이폰15프로맥스 그린</v>
          </cell>
          <cell r="AC1564">
            <v>2272.7272727272725</v>
          </cell>
          <cell r="AD1564">
            <v>227.27272727272725</v>
          </cell>
          <cell r="AE1564">
            <v>2500</v>
          </cell>
          <cell r="AG1564">
            <v>8090.9090909090901</v>
          </cell>
          <cell r="AH1564">
            <v>809.09090909090992</v>
          </cell>
          <cell r="AI1564">
            <v>8900</v>
          </cell>
          <cell r="AK1564">
            <v>5818.181818181818</v>
          </cell>
        </row>
        <row r="1565">
          <cell r="H1565">
            <v>87733171896</v>
          </cell>
          <cell r="I1565">
            <v>40372863</v>
          </cell>
          <cell r="J1565" t="str">
            <v/>
          </cell>
          <cell r="K1565" t="str">
            <v>-</v>
          </cell>
          <cell r="L1565">
            <v>14590</v>
          </cell>
          <cell r="M1565">
            <v>14590</v>
          </cell>
          <cell r="Q1565">
            <v>15560</v>
          </cell>
          <cell r="R1565">
            <v>87733171896</v>
          </cell>
          <cell r="Y1565" t="str">
            <v>힙스터 컬러 소프트그립 말랑 실리콘 핸드폰 케이스 아이폰15프로맥스 네이비</v>
          </cell>
          <cell r="AC1565">
            <v>2272.7272727272725</v>
          </cell>
          <cell r="AD1565">
            <v>227.27272727272725</v>
          </cell>
          <cell r="AE1565">
            <v>2500</v>
          </cell>
          <cell r="AG1565">
            <v>8090.9090909090901</v>
          </cell>
          <cell r="AH1565">
            <v>809.09090909090992</v>
          </cell>
          <cell r="AI1565">
            <v>8900</v>
          </cell>
          <cell r="AK1565">
            <v>5818.181818181818</v>
          </cell>
        </row>
        <row r="1566">
          <cell r="H1566">
            <v>87733172094</v>
          </cell>
          <cell r="I1566">
            <v>40372882</v>
          </cell>
          <cell r="J1566" t="str">
            <v/>
          </cell>
          <cell r="K1566" t="str">
            <v>-</v>
          </cell>
          <cell r="L1566">
            <v>14590</v>
          </cell>
          <cell r="M1566">
            <v>14590</v>
          </cell>
          <cell r="Q1566">
            <v>15560</v>
          </cell>
          <cell r="R1566">
            <v>87733172094</v>
          </cell>
          <cell r="Y1566" t="str">
            <v>힙스터 컬러 소프트그립 말랑 실리콘 핸드폰 케이스 아이폰15프로맥스 블랙</v>
          </cell>
          <cell r="AC1566">
            <v>2272.7272727272725</v>
          </cell>
          <cell r="AD1566">
            <v>227.27272727272725</v>
          </cell>
          <cell r="AE1566">
            <v>2500</v>
          </cell>
          <cell r="AG1566">
            <v>8090.9090909090901</v>
          </cell>
          <cell r="AH1566">
            <v>809.09090909090992</v>
          </cell>
          <cell r="AI1566">
            <v>8900</v>
          </cell>
          <cell r="AK1566">
            <v>5818.181818181818</v>
          </cell>
        </row>
        <row r="1567">
          <cell r="H1567">
            <v>87733172028</v>
          </cell>
          <cell r="I1567">
            <v>40372876</v>
          </cell>
          <cell r="J1567" t="str">
            <v/>
          </cell>
          <cell r="K1567" t="str">
            <v>-</v>
          </cell>
          <cell r="L1567">
            <v>14590</v>
          </cell>
          <cell r="M1567">
            <v>14590</v>
          </cell>
          <cell r="Q1567">
            <v>15560</v>
          </cell>
          <cell r="R1567">
            <v>87733172028</v>
          </cell>
          <cell r="Y1567" t="str">
            <v>힙스터 컬러 소프트그립 말랑 실리콘 핸드폰 케이스 아이폰15프로맥스 핑크</v>
          </cell>
          <cell r="AC1567">
            <v>2272.7272727272725</v>
          </cell>
          <cell r="AD1567">
            <v>227.27272727272725</v>
          </cell>
          <cell r="AE1567">
            <v>2500</v>
          </cell>
          <cell r="AG1567">
            <v>8090.9090909090901</v>
          </cell>
          <cell r="AH1567">
            <v>809.09090909090992</v>
          </cell>
          <cell r="AI1567">
            <v>8900</v>
          </cell>
          <cell r="AK1567">
            <v>5818.181818181818</v>
          </cell>
        </row>
        <row r="1568">
          <cell r="H1568">
            <v>87733171972</v>
          </cell>
          <cell r="I1568">
            <v>40372870</v>
          </cell>
          <cell r="J1568" t="str">
            <v/>
          </cell>
          <cell r="K1568" t="str">
            <v>-</v>
          </cell>
          <cell r="L1568">
            <v>14590</v>
          </cell>
          <cell r="M1568">
            <v>14590</v>
          </cell>
          <cell r="Q1568">
            <v>15560</v>
          </cell>
          <cell r="R1568">
            <v>87733171972</v>
          </cell>
          <cell r="Y1568" t="str">
            <v>힙스터 컬러 소프트그립 말랑 실리콘 핸드폰 케이스 아이폰15플러스 그레이</v>
          </cell>
          <cell r="AC1568">
            <v>2272.7272727272725</v>
          </cell>
          <cell r="AD1568">
            <v>227.27272727272725</v>
          </cell>
          <cell r="AE1568">
            <v>2500</v>
          </cell>
          <cell r="AG1568">
            <v>8090.9090909090901</v>
          </cell>
          <cell r="AH1568">
            <v>809.09090909090992</v>
          </cell>
          <cell r="AI1568">
            <v>8900</v>
          </cell>
          <cell r="AK1568">
            <v>5818.181818181818</v>
          </cell>
        </row>
        <row r="1569">
          <cell r="H1569">
            <v>87733171464</v>
          </cell>
          <cell r="I1569">
            <v>40372824</v>
          </cell>
          <cell r="J1569" t="str">
            <v/>
          </cell>
          <cell r="K1569" t="str">
            <v>-</v>
          </cell>
          <cell r="L1569">
            <v>14590</v>
          </cell>
          <cell r="M1569">
            <v>14590</v>
          </cell>
          <cell r="Q1569">
            <v>15560</v>
          </cell>
          <cell r="R1569">
            <v>87733171464</v>
          </cell>
          <cell r="Y1569" t="str">
            <v>힙스터 컬러 소프트그립 말랑 실리콘 핸드폰 케이스 아이폰15플러스 그린</v>
          </cell>
          <cell r="AC1569">
            <v>2272.7272727272725</v>
          </cell>
          <cell r="AD1569">
            <v>227.27272727272725</v>
          </cell>
          <cell r="AE1569">
            <v>2500</v>
          </cell>
          <cell r="AG1569">
            <v>8090.9090909090901</v>
          </cell>
          <cell r="AH1569">
            <v>809.09090909090992</v>
          </cell>
          <cell r="AI1569">
            <v>8900</v>
          </cell>
          <cell r="AK1569">
            <v>5818.181818181818</v>
          </cell>
        </row>
        <row r="1570">
          <cell r="H1570">
            <v>87733172383</v>
          </cell>
          <cell r="I1570">
            <v>40372908</v>
          </cell>
          <cell r="J1570" t="str">
            <v/>
          </cell>
          <cell r="K1570" t="str">
            <v>-</v>
          </cell>
          <cell r="L1570">
            <v>14590</v>
          </cell>
          <cell r="M1570">
            <v>14590</v>
          </cell>
          <cell r="Q1570">
            <v>15560</v>
          </cell>
          <cell r="R1570">
            <v>87733172383</v>
          </cell>
          <cell r="Y1570" t="str">
            <v>힙스터 컬러 소프트그립 말랑 실리콘 핸드폰 케이스 아이폰15플러스 네이비</v>
          </cell>
          <cell r="AC1570">
            <v>2272.7272727272725</v>
          </cell>
          <cell r="AD1570">
            <v>227.27272727272725</v>
          </cell>
          <cell r="AE1570">
            <v>2500</v>
          </cell>
          <cell r="AG1570">
            <v>8090.9090909090901</v>
          </cell>
          <cell r="AH1570">
            <v>809.09090909090992</v>
          </cell>
          <cell r="AI1570">
            <v>8900</v>
          </cell>
          <cell r="AK1570">
            <v>5818.181818181818</v>
          </cell>
        </row>
        <row r="1571">
          <cell r="H1571">
            <v>87733172448</v>
          </cell>
          <cell r="I1571">
            <v>40372915</v>
          </cell>
          <cell r="J1571" t="str">
            <v/>
          </cell>
          <cell r="K1571" t="str">
            <v>-</v>
          </cell>
          <cell r="L1571">
            <v>14590</v>
          </cell>
          <cell r="M1571">
            <v>14590</v>
          </cell>
          <cell r="Q1571">
            <v>15560</v>
          </cell>
          <cell r="R1571">
            <v>87733172448</v>
          </cell>
          <cell r="Y1571" t="str">
            <v>힙스터 컬러 소프트그립 말랑 실리콘 핸드폰 케이스 아이폰15플러스 블랙</v>
          </cell>
          <cell r="AC1571">
            <v>2272.7272727272725</v>
          </cell>
          <cell r="AD1571">
            <v>227.27272727272725</v>
          </cell>
          <cell r="AE1571">
            <v>2500</v>
          </cell>
          <cell r="AG1571">
            <v>8090.9090909090901</v>
          </cell>
          <cell r="AH1571">
            <v>809.09090909090992</v>
          </cell>
          <cell r="AI1571">
            <v>8900</v>
          </cell>
          <cell r="AK1571">
            <v>5818.181818181818</v>
          </cell>
        </row>
        <row r="1572">
          <cell r="H1572">
            <v>87733171939</v>
          </cell>
          <cell r="I1572">
            <v>40372867</v>
          </cell>
          <cell r="J1572" t="str">
            <v/>
          </cell>
          <cell r="K1572" t="str">
            <v>-</v>
          </cell>
          <cell r="L1572">
            <v>14590</v>
          </cell>
          <cell r="M1572">
            <v>14590</v>
          </cell>
          <cell r="Q1572">
            <v>15560</v>
          </cell>
          <cell r="R1572">
            <v>87733171939</v>
          </cell>
          <cell r="Y1572" t="str">
            <v>힙스터 컬러 소프트그립 말랑 실리콘 핸드폰 케이스 아이폰15플러스 핑크</v>
          </cell>
          <cell r="AC1572">
            <v>2272.7272727272725</v>
          </cell>
          <cell r="AD1572">
            <v>227.27272727272725</v>
          </cell>
          <cell r="AE1572">
            <v>2500</v>
          </cell>
          <cell r="AG1572">
            <v>8090.9090909090901</v>
          </cell>
          <cell r="AH1572">
            <v>809.09090909090992</v>
          </cell>
          <cell r="AI1572">
            <v>8900</v>
          </cell>
          <cell r="AK1572">
            <v>5818.181818181818</v>
          </cell>
        </row>
        <row r="1573">
          <cell r="H1573">
            <v>92867935876</v>
          </cell>
          <cell r="J1573">
            <v>2409</v>
          </cell>
          <cell r="K1573" t="str">
            <v>0</v>
          </cell>
          <cell r="L1573">
            <v>14900</v>
          </cell>
          <cell r="M1573">
            <v>14900</v>
          </cell>
          <cell r="N1573">
            <v>0</v>
          </cell>
          <cell r="O1573">
            <v>19900</v>
          </cell>
          <cell r="P1573">
            <v>21900</v>
          </cell>
          <cell r="Q1573">
            <v>14900</v>
          </cell>
          <cell r="R1573">
            <v>92867935876</v>
          </cell>
          <cell r="V1573">
            <v>14900</v>
          </cell>
          <cell r="W1573" t="str">
            <v>https://smartstore.naver.com/sskoreatrade/products/11210840217</v>
          </cell>
          <cell r="X1573" t="str">
            <v>뉴클 케이블_우븐_G</v>
          </cell>
          <cell r="Y1573" t="str">
            <v>윙-뉴클 PD 65W 우븐케이블 1m, 2개 그로스</v>
          </cell>
          <cell r="AB1573" t="str">
            <v>coupang.com/vp/products/8489429913?itemId=24963923725&amp;vendorItemId=91969607694</v>
          </cell>
          <cell r="AC1573">
            <v>1999.9999999999998</v>
          </cell>
          <cell r="AD1573">
            <v>200</v>
          </cell>
          <cell r="AE1573">
            <v>2200</v>
          </cell>
          <cell r="AG1573">
            <v>8672</v>
          </cell>
          <cell r="AH1573">
            <v>867.20000000000073</v>
          </cell>
          <cell r="AI1573">
            <v>9539.2000000000007</v>
          </cell>
          <cell r="AK1573">
            <v>6672</v>
          </cell>
        </row>
        <row r="1574">
          <cell r="H1574">
            <v>93736221127</v>
          </cell>
          <cell r="R1574">
            <v>93736221127</v>
          </cell>
          <cell r="Y1574" t="str">
            <v>뉴클 PD 3.0 차량용 릴타입 시거잭 3구 블랙</v>
          </cell>
        </row>
        <row r="1575">
          <cell r="H1575">
            <v>93736217425</v>
          </cell>
          <cell r="R1575">
            <v>93736217425</v>
          </cell>
          <cell r="Y1575" t="str">
            <v>한샘 멀티 수저 살균기 UV-C LED,단품,단품</v>
          </cell>
        </row>
        <row r="1576">
          <cell r="H1576">
            <v>93736221126</v>
          </cell>
          <cell r="R1576">
            <v>93736221126</v>
          </cell>
          <cell r="Y1576" t="str">
            <v>뉴클 PD 3.0 차량용 릴타입 시거잭 3구 화이트</v>
          </cell>
        </row>
        <row r="1577">
          <cell r="L1577">
            <v>0</v>
          </cell>
          <cell r="M1577">
            <v>0</v>
          </cell>
        </row>
        <row r="1578">
          <cell r="H1578">
            <v>94213986627</v>
          </cell>
          <cell r="I1578">
            <v>67565491</v>
          </cell>
          <cell r="J1578">
            <v>998</v>
          </cell>
          <cell r="K1578" t="str">
            <v>-</v>
          </cell>
          <cell r="L1578">
            <v>14500</v>
          </cell>
          <cell r="M1578">
            <v>14500</v>
          </cell>
          <cell r="R1578">
            <v>94213986627</v>
          </cell>
          <cell r="X1578" t="str">
            <v>트리플파워 맥세이프 보조배터리</v>
          </cell>
          <cell r="Y1578" t="str">
            <v>트리플파워 LCD 맥세이프 보배터리 블랙</v>
          </cell>
          <cell r="AB1578" t="str">
            <v>coupang.com/vp/products/9220713371?itemId=27247057623&amp;vendorItemId=94213986627</v>
          </cell>
          <cell r="AC1578">
            <v>5709.9999999999991</v>
          </cell>
          <cell r="AD1578">
            <v>570.99999999999989</v>
          </cell>
          <cell r="AE1578">
            <v>6281</v>
          </cell>
          <cell r="AG1578">
            <v>5272.7272727272721</v>
          </cell>
          <cell r="AH1578">
            <v>527.27272727272793</v>
          </cell>
          <cell r="AI1578">
            <v>5800</v>
          </cell>
          <cell r="AK1578">
            <v>-437.27272727272702</v>
          </cell>
        </row>
        <row r="1579">
          <cell r="H1579">
            <v>94213986625</v>
          </cell>
          <cell r="I1579">
            <v>67565492</v>
          </cell>
          <cell r="J1579">
            <v>1498</v>
          </cell>
          <cell r="K1579" t="str">
            <v>-</v>
          </cell>
          <cell r="L1579">
            <v>14500</v>
          </cell>
          <cell r="M1579">
            <v>14500</v>
          </cell>
          <cell r="R1579">
            <v>94213986625</v>
          </cell>
          <cell r="X1579" t="str">
            <v>트리플파워 맥세이프 보조배터리</v>
          </cell>
          <cell r="Y1579" t="str">
            <v>트리플파워 LCD 맥세이프 보배터리 그레이</v>
          </cell>
          <cell r="AB1579" t="str">
            <v>coupang.com/vp/products/9220713371?itemId=27247057624&amp;vendorItemId=94213986625</v>
          </cell>
          <cell r="AC1579">
            <v>5709.9999999999991</v>
          </cell>
          <cell r="AD1579">
            <v>570.99999999999989</v>
          </cell>
          <cell r="AE1579">
            <v>6281</v>
          </cell>
          <cell r="AG1579">
            <v>5272.7272727272721</v>
          </cell>
          <cell r="AH1579">
            <v>527.27272727272793</v>
          </cell>
          <cell r="AI1579">
            <v>5800</v>
          </cell>
          <cell r="AK1579">
            <v>-437.27272727272702</v>
          </cell>
        </row>
        <row r="1580">
          <cell r="H1580">
            <v>94213986624</v>
          </cell>
          <cell r="I1580">
            <v>67565489</v>
          </cell>
          <cell r="J1580">
            <v>998</v>
          </cell>
          <cell r="K1580" t="str">
            <v>-</v>
          </cell>
          <cell r="L1580">
            <v>14500</v>
          </cell>
          <cell r="M1580">
            <v>14500</v>
          </cell>
          <cell r="R1580">
            <v>94213986624</v>
          </cell>
          <cell r="X1580" t="str">
            <v>트리플파워 맥세이프 보조배터리</v>
          </cell>
          <cell r="Y1580" t="str">
            <v>트리플파워 LCD 맥세이프 보배터리 화이트</v>
          </cell>
          <cell r="AB1580" t="str">
            <v>coupang.com/vp/products/9220713371?itemId=27247057620&amp;vendorItemId=94213986624</v>
          </cell>
          <cell r="AC1580">
            <v>5709.9999999999991</v>
          </cell>
          <cell r="AD1580">
            <v>570.99999999999989</v>
          </cell>
          <cell r="AE1580">
            <v>6281</v>
          </cell>
          <cell r="AG1580">
            <v>5272.7272727272721</v>
          </cell>
          <cell r="AH1580">
            <v>527.27272727272793</v>
          </cell>
          <cell r="AI1580">
            <v>5800</v>
          </cell>
          <cell r="AK1580">
            <v>-437.27272727272702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원본"/>
    </sheetNames>
    <sheetDataSet>
      <sheetData sheetId="0">
        <row r="1">
          <cell r="M1" t="str">
            <v>카운트</v>
          </cell>
          <cell r="O1"/>
          <cell r="P1"/>
          <cell r="Q1"/>
          <cell r="R1"/>
          <cell r="S1"/>
          <cell r="T1"/>
          <cell r="U1"/>
          <cell r="V1"/>
          <cell r="W1"/>
          <cell r="X1"/>
          <cell r="Y1"/>
          <cell r="Z1"/>
          <cell r="AA1"/>
          <cell r="AB1"/>
          <cell r="AC1"/>
          <cell r="AD1"/>
          <cell r="AE1"/>
          <cell r="AF1"/>
          <cell r="AG1"/>
          <cell r="AH1"/>
          <cell r="AI1"/>
          <cell r="AJ1"/>
          <cell r="AK1">
            <v>34</v>
          </cell>
          <cell r="AL1">
            <v>35</v>
          </cell>
          <cell r="AM1">
            <v>36</v>
          </cell>
          <cell r="AN1">
            <v>37</v>
          </cell>
          <cell r="AO1">
            <v>38</v>
          </cell>
          <cell r="AP1">
            <v>39</v>
          </cell>
          <cell r="AQ1">
            <v>40</v>
          </cell>
          <cell r="AR1">
            <v>41</v>
          </cell>
          <cell r="AS1">
            <v>42</v>
          </cell>
          <cell r="AT1">
            <v>43</v>
          </cell>
          <cell r="AU1">
            <v>44</v>
          </cell>
          <cell r="AV1">
            <v>45</v>
          </cell>
          <cell r="AW1">
            <v>46</v>
          </cell>
          <cell r="AX1">
            <v>47</v>
          </cell>
          <cell r="AY1">
            <v>48</v>
          </cell>
          <cell r="AZ1">
            <v>49</v>
          </cell>
          <cell r="BA1">
            <v>50</v>
          </cell>
          <cell r="BB1">
            <v>51</v>
          </cell>
          <cell r="BC1">
            <v>52</v>
          </cell>
          <cell r="BD1">
            <v>53</v>
          </cell>
          <cell r="BE1">
            <v>54</v>
          </cell>
          <cell r="BF1">
            <v>55</v>
          </cell>
          <cell r="BG1">
            <v>56</v>
          </cell>
          <cell r="BH1">
            <v>57</v>
          </cell>
          <cell r="BI1">
            <v>58</v>
          </cell>
          <cell r="BJ1">
            <v>59</v>
          </cell>
          <cell r="BK1">
            <v>60</v>
          </cell>
          <cell r="BL1">
            <v>61</v>
          </cell>
          <cell r="BM1">
            <v>62</v>
          </cell>
          <cell r="BN1">
            <v>63</v>
          </cell>
          <cell r="BO1">
            <v>64</v>
          </cell>
          <cell r="BP1">
            <v>65</v>
          </cell>
          <cell r="BQ1">
            <v>66</v>
          </cell>
          <cell r="BR1">
            <v>67</v>
          </cell>
          <cell r="BS1">
            <v>68</v>
          </cell>
          <cell r="BT1">
            <v>69</v>
          </cell>
          <cell r="BU1">
            <v>70</v>
          </cell>
          <cell r="BV1">
            <v>71</v>
          </cell>
          <cell r="BW1">
            <v>72</v>
          </cell>
          <cell r="BX1">
            <v>73</v>
          </cell>
        </row>
        <row r="2">
          <cell r="D2"/>
          <cell r="E2"/>
          <cell r="F2"/>
          <cell r="G2"/>
          <cell r="H2"/>
          <cell r="I2"/>
          <cell r="J2"/>
          <cell r="K2"/>
          <cell r="L2"/>
          <cell r="M2" t="str">
            <v>subtotal</v>
          </cell>
          <cell r="N2"/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6</v>
          </cell>
          <cell r="AG2">
            <v>9</v>
          </cell>
          <cell r="AH2">
            <v>20</v>
          </cell>
          <cell r="AI2">
            <v>26</v>
          </cell>
          <cell r="AJ2">
            <v>29</v>
          </cell>
          <cell r="AK2">
            <v>28</v>
          </cell>
          <cell r="AL2">
            <v>18</v>
          </cell>
          <cell r="AM2">
            <v>38</v>
          </cell>
          <cell r="AN2">
            <v>38</v>
          </cell>
          <cell r="AO2">
            <v>34</v>
          </cell>
          <cell r="AP2">
            <v>15</v>
          </cell>
          <cell r="AQ2">
            <v>36</v>
          </cell>
          <cell r="AR2">
            <v>39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</row>
        <row r="3">
          <cell r="D3" t="str">
            <v>VI ID</v>
          </cell>
          <cell r="E3" t="str">
            <v>SKU ID</v>
          </cell>
          <cell r="F3" t="str">
            <v>당일
판매가</v>
          </cell>
          <cell r="G3" t="str">
            <v>구분</v>
          </cell>
          <cell r="H3" t="str">
            <v>SKU명</v>
          </cell>
          <cell r="I3" t="str">
            <v>쿠팡
URL</v>
          </cell>
          <cell r="J3" t="str">
            <v>원가
+VAT</v>
          </cell>
          <cell r="K3" t="str">
            <v>공급가
+VAT</v>
          </cell>
          <cell r="L3" t="str">
            <v>마진</v>
          </cell>
          <cell r="M3" t="str">
            <v>구분</v>
          </cell>
          <cell r="N3" t="str">
            <v>11월</v>
          </cell>
          <cell r="O3">
            <v>45992</v>
          </cell>
          <cell r="P3">
            <v>45993</v>
          </cell>
          <cell r="Q3">
            <v>45994</v>
          </cell>
          <cell r="R3">
            <v>45995</v>
          </cell>
          <cell r="S3">
            <v>45996</v>
          </cell>
          <cell r="T3">
            <v>45997</v>
          </cell>
          <cell r="U3">
            <v>45998</v>
          </cell>
          <cell r="V3">
            <v>45999</v>
          </cell>
          <cell r="W3">
            <v>46000</v>
          </cell>
          <cell r="X3">
            <v>46001</v>
          </cell>
          <cell r="Y3">
            <v>46002</v>
          </cell>
          <cell r="Z3">
            <v>46003</v>
          </cell>
          <cell r="AA3">
            <v>46004</v>
          </cell>
          <cell r="AB3">
            <v>46005</v>
          </cell>
          <cell r="AC3">
            <v>46006</v>
          </cell>
          <cell r="AD3">
            <v>46007</v>
          </cell>
          <cell r="AE3">
            <v>46008</v>
          </cell>
          <cell r="AF3">
            <v>46009</v>
          </cell>
          <cell r="AG3">
            <v>46010</v>
          </cell>
          <cell r="AH3">
            <v>46011</v>
          </cell>
          <cell r="AI3">
            <v>46012</v>
          </cell>
          <cell r="AJ3">
            <v>46013</v>
          </cell>
          <cell r="AK3">
            <v>46014</v>
          </cell>
          <cell r="AL3">
            <v>46015</v>
          </cell>
          <cell r="AM3">
            <v>46016</v>
          </cell>
          <cell r="AN3">
            <v>46017</v>
          </cell>
          <cell r="AO3">
            <v>46018</v>
          </cell>
          <cell r="AP3">
            <v>46019</v>
          </cell>
          <cell r="AQ3">
            <v>46020</v>
          </cell>
          <cell r="AR3">
            <v>46021</v>
          </cell>
          <cell r="AS3" t="str">
            <v>12월</v>
          </cell>
          <cell r="AT3">
            <v>1</v>
          </cell>
          <cell r="AU3">
            <v>2</v>
          </cell>
          <cell r="AV3">
            <v>3</v>
          </cell>
          <cell r="AW3">
            <v>4</v>
          </cell>
          <cell r="AX3">
            <v>5</v>
          </cell>
          <cell r="AY3">
            <v>6</v>
          </cell>
          <cell r="AZ3">
            <v>7</v>
          </cell>
          <cell r="BA3">
            <v>8</v>
          </cell>
          <cell r="BB3">
            <v>9</v>
          </cell>
          <cell r="BC3">
            <v>10</v>
          </cell>
          <cell r="BD3">
            <v>11</v>
          </cell>
          <cell r="BE3">
            <v>12</v>
          </cell>
          <cell r="BF3">
            <v>13</v>
          </cell>
          <cell r="BG3">
            <v>14</v>
          </cell>
          <cell r="BH3">
            <v>15</v>
          </cell>
          <cell r="BI3">
            <v>16</v>
          </cell>
          <cell r="BJ3">
            <v>17</v>
          </cell>
          <cell r="BK3">
            <v>46009</v>
          </cell>
          <cell r="BL3">
            <v>46010</v>
          </cell>
          <cell r="BM3">
            <v>46011</v>
          </cell>
          <cell r="BN3">
            <v>46012</v>
          </cell>
          <cell r="BO3">
            <v>46013</v>
          </cell>
          <cell r="BP3">
            <v>46014</v>
          </cell>
          <cell r="BQ3">
            <v>46015</v>
          </cell>
          <cell r="BR3">
            <v>46016</v>
          </cell>
          <cell r="BS3">
            <v>46017</v>
          </cell>
          <cell r="BT3">
            <v>46018</v>
          </cell>
          <cell r="BU3">
            <v>46019</v>
          </cell>
          <cell r="BV3">
            <v>46020</v>
          </cell>
          <cell r="BW3">
            <v>46021</v>
          </cell>
          <cell r="BX3">
            <v>31</v>
          </cell>
        </row>
        <row r="4">
          <cell r="D4">
            <v>94063320587</v>
          </cell>
          <cell r="E4">
            <v>66830979</v>
          </cell>
          <cell r="F4">
            <v>18800</v>
          </cell>
          <cell r="G4" t="str">
            <v>뉴클 케이블_우븐_2차상품</v>
          </cell>
          <cell r="H4" t="str">
            <v>뉴클 PD 65W USB-C 우븐케이블 2m 2개입</v>
          </cell>
          <cell r="I4" t="str">
            <v>coupang.com/vp/products/9185410194?itemId=27095115002&amp;vendorItemId=94063320587</v>
          </cell>
          <cell r="J4">
            <v>2750</v>
          </cell>
          <cell r="K4">
            <v>15000</v>
          </cell>
          <cell r="L4">
            <v>12250</v>
          </cell>
          <cell r="M4" t="str">
            <v>가구매</v>
          </cell>
          <cell r="N4"/>
          <cell r="AG4">
            <v>2</v>
          </cell>
          <cell r="AM4">
            <v>5</v>
          </cell>
          <cell r="AN4">
            <v>23</v>
          </cell>
          <cell r="AO4">
            <v>1</v>
          </cell>
        </row>
        <row r="5">
          <cell r="D5">
            <v>94063039673</v>
          </cell>
          <cell r="E5">
            <v>66830808</v>
          </cell>
          <cell r="F5">
            <v>18800</v>
          </cell>
          <cell r="G5" t="str">
            <v>뉴클 케이블_우븐_2차상품</v>
          </cell>
          <cell r="H5" t="str">
            <v>뉴클 PD 65W USB-C 우븐케이블 3m</v>
          </cell>
          <cell r="I5" t="str">
            <v>coupang.com/vp/products/9185370245?itemId=27094833279&amp;vendorItemId=94063039673</v>
          </cell>
          <cell r="J5">
            <v>2200</v>
          </cell>
          <cell r="K5">
            <v>15000</v>
          </cell>
          <cell r="L5">
            <v>12800</v>
          </cell>
          <cell r="M5" t="str">
            <v>가구매</v>
          </cell>
          <cell r="N5"/>
          <cell r="AG5">
            <v>2</v>
          </cell>
          <cell r="AN5">
            <v>28</v>
          </cell>
        </row>
        <row r="6">
          <cell r="D6">
            <v>94063039674</v>
          </cell>
          <cell r="E6">
            <v>66830810</v>
          </cell>
          <cell r="F6">
            <v>29500</v>
          </cell>
          <cell r="G6" t="str">
            <v>뉴클 케이블_우븐_2차상품</v>
          </cell>
          <cell r="H6" t="str">
            <v>뉴클 PD 65W USB-C 우븐케이블 3m 2개입</v>
          </cell>
          <cell r="I6" t="str">
            <v>coupang.com/vp/products/9185370245?itemId=27094833281&amp;vendorItemId=94063039674</v>
          </cell>
          <cell r="J6">
            <v>4400</v>
          </cell>
          <cell r="K6">
            <v>23500</v>
          </cell>
          <cell r="L6">
            <v>19100</v>
          </cell>
          <cell r="M6" t="str">
            <v>가구매</v>
          </cell>
          <cell r="N6"/>
          <cell r="AG6">
            <v>2</v>
          </cell>
          <cell r="AM6">
            <v>5</v>
          </cell>
          <cell r="AN6">
            <v>20</v>
          </cell>
        </row>
        <row r="7">
          <cell r="D7">
            <v>94225398690</v>
          </cell>
          <cell r="E7">
            <v>67604720</v>
          </cell>
          <cell r="F7">
            <v>9500</v>
          </cell>
          <cell r="G7" t="str">
            <v>닐킨 맥세이프 링 스티커</v>
          </cell>
          <cell r="H7" t="str">
            <v>닐킨 마그네틱 링 홀더 스티커 1P 블랙</v>
          </cell>
          <cell r="I7" t="str">
            <v>coupang.com/vp/products/9223576623?itemId=27258568770&amp;vendorItemId=94225398690</v>
          </cell>
          <cell r="J7">
            <v>2750</v>
          </cell>
          <cell r="K7">
            <v>7500</v>
          </cell>
          <cell r="L7">
            <v>4750</v>
          </cell>
          <cell r="M7" t="str">
            <v>가구매</v>
          </cell>
          <cell r="N7"/>
        </row>
        <row r="8">
          <cell r="D8">
            <v>94267557600</v>
          </cell>
          <cell r="E8">
            <v>67748462</v>
          </cell>
          <cell r="F8">
            <v>12900</v>
          </cell>
          <cell r="G8" t="str">
            <v>닐킨 맥세이프 링 스티커</v>
          </cell>
          <cell r="H8" t="str">
            <v>닐킨 마그네틱 링 홀더 스티커 1P 네이비</v>
          </cell>
          <cell r="I8" t="str">
            <v>coupang.com/vp/products/9234537821?itemId=27301013951&amp;vendorItemId=94267557600</v>
          </cell>
          <cell r="J8">
            <v>2750</v>
          </cell>
          <cell r="K8">
            <v>7500</v>
          </cell>
          <cell r="L8">
            <v>4750</v>
          </cell>
          <cell r="M8" t="str">
            <v>가구매</v>
          </cell>
          <cell r="N8"/>
        </row>
        <row r="9">
          <cell r="D9">
            <v>94267557598</v>
          </cell>
          <cell r="E9">
            <v>67748464</v>
          </cell>
          <cell r="F9">
            <v>11550</v>
          </cell>
          <cell r="G9" t="str">
            <v>닐킨 맥세이프 링 스티커</v>
          </cell>
          <cell r="H9" t="str">
            <v>닐킨 마그네틱 링 홀더 스티커 1P 라이트그린</v>
          </cell>
          <cell r="I9" t="str">
            <v>coupang.com/vp/products/9234537821?itemId=27301013953&amp;vendorItemId=94267557598</v>
          </cell>
          <cell r="J9">
            <v>2750</v>
          </cell>
          <cell r="K9">
            <v>7500</v>
          </cell>
          <cell r="L9">
            <v>4750</v>
          </cell>
          <cell r="M9" t="str">
            <v>가구매</v>
          </cell>
          <cell r="N9"/>
        </row>
        <row r="10">
          <cell r="D10">
            <v>94267557599</v>
          </cell>
          <cell r="E10">
            <v>67748466</v>
          </cell>
          <cell r="F10">
            <v>11550</v>
          </cell>
          <cell r="G10" t="str">
            <v>닐킨 맥세이프 링 스티커</v>
          </cell>
          <cell r="H10" t="str">
            <v>닐킨 마그네틱 링 홀더 스티커 1P 퍼플</v>
          </cell>
          <cell r="I10" t="str">
            <v>coupang.com/vp/products/9234537821?itemId=27301013957&amp;vendorItemId=94267557599</v>
          </cell>
          <cell r="J10">
            <v>2750</v>
          </cell>
          <cell r="K10">
            <v>7500</v>
          </cell>
          <cell r="L10">
            <v>4750</v>
          </cell>
          <cell r="M10" t="str">
            <v>가구매</v>
          </cell>
          <cell r="N10"/>
        </row>
        <row r="11">
          <cell r="D11">
            <v>94225398695</v>
          </cell>
          <cell r="E11">
            <v>67604721</v>
          </cell>
          <cell r="F11">
            <v>19000</v>
          </cell>
          <cell r="G11" t="str">
            <v>닐킨 맥세이프 링 스티커</v>
          </cell>
          <cell r="H11" t="str">
            <v>닐킨 마그네틱 링 홀더 스티커 2P 블랙</v>
          </cell>
          <cell r="I11" t="str">
            <v>coupang.com/vp/products/9223576623?itemId=27258568773&amp;vendorItemId=94225398695</v>
          </cell>
          <cell r="J11">
            <v>5050</v>
          </cell>
          <cell r="K11">
            <v>14500</v>
          </cell>
          <cell r="L11">
            <v>9450</v>
          </cell>
          <cell r="M11" t="str">
            <v>가구매</v>
          </cell>
          <cell r="N11"/>
        </row>
        <row r="12">
          <cell r="D12">
            <v>94267557601</v>
          </cell>
          <cell r="E12">
            <v>67748468</v>
          </cell>
          <cell r="F12">
            <v>22340</v>
          </cell>
          <cell r="G12" t="str">
            <v>닐킨 맥세이프 링 스티커</v>
          </cell>
          <cell r="H12" t="str">
            <v>닐킨 마그네틱 링 홀더 스티커 2P 네이비</v>
          </cell>
          <cell r="I12" t="str">
            <v>coupang.com/vp/products/9234537821?itemId=27301013961&amp;vendorItemId=94267557601</v>
          </cell>
          <cell r="J12">
            <v>5050</v>
          </cell>
          <cell r="K12">
            <v>14500</v>
          </cell>
          <cell r="L12">
            <v>9450</v>
          </cell>
          <cell r="M12" t="str">
            <v>가구매</v>
          </cell>
          <cell r="N12"/>
        </row>
        <row r="13">
          <cell r="D13">
            <v>94267557604</v>
          </cell>
          <cell r="E13">
            <v>67748470</v>
          </cell>
          <cell r="F13">
            <v>24900</v>
          </cell>
          <cell r="G13" t="str">
            <v>닐킨 맥세이프 링 스티커</v>
          </cell>
          <cell r="H13" t="str">
            <v>닐킨 마그네틱 링 홀더 스티커 2P 라이트그린</v>
          </cell>
          <cell r="I13" t="str">
            <v>coupang.com/vp/products/9234537821?itemId=27301013963&amp;vendorItemId=94267557604</v>
          </cell>
          <cell r="J13">
            <v>5050</v>
          </cell>
          <cell r="K13">
            <v>14500</v>
          </cell>
          <cell r="L13">
            <v>9450</v>
          </cell>
          <cell r="M13" t="str">
            <v>가구매</v>
          </cell>
          <cell r="N13"/>
          <cell r="BJ13"/>
        </row>
        <row r="14">
          <cell r="D14">
            <v>94267557602</v>
          </cell>
          <cell r="E14">
            <v>67748472</v>
          </cell>
          <cell r="F14">
            <v>24900</v>
          </cell>
          <cell r="G14" t="str">
            <v>닐킨 맥세이프 링 스티커</v>
          </cell>
          <cell r="H14" t="str">
            <v>닐킨 마그네틱 링 홀더 스티커 2P 퍼플</v>
          </cell>
          <cell r="I14" t="str">
            <v>coupang.com/vp/products/9234537821?itemId=27301013966&amp;vendorItemId=94267557602</v>
          </cell>
          <cell r="J14">
            <v>5050</v>
          </cell>
          <cell r="K14">
            <v>14500</v>
          </cell>
          <cell r="L14">
            <v>9450</v>
          </cell>
          <cell r="M14" t="str">
            <v>가구매</v>
          </cell>
          <cell r="N14"/>
          <cell r="BJ14"/>
        </row>
        <row r="15">
          <cell r="D15">
            <v>94001494441</v>
          </cell>
          <cell r="E15">
            <v>66623975</v>
          </cell>
          <cell r="F15">
            <v>29500</v>
          </cell>
          <cell r="G15" t="str">
            <v>뉴클 3in1 충전스탠드 거치대</v>
          </cell>
          <cell r="H15" t="str">
            <v>뉴클 3IN1 맥세이프 충전 스탠드 블랙</v>
          </cell>
          <cell r="I15" t="str">
            <v>coupang.com/vp/products/9172017807?itemId=27032960580&amp;vendorItemId=94001494441</v>
          </cell>
          <cell r="J15">
            <v>8691</v>
          </cell>
          <cell r="K15">
            <v>23500</v>
          </cell>
          <cell r="L15">
            <v>14809</v>
          </cell>
          <cell r="M15" t="str">
            <v>가구매</v>
          </cell>
          <cell r="N15"/>
          <cell r="W15">
            <v>10</v>
          </cell>
          <cell r="X15">
            <v>10</v>
          </cell>
          <cell r="Y15">
            <v>10</v>
          </cell>
          <cell r="Z15">
            <v>15</v>
          </cell>
          <cell r="AA15">
            <v>15</v>
          </cell>
          <cell r="AB15">
            <v>15</v>
          </cell>
          <cell r="AC15">
            <v>15</v>
          </cell>
          <cell r="AE15"/>
          <cell r="AF15"/>
          <cell r="AG15"/>
          <cell r="AH15"/>
          <cell r="AN15">
            <v>4</v>
          </cell>
          <cell r="AU15">
            <v>1</v>
          </cell>
          <cell r="AV15">
            <v>16</v>
          </cell>
          <cell r="AW15">
            <v>6</v>
          </cell>
          <cell r="BA15">
            <v>1</v>
          </cell>
          <cell r="BB15">
            <v>10</v>
          </cell>
          <cell r="BC15">
            <v>10</v>
          </cell>
          <cell r="BD15">
            <v>10</v>
          </cell>
          <cell r="BE15">
            <v>15</v>
          </cell>
          <cell r="BF15">
            <v>15</v>
          </cell>
          <cell r="BG15">
            <v>15</v>
          </cell>
          <cell r="BH15">
            <v>15</v>
          </cell>
          <cell r="BJ15">
            <v>9</v>
          </cell>
          <cell r="BK15">
            <v>10</v>
          </cell>
          <cell r="BL15">
            <v>10</v>
          </cell>
          <cell r="BM15">
            <v>10</v>
          </cell>
          <cell r="BN15">
            <v>10</v>
          </cell>
          <cell r="BO15">
            <v>10</v>
          </cell>
        </row>
        <row r="16">
          <cell r="D16">
            <v>94001494442</v>
          </cell>
          <cell r="E16">
            <v>66623976</v>
          </cell>
          <cell r="F16">
            <v>29500</v>
          </cell>
          <cell r="G16" t="str">
            <v>뉴클 3in1 충전스탠드 거치대</v>
          </cell>
          <cell r="H16" t="str">
            <v>뉴클 3IN1 맥세이프 충전 스탠드 화이트</v>
          </cell>
          <cell r="I16" t="str">
            <v>coupang.com/vp/products/9172017807?itemId=27032960584&amp;vendorItemId=94001494442</v>
          </cell>
          <cell r="J16">
            <v>8691</v>
          </cell>
          <cell r="K16">
            <v>23500</v>
          </cell>
          <cell r="L16">
            <v>14809</v>
          </cell>
          <cell r="M16" t="str">
            <v>가구매</v>
          </cell>
          <cell r="N16"/>
          <cell r="V16">
            <v>10</v>
          </cell>
          <cell r="W16">
            <v>10</v>
          </cell>
          <cell r="X16">
            <v>10</v>
          </cell>
          <cell r="Y16">
            <v>10</v>
          </cell>
          <cell r="Z16">
            <v>15</v>
          </cell>
          <cell r="AA16">
            <v>15</v>
          </cell>
          <cell r="AB16">
            <v>15</v>
          </cell>
          <cell r="AE16"/>
          <cell r="AF16"/>
          <cell r="AG16"/>
          <cell r="AH16"/>
          <cell r="AT16">
            <v>21</v>
          </cell>
          <cell r="AU16">
            <v>2</v>
          </cell>
          <cell r="AX16">
            <v>10</v>
          </cell>
          <cell r="AY16">
            <v>7</v>
          </cell>
          <cell r="AZ16">
            <v>9</v>
          </cell>
          <cell r="BA16">
            <v>12</v>
          </cell>
          <cell r="BB16">
            <v>10</v>
          </cell>
          <cell r="BC16">
            <v>10</v>
          </cell>
          <cell r="BD16">
            <v>10</v>
          </cell>
          <cell r="BE16">
            <v>15</v>
          </cell>
          <cell r="BF16">
            <v>15</v>
          </cell>
          <cell r="BG16">
            <v>15</v>
          </cell>
          <cell r="BJ16">
            <v>11</v>
          </cell>
          <cell r="BK16">
            <v>10</v>
          </cell>
          <cell r="BL16">
            <v>10</v>
          </cell>
          <cell r="BM16">
            <v>10</v>
          </cell>
          <cell r="BN16">
            <v>10</v>
          </cell>
          <cell r="BO16">
            <v>10</v>
          </cell>
        </row>
        <row r="17">
          <cell r="D17">
            <v>93958083412</v>
          </cell>
          <cell r="E17">
            <v>66412607</v>
          </cell>
          <cell r="F17">
            <v>13900</v>
          </cell>
          <cell r="G17" t="str">
            <v>뉴클 파워락 흡착 거치대</v>
          </cell>
          <cell r="H17" t="str">
            <v>뉴클 파워락 맥세이프 흡착 거치대 블랙</v>
          </cell>
          <cell r="I17" t="str">
            <v>coupang.com/vp/products/9162123674?itemId=26989332801&amp;vendorItemId=93958083412</v>
          </cell>
          <cell r="J17">
            <v>2216</v>
          </cell>
          <cell r="K17">
            <v>11000</v>
          </cell>
          <cell r="L17">
            <v>8784</v>
          </cell>
          <cell r="M17" t="str">
            <v>가구매</v>
          </cell>
          <cell r="N17"/>
          <cell r="U17">
            <v>2</v>
          </cell>
          <cell r="V17">
            <v>10</v>
          </cell>
          <cell r="W17">
            <v>10</v>
          </cell>
          <cell r="X17">
            <v>10</v>
          </cell>
          <cell r="Y17">
            <v>10</v>
          </cell>
          <cell r="Z17">
            <v>15</v>
          </cell>
          <cell r="AA17">
            <v>15</v>
          </cell>
          <cell r="AB17">
            <v>21</v>
          </cell>
          <cell r="AC17">
            <v>9</v>
          </cell>
          <cell r="BA17">
            <v>10</v>
          </cell>
          <cell r="BB17">
            <v>10</v>
          </cell>
          <cell r="BC17">
            <v>10</v>
          </cell>
          <cell r="BD17">
            <v>10</v>
          </cell>
          <cell r="BE17">
            <v>15</v>
          </cell>
          <cell r="BF17">
            <v>15</v>
          </cell>
          <cell r="BG17">
            <v>15</v>
          </cell>
          <cell r="BH17">
            <v>9</v>
          </cell>
          <cell r="BJ17"/>
        </row>
        <row r="18">
          <cell r="D18">
            <v>93958083413</v>
          </cell>
          <cell r="E18">
            <v>66412609</v>
          </cell>
          <cell r="F18">
            <v>13900</v>
          </cell>
          <cell r="G18" t="str">
            <v>뉴클 파워락 흡착 거치대</v>
          </cell>
          <cell r="H18" t="str">
            <v>뉴클 파워락 맥세이프 흡착 거치대 화이트</v>
          </cell>
          <cell r="I18" t="str">
            <v>coupang.com/vp/products/9162123674?itemId=26989332802&amp;vendorItemId=93958083413</v>
          </cell>
          <cell r="J18">
            <v>2216</v>
          </cell>
          <cell r="K18">
            <v>11000</v>
          </cell>
          <cell r="L18">
            <v>8784</v>
          </cell>
          <cell r="M18" t="str">
            <v>가구매</v>
          </cell>
          <cell r="N18"/>
          <cell r="U18">
            <v>2</v>
          </cell>
          <cell r="V18">
            <v>11</v>
          </cell>
          <cell r="W18">
            <v>10</v>
          </cell>
          <cell r="X18">
            <v>10</v>
          </cell>
          <cell r="Y18">
            <v>10</v>
          </cell>
          <cell r="Z18">
            <v>14</v>
          </cell>
          <cell r="AA18">
            <v>15</v>
          </cell>
          <cell r="AB18">
            <v>21</v>
          </cell>
          <cell r="AC18">
            <v>3</v>
          </cell>
          <cell r="BA18">
            <v>11</v>
          </cell>
          <cell r="BB18">
            <v>10</v>
          </cell>
          <cell r="BC18">
            <v>10</v>
          </cell>
          <cell r="BD18">
            <v>10</v>
          </cell>
          <cell r="BE18">
            <v>14</v>
          </cell>
          <cell r="BF18">
            <v>15</v>
          </cell>
          <cell r="BG18">
            <v>15</v>
          </cell>
          <cell r="BH18">
            <v>3</v>
          </cell>
          <cell r="BJ18"/>
        </row>
        <row r="19">
          <cell r="D19">
            <v>94114222344</v>
          </cell>
          <cell r="E19">
            <v>67058985</v>
          </cell>
          <cell r="F19">
            <v>12900</v>
          </cell>
          <cell r="G19" t="str">
            <v>뉴클 부착키트 필름 아이폰17</v>
          </cell>
          <cell r="H19" t="str">
            <v>뉴클 부착키트 사생활보호필름 아이폰17</v>
          </cell>
          <cell r="I19" t="str">
            <v>coupang.com/vp/products/9196373588?itemId=27146368879&amp;vendorItemId=94114222344</v>
          </cell>
          <cell r="J19">
            <v>1672</v>
          </cell>
          <cell r="K19">
            <v>10000</v>
          </cell>
          <cell r="L19">
            <v>8328</v>
          </cell>
          <cell r="M19" t="str">
            <v>가구매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>
            <v>9</v>
          </cell>
          <cell r="X19">
            <v>10</v>
          </cell>
          <cell r="Y19">
            <v>10</v>
          </cell>
          <cell r="Z19">
            <v>10</v>
          </cell>
          <cell r="AA19">
            <v>20</v>
          </cell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>
            <v>1</v>
          </cell>
          <cell r="AM19"/>
          <cell r="AN19"/>
          <cell r="AO19"/>
          <cell r="AP19"/>
          <cell r="AQ19">
            <v>7</v>
          </cell>
          <cell r="AR19"/>
          <cell r="AS19"/>
          <cell r="AT19"/>
          <cell r="AU19"/>
          <cell r="AV19"/>
          <cell r="AW19"/>
          <cell r="AX19"/>
          <cell r="AY19"/>
          <cell r="AZ19"/>
          <cell r="BA19">
            <v>8</v>
          </cell>
          <cell r="BB19">
            <v>9</v>
          </cell>
          <cell r="BC19">
            <v>10</v>
          </cell>
          <cell r="BD19">
            <v>10</v>
          </cell>
          <cell r="BE19">
            <v>10</v>
          </cell>
          <cell r="BF19">
            <v>20</v>
          </cell>
          <cell r="BG19"/>
          <cell r="BH19">
            <v>20</v>
          </cell>
          <cell r="BI19">
            <v>4</v>
          </cell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</row>
        <row r="20">
          <cell r="D20">
            <v>94114222345</v>
          </cell>
          <cell r="E20">
            <v>67058984</v>
          </cell>
          <cell r="F20">
            <v>12900</v>
          </cell>
          <cell r="G20" t="str">
            <v>뉴클 부착키트 필름 아이폰17</v>
          </cell>
          <cell r="H20" t="str">
            <v>뉴클 부착키트 사생활보호필름 아이폰17프로</v>
          </cell>
          <cell r="I20" t="str">
            <v>coupang.com/vp/products/9196373588?itemId=27146368875&amp;vendorItemId=94114222345</v>
          </cell>
          <cell r="J20">
            <v>1672</v>
          </cell>
          <cell r="K20">
            <v>10000</v>
          </cell>
          <cell r="L20">
            <v>8328</v>
          </cell>
          <cell r="M20" t="str">
            <v>가구매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>
            <v>10</v>
          </cell>
          <cell r="X20">
            <v>10</v>
          </cell>
          <cell r="Y20">
            <v>10</v>
          </cell>
          <cell r="Z20">
            <v>10</v>
          </cell>
          <cell r="AA20">
            <v>14</v>
          </cell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>
            <v>2</v>
          </cell>
          <cell r="AM20"/>
          <cell r="AN20"/>
          <cell r="AO20"/>
          <cell r="AP20"/>
          <cell r="AQ20">
            <v>5</v>
          </cell>
          <cell r="AR20"/>
          <cell r="AS20"/>
          <cell r="AT20"/>
          <cell r="AU20"/>
          <cell r="AV20"/>
          <cell r="AW20"/>
          <cell r="AX20"/>
          <cell r="AY20"/>
          <cell r="AZ20"/>
          <cell r="BA20">
            <v>9</v>
          </cell>
          <cell r="BB20">
            <v>10</v>
          </cell>
          <cell r="BC20">
            <v>10</v>
          </cell>
          <cell r="BD20">
            <v>10</v>
          </cell>
          <cell r="BE20">
            <v>10</v>
          </cell>
          <cell r="BF20">
            <v>14</v>
          </cell>
          <cell r="BG20"/>
          <cell r="BH20"/>
          <cell r="BI20"/>
          <cell r="BJ20"/>
          <cell r="BK20"/>
          <cell r="BL20"/>
          <cell r="BM20"/>
          <cell r="BN20"/>
          <cell r="BO20">
            <v>20</v>
          </cell>
          <cell r="BP20">
            <v>20</v>
          </cell>
          <cell r="BQ20">
            <v>20</v>
          </cell>
          <cell r="BR20"/>
          <cell r="BS20">
            <v>20</v>
          </cell>
          <cell r="BT20">
            <v>21</v>
          </cell>
          <cell r="BU20">
            <v>20</v>
          </cell>
        </row>
        <row r="21">
          <cell r="D21">
            <v>94114222343</v>
          </cell>
          <cell r="E21">
            <v>67058983</v>
          </cell>
          <cell r="F21">
            <v>12900</v>
          </cell>
          <cell r="G21" t="str">
            <v>뉴클 부착키트 필름 아이폰17</v>
          </cell>
          <cell r="H21" t="str">
            <v>뉴클 부착키트 사생활보호필름 아이폰17프로맥스</v>
          </cell>
          <cell r="I21" t="str">
            <v>coupang.com/vp/products/9196373588?itemId=27146368872&amp;vendorItemId=94114222343</v>
          </cell>
          <cell r="J21">
            <v>1672</v>
          </cell>
          <cell r="K21">
            <v>10000</v>
          </cell>
          <cell r="L21">
            <v>8328</v>
          </cell>
          <cell r="M21" t="str">
            <v>가구매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>
            <v>10</v>
          </cell>
          <cell r="X21">
            <v>10</v>
          </cell>
          <cell r="Y21">
            <v>10</v>
          </cell>
          <cell r="Z21">
            <v>10</v>
          </cell>
          <cell r="AA21">
            <v>15</v>
          </cell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>
            <v>1</v>
          </cell>
          <cell r="AM21"/>
          <cell r="AN21"/>
          <cell r="AO21"/>
          <cell r="AP21"/>
          <cell r="AQ21">
            <v>5</v>
          </cell>
          <cell r="AR21"/>
          <cell r="AS21"/>
          <cell r="AT21"/>
          <cell r="AU21"/>
          <cell r="AV21"/>
          <cell r="AW21"/>
          <cell r="AX21"/>
          <cell r="AY21"/>
          <cell r="AZ21"/>
          <cell r="BA21">
            <v>8</v>
          </cell>
          <cell r="BB21">
            <v>10</v>
          </cell>
          <cell r="BC21">
            <v>10</v>
          </cell>
          <cell r="BD21">
            <v>10</v>
          </cell>
          <cell r="BE21">
            <v>10</v>
          </cell>
          <cell r="BF21">
            <v>15</v>
          </cell>
          <cell r="BG21"/>
          <cell r="BH21"/>
          <cell r="BI21"/>
          <cell r="BJ21"/>
          <cell r="BK21"/>
          <cell r="BL21"/>
          <cell r="BM21"/>
          <cell r="BN21"/>
          <cell r="BO21"/>
          <cell r="BP21">
            <v>20</v>
          </cell>
          <cell r="BQ21">
            <v>20</v>
          </cell>
          <cell r="BR21"/>
          <cell r="BS21">
            <v>20</v>
          </cell>
          <cell r="BT21">
            <v>21</v>
          </cell>
          <cell r="BU21">
            <v>20</v>
          </cell>
        </row>
        <row r="22">
          <cell r="D22">
            <v>94114222341</v>
          </cell>
          <cell r="E22">
            <v>67058988</v>
          </cell>
          <cell r="F22">
            <v>12900</v>
          </cell>
          <cell r="G22" t="str">
            <v>뉴클 부착키트 필름 아이폰17</v>
          </cell>
          <cell r="H22" t="str">
            <v>뉴클 부착키트 강화유리 필름아이폰17</v>
          </cell>
          <cell r="I22" t="str">
            <v>coupang.com/vp/products/9196373587?itemId=27146368877&amp;vendorItemId=94114222341</v>
          </cell>
          <cell r="J22">
            <v>1433</v>
          </cell>
          <cell r="K22">
            <v>10000</v>
          </cell>
          <cell r="L22">
            <v>8567</v>
          </cell>
          <cell r="M22" t="str">
            <v>가구매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>
            <v>10</v>
          </cell>
          <cell r="X22">
            <v>10</v>
          </cell>
          <cell r="Y22">
            <v>10</v>
          </cell>
          <cell r="Z22">
            <v>10</v>
          </cell>
          <cell r="AA22">
            <v>12</v>
          </cell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>
            <v>3</v>
          </cell>
          <cell r="AM22"/>
          <cell r="AN22"/>
          <cell r="AO22"/>
          <cell r="AP22"/>
          <cell r="AQ22">
            <v>5</v>
          </cell>
          <cell r="AR22"/>
          <cell r="AS22"/>
          <cell r="AT22"/>
          <cell r="AU22"/>
          <cell r="AV22"/>
          <cell r="AW22"/>
          <cell r="AX22"/>
          <cell r="AY22"/>
          <cell r="AZ22"/>
          <cell r="BA22">
            <v>9</v>
          </cell>
          <cell r="BB22">
            <v>10</v>
          </cell>
          <cell r="BC22">
            <v>10</v>
          </cell>
          <cell r="BD22">
            <v>10</v>
          </cell>
          <cell r="BE22">
            <v>10</v>
          </cell>
          <cell r="BF22">
            <v>12</v>
          </cell>
          <cell r="BG22">
            <v>17</v>
          </cell>
          <cell r="BH22"/>
          <cell r="BI22"/>
          <cell r="BJ22"/>
          <cell r="BK22"/>
          <cell r="BL22"/>
          <cell r="BM22">
            <v>15</v>
          </cell>
          <cell r="BN22">
            <v>20</v>
          </cell>
          <cell r="BO22">
            <v>21</v>
          </cell>
          <cell r="BP22">
            <v>20</v>
          </cell>
          <cell r="BQ22">
            <v>20</v>
          </cell>
          <cell r="BR22"/>
          <cell r="BS22">
            <v>20</v>
          </cell>
          <cell r="BT22">
            <v>12</v>
          </cell>
          <cell r="BU22">
            <v>1</v>
          </cell>
        </row>
        <row r="23">
          <cell r="D23">
            <v>94114222340</v>
          </cell>
          <cell r="E23">
            <v>67058987</v>
          </cell>
          <cell r="F23">
            <v>12900</v>
          </cell>
          <cell r="G23" t="str">
            <v>뉴클 부착키트 필름 아이폰17</v>
          </cell>
          <cell r="H23" t="str">
            <v>뉴클 부착키트 강화유리 필름아이폰17프로</v>
          </cell>
          <cell r="I23" t="str">
            <v>coupang.com/vp/products/9196373587?itemId=27146368874&amp;vendorItemId=94114222340</v>
          </cell>
          <cell r="J23">
            <v>1433</v>
          </cell>
          <cell r="K23">
            <v>10000</v>
          </cell>
          <cell r="L23">
            <v>8567</v>
          </cell>
          <cell r="M23" t="str">
            <v>가구매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>
            <v>10</v>
          </cell>
          <cell r="X23">
            <v>10</v>
          </cell>
          <cell r="Y23">
            <v>10</v>
          </cell>
          <cell r="Z23">
            <v>10</v>
          </cell>
          <cell r="AA23">
            <v>20</v>
          </cell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>
            <v>2</v>
          </cell>
          <cell r="AM23"/>
          <cell r="AN23"/>
          <cell r="AO23"/>
          <cell r="AP23"/>
          <cell r="AQ23">
            <v>5</v>
          </cell>
          <cell r="AR23"/>
          <cell r="AS23"/>
          <cell r="AT23"/>
          <cell r="AU23"/>
          <cell r="AV23"/>
          <cell r="AW23"/>
          <cell r="AX23"/>
          <cell r="AY23"/>
          <cell r="AZ23"/>
          <cell r="BA23">
            <v>9</v>
          </cell>
          <cell r="BB23">
            <v>10</v>
          </cell>
          <cell r="BC23">
            <v>10</v>
          </cell>
          <cell r="BD23">
            <v>10</v>
          </cell>
          <cell r="BE23">
            <v>10</v>
          </cell>
          <cell r="BF23">
            <v>20</v>
          </cell>
          <cell r="BG23">
            <v>5</v>
          </cell>
          <cell r="BH23"/>
          <cell r="BI23"/>
          <cell r="BJ23"/>
          <cell r="BK23"/>
          <cell r="BL23"/>
          <cell r="BM23">
            <v>1</v>
          </cell>
          <cell r="BN23"/>
          <cell r="BO23">
            <v>2</v>
          </cell>
          <cell r="BP23">
            <v>20</v>
          </cell>
          <cell r="BQ23">
            <v>20</v>
          </cell>
          <cell r="BR23"/>
          <cell r="BS23">
            <v>20</v>
          </cell>
          <cell r="BT23">
            <v>21</v>
          </cell>
          <cell r="BU23">
            <v>20</v>
          </cell>
        </row>
        <row r="24">
          <cell r="D24">
            <v>94114222342</v>
          </cell>
          <cell r="E24">
            <v>67058986</v>
          </cell>
          <cell r="F24">
            <v>12900</v>
          </cell>
          <cell r="G24" t="str">
            <v>뉴클 부착키트 필름 아이폰17</v>
          </cell>
          <cell r="H24" t="str">
            <v>뉴클 부착키트 강화유리 필름아이폰17프로맥스</v>
          </cell>
          <cell r="I24" t="str">
            <v>coupang.com/vp/products/9196373587?itemId=27146368871&amp;vendorItemId=94114222342</v>
          </cell>
          <cell r="J24">
            <v>1433</v>
          </cell>
          <cell r="K24">
            <v>10000</v>
          </cell>
          <cell r="L24">
            <v>8567</v>
          </cell>
          <cell r="M24" t="str">
            <v>가구매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>
            <v>10</v>
          </cell>
          <cell r="X24">
            <v>10</v>
          </cell>
          <cell r="Y24">
            <v>10</v>
          </cell>
          <cell r="Z24">
            <v>10</v>
          </cell>
          <cell r="AA24">
            <v>20</v>
          </cell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>
            <v>3</v>
          </cell>
          <cell r="AM24"/>
          <cell r="AN24"/>
          <cell r="AO24"/>
          <cell r="AP24"/>
          <cell r="AQ24">
            <v>5</v>
          </cell>
          <cell r="AR24"/>
          <cell r="AS24"/>
          <cell r="AT24"/>
          <cell r="AU24"/>
          <cell r="AV24"/>
          <cell r="AW24"/>
          <cell r="AX24"/>
          <cell r="AY24"/>
          <cell r="AZ24"/>
          <cell r="BA24">
            <v>9</v>
          </cell>
          <cell r="BB24">
            <v>10</v>
          </cell>
          <cell r="BC24">
            <v>10</v>
          </cell>
          <cell r="BD24">
            <v>10</v>
          </cell>
          <cell r="BE24">
            <v>10</v>
          </cell>
          <cell r="BF24">
            <v>20</v>
          </cell>
          <cell r="BG24">
            <v>4</v>
          </cell>
          <cell r="BH24"/>
          <cell r="BI24"/>
          <cell r="BJ24"/>
          <cell r="BK24"/>
          <cell r="BL24"/>
          <cell r="BM24">
            <v>21</v>
          </cell>
          <cell r="BN24">
            <v>20</v>
          </cell>
          <cell r="BO24">
            <v>20</v>
          </cell>
          <cell r="BP24">
            <v>20</v>
          </cell>
          <cell r="BQ24">
            <v>18</v>
          </cell>
          <cell r="BR24"/>
          <cell r="BS24">
            <v>20</v>
          </cell>
          <cell r="BT24">
            <v>21</v>
          </cell>
          <cell r="BU24">
            <v>20</v>
          </cell>
        </row>
        <row r="25">
          <cell r="D25">
            <v>93179130199</v>
          </cell>
          <cell r="E25">
            <v>62914404</v>
          </cell>
          <cell r="F25">
            <v>13140</v>
          </cell>
          <cell r="G25" t="str">
            <v>뉴클_차량용충전기_릴타입</v>
          </cell>
          <cell r="H25" t="str">
            <v>뉴클 PD 차량용 릴타입 시거잭 충전기 블랙</v>
          </cell>
          <cell r="I25" t="str">
            <v>coupang.com/vp/products/8955577311?itemId=26199895388&amp;vendorItemId=93179130199</v>
          </cell>
          <cell r="J25">
            <v>4215</v>
          </cell>
          <cell r="K25">
            <v>15000</v>
          </cell>
          <cell r="L25">
            <v>10785</v>
          </cell>
          <cell r="M25" t="str">
            <v>가구매</v>
          </cell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</row>
        <row r="26">
          <cell r="D26">
            <v>93179130210</v>
          </cell>
          <cell r="E26">
            <v>62914405</v>
          </cell>
          <cell r="F26">
            <v>13140</v>
          </cell>
          <cell r="G26" t="str">
            <v>뉴클_차량용충전기_릴타입</v>
          </cell>
          <cell r="H26" t="str">
            <v>뉴클 PD 차량용 릴타입 시거잭 충전기 화이트</v>
          </cell>
          <cell r="I26" t="str">
            <v>coupang.com/vp/products/8955577311?itemId=26199895390&amp;vendorItemId=93179130210</v>
          </cell>
          <cell r="J26">
            <v>4215</v>
          </cell>
          <cell r="K26">
            <v>15000</v>
          </cell>
          <cell r="L26">
            <v>10785</v>
          </cell>
          <cell r="M26" t="str">
            <v>가구매</v>
          </cell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</row>
        <row r="27">
          <cell r="D27">
            <v>93484384970</v>
          </cell>
          <cell r="E27">
            <v>64185546</v>
          </cell>
          <cell r="F27">
            <v>6900</v>
          </cell>
          <cell r="G27" t="str">
            <v>뉴클_차량용충전기_3포트헤드</v>
          </cell>
          <cell r="H27" t="str">
            <v>뉴클 PD 50W 3포트 차량용 충전기 블랙</v>
          </cell>
          <cell r="I27" t="str">
            <v>coupang.com/vp/products/9036430179?itemId=26509795881&amp;vendorItemId=93484384970</v>
          </cell>
          <cell r="J27">
            <v>2374</v>
          </cell>
          <cell r="K27">
            <v>5900</v>
          </cell>
          <cell r="L27">
            <v>3526</v>
          </cell>
          <cell r="M27" t="str">
            <v>가구매</v>
          </cell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>
            <v>1</v>
          </cell>
          <cell r="AC27"/>
          <cell r="AD27">
            <v>1</v>
          </cell>
          <cell r="AE27">
            <v>10</v>
          </cell>
          <cell r="AF27">
            <v>14</v>
          </cell>
          <cell r="AG27">
            <v>18</v>
          </cell>
          <cell r="AH27">
            <v>10</v>
          </cell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</row>
        <row r="28">
          <cell r="D28">
            <v>93484384971</v>
          </cell>
          <cell r="E28">
            <v>64185547</v>
          </cell>
          <cell r="F28">
            <v>6900</v>
          </cell>
          <cell r="G28" t="str">
            <v>뉴클_차량용충전기_3포트헤드</v>
          </cell>
          <cell r="H28" t="str">
            <v>뉴클 PD 50W 3포트 차량용 충전기 화이트</v>
          </cell>
          <cell r="I28" t="str">
            <v>coupang.com/vp/products/9036430179?itemId=26509795883&amp;vendorItemId=93484384971</v>
          </cell>
          <cell r="J28">
            <v>2374</v>
          </cell>
          <cell r="K28">
            <v>5900</v>
          </cell>
          <cell r="L28">
            <v>3526</v>
          </cell>
          <cell r="M28" t="str">
            <v>가구매</v>
          </cell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>
            <v>2</v>
          </cell>
          <cell r="AC28"/>
          <cell r="AD28"/>
          <cell r="AE28">
            <v>3</v>
          </cell>
          <cell r="AF28">
            <v>2</v>
          </cell>
          <cell r="AG28">
            <v>4</v>
          </cell>
          <cell r="AH28">
            <v>2</v>
          </cell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</row>
        <row r="29">
          <cell r="D29">
            <v>93227164587</v>
          </cell>
          <cell r="E29">
            <v>63099218</v>
          </cell>
          <cell r="F29">
            <v>19800</v>
          </cell>
          <cell r="G29" t="str">
            <v>뉴클 마이핏 맥세이프 보조배터리</v>
          </cell>
          <cell r="H29" t="str">
            <v>뉴클 마이핏 카드수납 맥세이프 보조배터리+스티커</v>
          </cell>
          <cell r="I29" t="str">
            <v>coupang.com/vp/products/8969081211?itemId=26248605354&amp;vendorItemId=93227164587</v>
          </cell>
          <cell r="J29">
            <v>8052</v>
          </cell>
          <cell r="K29">
            <v>16000</v>
          </cell>
          <cell r="L29">
            <v>7948</v>
          </cell>
          <cell r="M29" t="str">
            <v>가구매</v>
          </cell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</row>
        <row r="30">
          <cell r="D30">
            <v>93993071597</v>
          </cell>
          <cell r="E30">
            <v>66581364</v>
          </cell>
          <cell r="F30">
            <v>17900</v>
          </cell>
          <cell r="G30" t="str">
            <v>뉴클 에어볼트 보조배터리 10000</v>
          </cell>
          <cell r="H30" t="str">
            <v>뉴클 에어볼트 보조배터리 10000mAh 화이트</v>
          </cell>
          <cell r="I30" t="str">
            <v>coupang.com/vp/products/9170131635?itemId=27024491025&amp;vendorItemId=93993071597</v>
          </cell>
          <cell r="J30">
            <v>5090</v>
          </cell>
          <cell r="K30">
            <v>14500</v>
          </cell>
          <cell r="L30">
            <v>9410</v>
          </cell>
          <cell r="M30" t="str">
            <v>가구매</v>
          </cell>
          <cell r="N30"/>
          <cell r="AV30">
            <v>2</v>
          </cell>
          <cell r="AZ30">
            <v>25</v>
          </cell>
          <cell r="BA30">
            <v>2</v>
          </cell>
          <cell r="BD30"/>
          <cell r="BE30">
            <v>19</v>
          </cell>
          <cell r="BF30">
            <v>10</v>
          </cell>
          <cell r="BG30">
            <v>1</v>
          </cell>
          <cell r="BH30">
            <v>2</v>
          </cell>
          <cell r="BI30">
            <v>1</v>
          </cell>
          <cell r="BJ30">
            <v>21</v>
          </cell>
          <cell r="BK30">
            <v>10</v>
          </cell>
          <cell r="BL30">
            <v>10</v>
          </cell>
          <cell r="BM30">
            <v>4</v>
          </cell>
        </row>
        <row r="31">
          <cell r="D31">
            <v>93993071598</v>
          </cell>
          <cell r="E31">
            <v>66581365</v>
          </cell>
          <cell r="F31">
            <v>23900</v>
          </cell>
          <cell r="G31" t="str">
            <v>뉴클 에어볼트 보조배터리 20000</v>
          </cell>
          <cell r="H31" t="str">
            <v>뉴클 에어볼트 보조배터리 20000mAh 화이트</v>
          </cell>
          <cell r="I31" t="str">
            <v>coupang.com/vp/products/9170131636?itemId=27024491026&amp;vendorItemId=93993071598</v>
          </cell>
          <cell r="J31">
            <v>6988</v>
          </cell>
          <cell r="K31">
            <v>19000</v>
          </cell>
          <cell r="L31">
            <v>12012</v>
          </cell>
          <cell r="M31" t="str">
            <v>가구매</v>
          </cell>
          <cell r="N31"/>
          <cell r="AV31">
            <v>2</v>
          </cell>
          <cell r="BA31">
            <v>8</v>
          </cell>
          <cell r="BB31">
            <v>17</v>
          </cell>
          <cell r="BD31"/>
          <cell r="BE31"/>
          <cell r="BF31"/>
          <cell r="BG31">
            <v>18</v>
          </cell>
          <cell r="BH31">
            <v>1</v>
          </cell>
          <cell r="BI31"/>
          <cell r="BJ31">
            <v>19</v>
          </cell>
          <cell r="BK31">
            <v>10</v>
          </cell>
          <cell r="BL31">
            <v>10</v>
          </cell>
          <cell r="BM31">
            <v>10</v>
          </cell>
          <cell r="BN31">
            <v>8</v>
          </cell>
        </row>
        <row r="32">
          <cell r="D32">
            <v>93991231959</v>
          </cell>
          <cell r="E32">
            <v>66568645</v>
          </cell>
          <cell r="F32">
            <v>16900</v>
          </cell>
          <cell r="G32" t="str">
            <v>뉴클 슬림엣지 보조배터리 10000</v>
          </cell>
          <cell r="H32" t="str">
            <v>뉴클 슬림엣지 보조배터리 10000mAh 화이트</v>
          </cell>
          <cell r="I32" t="str">
            <v>coupang.com/vp/products/9169684648?itemId=27022629794&amp;vendorItemId=93991231959</v>
          </cell>
          <cell r="J32">
            <v>4255</v>
          </cell>
          <cell r="K32">
            <v>13500</v>
          </cell>
          <cell r="L32">
            <v>9245</v>
          </cell>
          <cell r="M32" t="str">
            <v>가구매</v>
          </cell>
          <cell r="N32"/>
          <cell r="AV32">
            <v>1</v>
          </cell>
          <cell r="BA32">
            <v>6</v>
          </cell>
          <cell r="BB32">
            <v>13</v>
          </cell>
          <cell r="BC32">
            <v>8</v>
          </cell>
          <cell r="BD32"/>
          <cell r="BE32"/>
          <cell r="BF32"/>
          <cell r="BG32">
            <v>16</v>
          </cell>
          <cell r="BH32">
            <v>1</v>
          </cell>
          <cell r="BI32"/>
          <cell r="BJ32">
            <v>15</v>
          </cell>
          <cell r="BK32">
            <v>10</v>
          </cell>
          <cell r="BL32">
            <v>10</v>
          </cell>
          <cell r="BM32">
            <v>10</v>
          </cell>
          <cell r="BN32">
            <v>10</v>
          </cell>
          <cell r="BO32">
            <v>10</v>
          </cell>
        </row>
        <row r="33">
          <cell r="D33">
            <v>94198822358</v>
          </cell>
          <cell r="E33">
            <v>67446050</v>
          </cell>
          <cell r="F33">
            <v>7900</v>
          </cell>
          <cell r="G33" t="str">
            <v>뉴클 케이스_프레임리스_아이폰17</v>
          </cell>
          <cell r="H33" t="str">
            <v>뉴클 프레임리스 케이스 블루 아이폰17</v>
          </cell>
          <cell r="I33" t="str">
            <v>coupang.com/vp/products/9216974369?itemId=27231680401&amp;vendorItemId=94198822358</v>
          </cell>
          <cell r="J33">
            <v>1600</v>
          </cell>
          <cell r="K33">
            <v>7000</v>
          </cell>
          <cell r="L33">
            <v>5400</v>
          </cell>
          <cell r="M33" t="str">
            <v>가구매</v>
          </cell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>
            <v>1</v>
          </cell>
          <cell r="AW33">
            <v>1</v>
          </cell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>
            <v>4</v>
          </cell>
          <cell r="BJ33">
            <v>4</v>
          </cell>
          <cell r="BK33">
            <v>33</v>
          </cell>
          <cell r="BL33">
            <v>22</v>
          </cell>
          <cell r="BM33">
            <v>1</v>
          </cell>
          <cell r="BN33"/>
          <cell r="BO33">
            <v>0</v>
          </cell>
          <cell r="BP33">
            <v>0</v>
          </cell>
          <cell r="BQ33"/>
          <cell r="BR33"/>
          <cell r="BS33"/>
        </row>
        <row r="34">
          <cell r="D34">
            <v>94198822356</v>
          </cell>
          <cell r="E34">
            <v>67446061</v>
          </cell>
          <cell r="F34">
            <v>7900</v>
          </cell>
          <cell r="G34" t="str">
            <v>뉴클 케이스_프레임리스_아이폰17</v>
          </cell>
          <cell r="H34" t="str">
            <v>뉴클 프레임리스 케이스 블루 아이폰17 프로</v>
          </cell>
          <cell r="I34" t="str">
            <v>coupang.com/vp/products/9216974369?itemId=27231680417&amp;vendorItemId=94198822356</v>
          </cell>
          <cell r="J34">
            <v>1600</v>
          </cell>
          <cell r="K34">
            <v>7000</v>
          </cell>
          <cell r="L34">
            <v>5400</v>
          </cell>
          <cell r="M34" t="str">
            <v>가구매</v>
          </cell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>
            <v>2</v>
          </cell>
          <cell r="AW34"/>
          <cell r="AX34"/>
          <cell r="AY34"/>
          <cell r="AZ34"/>
          <cell r="BA34"/>
          <cell r="BB34"/>
          <cell r="BC34">
            <v>5</v>
          </cell>
          <cell r="BD34"/>
          <cell r="BE34"/>
          <cell r="BF34"/>
          <cell r="BG34"/>
          <cell r="BH34"/>
          <cell r="BI34">
            <v>0</v>
          </cell>
          <cell r="BJ34">
            <v>6</v>
          </cell>
          <cell r="BK34">
            <v>7</v>
          </cell>
          <cell r="BL34">
            <v>8</v>
          </cell>
          <cell r="BM34">
            <v>17</v>
          </cell>
          <cell r="BN34"/>
          <cell r="BO34">
            <v>18</v>
          </cell>
          <cell r="BP34">
            <v>0</v>
          </cell>
          <cell r="BQ34"/>
          <cell r="BR34"/>
          <cell r="BS34"/>
        </row>
        <row r="35">
          <cell r="D35">
            <v>94198822355</v>
          </cell>
          <cell r="E35">
            <v>67446055</v>
          </cell>
          <cell r="F35">
            <v>7900</v>
          </cell>
          <cell r="G35" t="str">
            <v>뉴클 케이스_프레임리스_아이폰17</v>
          </cell>
          <cell r="H35" t="str">
            <v>뉴클 프레임리스 케이스 밀키 화이트 아이폰17</v>
          </cell>
          <cell r="I35" t="str">
            <v>coupang.com/vp/products/9216974369?itemId=27231680409&amp;vendorItemId=94198822355</v>
          </cell>
          <cell r="J35">
            <v>1600</v>
          </cell>
          <cell r="K35">
            <v>7000</v>
          </cell>
          <cell r="L35">
            <v>5400</v>
          </cell>
          <cell r="M35" t="str">
            <v>가구매</v>
          </cell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>
            <v>2</v>
          </cell>
          <cell r="AW35"/>
          <cell r="AX35"/>
          <cell r="AY35"/>
          <cell r="AZ35"/>
          <cell r="BA35"/>
          <cell r="BB35"/>
          <cell r="BC35">
            <v>4</v>
          </cell>
          <cell r="BD35"/>
          <cell r="BE35"/>
          <cell r="BF35"/>
          <cell r="BG35"/>
          <cell r="BH35"/>
          <cell r="BI35">
            <v>0</v>
          </cell>
          <cell r="BJ35">
            <v>26</v>
          </cell>
          <cell r="BK35">
            <v>52</v>
          </cell>
          <cell r="BL35">
            <v>4</v>
          </cell>
          <cell r="BM35">
            <v>0</v>
          </cell>
          <cell r="BN35"/>
          <cell r="BO35">
            <v>0</v>
          </cell>
          <cell r="BP35">
            <v>0</v>
          </cell>
          <cell r="BQ35"/>
          <cell r="BR35"/>
          <cell r="BS35"/>
        </row>
        <row r="36">
          <cell r="D36">
            <v>94198822357</v>
          </cell>
          <cell r="E36">
            <v>67446066</v>
          </cell>
          <cell r="F36">
            <v>7900</v>
          </cell>
          <cell r="G36" t="str">
            <v>뉴클 케이스_프레임리스_아이폰17</v>
          </cell>
          <cell r="H36" t="str">
            <v>뉴클 프레임리스 케이스 밀키 화이트 아이폰17 프로</v>
          </cell>
          <cell r="I36" t="str">
            <v>coupang.com/vp/products/9216974369?itemId=27231680424&amp;vendorItemId=94198822357</v>
          </cell>
          <cell r="J36">
            <v>1600</v>
          </cell>
          <cell r="K36">
            <v>7000</v>
          </cell>
          <cell r="L36">
            <v>5400</v>
          </cell>
          <cell r="M36" t="str">
            <v>가구매</v>
          </cell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>
            <v>2</v>
          </cell>
          <cell r="AW36"/>
          <cell r="AX36"/>
          <cell r="AY36"/>
          <cell r="AZ36"/>
          <cell r="BA36"/>
          <cell r="BB36"/>
          <cell r="BC36">
            <v>5</v>
          </cell>
          <cell r="BD36"/>
          <cell r="BE36"/>
          <cell r="BF36"/>
          <cell r="BG36"/>
          <cell r="BH36"/>
          <cell r="BI36">
            <v>0</v>
          </cell>
          <cell r="BJ36">
            <v>26</v>
          </cell>
          <cell r="BK36">
            <v>29</v>
          </cell>
          <cell r="BL36">
            <v>28</v>
          </cell>
          <cell r="BM36">
            <v>12</v>
          </cell>
          <cell r="BN36"/>
          <cell r="BO36">
            <v>0</v>
          </cell>
          <cell r="BP36">
            <v>0</v>
          </cell>
          <cell r="BQ36"/>
          <cell r="BR36"/>
          <cell r="BS36"/>
        </row>
        <row r="37">
          <cell r="D37">
            <v>94198822351</v>
          </cell>
          <cell r="E37">
            <v>67446053</v>
          </cell>
          <cell r="F37">
            <v>7900</v>
          </cell>
          <cell r="G37" t="str">
            <v>뉴클 케이스_프레임리스_아이폰17</v>
          </cell>
          <cell r="H37" t="str">
            <v>뉴클 프레임리스 케이스 핑크 아이폰17</v>
          </cell>
          <cell r="I37" t="str">
            <v>coupang.com/vp/products/9216974369?itemId=27231680406&amp;vendorItemId=94198822351</v>
          </cell>
          <cell r="J37">
            <v>1600</v>
          </cell>
          <cell r="K37">
            <v>7000</v>
          </cell>
          <cell r="L37">
            <v>5400</v>
          </cell>
          <cell r="M37" t="str">
            <v>가구매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>
            <v>2</v>
          </cell>
          <cell r="AW37"/>
          <cell r="AX37"/>
          <cell r="AY37"/>
          <cell r="AZ37"/>
          <cell r="BA37"/>
          <cell r="BB37"/>
          <cell r="BC37">
            <v>2</v>
          </cell>
          <cell r="BD37"/>
          <cell r="BE37"/>
          <cell r="BF37"/>
          <cell r="BG37"/>
          <cell r="BH37"/>
          <cell r="BI37">
            <v>3</v>
          </cell>
          <cell r="BJ37">
            <v>6</v>
          </cell>
          <cell r="BK37">
            <v>9</v>
          </cell>
          <cell r="BL37">
            <v>13</v>
          </cell>
          <cell r="BM37">
            <v>18</v>
          </cell>
          <cell r="BN37"/>
          <cell r="BO37">
            <v>0</v>
          </cell>
          <cell r="BP37">
            <v>0</v>
          </cell>
          <cell r="BQ37"/>
          <cell r="BR37"/>
          <cell r="BS37"/>
        </row>
        <row r="38">
          <cell r="D38">
            <v>94198822354</v>
          </cell>
          <cell r="E38">
            <v>67446064</v>
          </cell>
          <cell r="F38">
            <v>7900</v>
          </cell>
          <cell r="G38" t="str">
            <v>뉴클 케이스_프레임리스_아이폰17</v>
          </cell>
          <cell r="H38" t="str">
            <v>뉴클 프레임리스 케이스 핑크 아이폰17 프로</v>
          </cell>
          <cell r="I38" t="str">
            <v>coupang.com/vp/products/9216974369?itemId=27231680422&amp;vendorItemId=94198822354</v>
          </cell>
          <cell r="J38">
            <v>1600</v>
          </cell>
          <cell r="K38">
            <v>7000</v>
          </cell>
          <cell r="L38">
            <v>5400</v>
          </cell>
          <cell r="M38" t="str">
            <v>가구매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>
            <v>2</v>
          </cell>
          <cell r="AW38"/>
          <cell r="AX38"/>
          <cell r="AY38"/>
          <cell r="AZ38"/>
          <cell r="BA38"/>
          <cell r="BB38"/>
          <cell r="BC38">
            <v>5</v>
          </cell>
          <cell r="BD38"/>
          <cell r="BE38"/>
          <cell r="BF38"/>
          <cell r="BG38"/>
          <cell r="BH38"/>
          <cell r="BI38">
            <v>0</v>
          </cell>
          <cell r="BJ38">
            <v>6</v>
          </cell>
          <cell r="BK38">
            <v>10</v>
          </cell>
          <cell r="BL38">
            <v>9</v>
          </cell>
          <cell r="BM38">
            <v>40</v>
          </cell>
          <cell r="BN38"/>
          <cell r="BO38">
            <v>0</v>
          </cell>
          <cell r="BP38">
            <v>0</v>
          </cell>
          <cell r="BQ38"/>
          <cell r="BR38"/>
          <cell r="BS38"/>
        </row>
        <row r="39">
          <cell r="D39">
            <v>94198822350</v>
          </cell>
          <cell r="E39">
            <v>67446049</v>
          </cell>
          <cell r="F39">
            <v>7900</v>
          </cell>
          <cell r="G39" t="str">
            <v>뉴클 케이스_프레임리스_아이폰17</v>
          </cell>
          <cell r="H39" t="str">
            <v>뉴클 프레임리스 케이스 블랙 아이폰17</v>
          </cell>
          <cell r="I39" t="str">
            <v>coupang.com/vp/products/9216974369?itemId=27231680399&amp;vendorItemId=94198822350</v>
          </cell>
          <cell r="J39">
            <v>1600</v>
          </cell>
          <cell r="K39">
            <v>7000</v>
          </cell>
          <cell r="L39">
            <v>5400</v>
          </cell>
          <cell r="M39" t="str">
            <v>가구매</v>
          </cell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>
            <v>2</v>
          </cell>
          <cell r="AW39"/>
          <cell r="AX39"/>
          <cell r="AY39"/>
          <cell r="AZ39"/>
          <cell r="BA39"/>
          <cell r="BB39"/>
          <cell r="BC39">
            <v>2</v>
          </cell>
          <cell r="BD39"/>
          <cell r="BE39"/>
          <cell r="BF39"/>
          <cell r="BG39"/>
          <cell r="BH39"/>
          <cell r="BI39">
            <v>3</v>
          </cell>
          <cell r="BJ39">
            <v>9</v>
          </cell>
          <cell r="BK39">
            <v>11</v>
          </cell>
          <cell r="BL39">
            <v>17</v>
          </cell>
          <cell r="BM39">
            <v>18</v>
          </cell>
          <cell r="BN39"/>
          <cell r="BO39">
            <v>0</v>
          </cell>
          <cell r="BP39">
            <v>1</v>
          </cell>
          <cell r="BQ39"/>
          <cell r="BR39"/>
          <cell r="BS39"/>
        </row>
        <row r="40">
          <cell r="D40">
            <v>94198822359</v>
          </cell>
          <cell r="E40">
            <v>67446060</v>
          </cell>
          <cell r="F40">
            <v>7900</v>
          </cell>
          <cell r="G40" t="str">
            <v>뉴클 케이스_프레임리스_아이폰17</v>
          </cell>
          <cell r="H40" t="str">
            <v>뉴클 프레임리스 케이스 블랙 아이폰17 프로</v>
          </cell>
          <cell r="I40" t="str">
            <v>coupang.com/vp/products/9216974369?itemId=27231680413&amp;vendorItemId=94198822359</v>
          </cell>
          <cell r="J40">
            <v>1600</v>
          </cell>
          <cell r="K40">
            <v>7000</v>
          </cell>
          <cell r="L40">
            <v>5400</v>
          </cell>
          <cell r="M40" t="str">
            <v>가구매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>
            <v>2</v>
          </cell>
          <cell r="AW40"/>
          <cell r="AX40"/>
          <cell r="AY40"/>
          <cell r="AZ40"/>
          <cell r="BA40"/>
          <cell r="BB40"/>
          <cell r="BC40">
            <v>2</v>
          </cell>
          <cell r="BD40"/>
          <cell r="BE40"/>
          <cell r="BF40"/>
          <cell r="BG40"/>
          <cell r="BH40"/>
          <cell r="BI40">
            <v>2</v>
          </cell>
          <cell r="BJ40">
            <v>24</v>
          </cell>
          <cell r="BK40">
            <v>7</v>
          </cell>
          <cell r="BL40">
            <v>15</v>
          </cell>
          <cell r="BM40">
            <v>0</v>
          </cell>
          <cell r="BN40"/>
          <cell r="BO40">
            <v>1</v>
          </cell>
          <cell r="BP40">
            <v>0</v>
          </cell>
          <cell r="BQ40"/>
          <cell r="BR40"/>
          <cell r="BS40"/>
        </row>
        <row r="41">
          <cell r="D41">
            <v>94198822352</v>
          </cell>
          <cell r="E41">
            <v>67446052</v>
          </cell>
          <cell r="F41">
            <v>7900</v>
          </cell>
          <cell r="G41" t="str">
            <v>뉴클 케이스_프레임리스_아이폰17</v>
          </cell>
          <cell r="H41" t="str">
            <v>뉴클 프레임리스 케이스 오렌지 아이폰17</v>
          </cell>
          <cell r="I41" t="str">
            <v>coupang.com/vp/products/9216974369?itemId=27231680403&amp;vendorItemId=94198822352</v>
          </cell>
          <cell r="J41">
            <v>1600</v>
          </cell>
          <cell r="K41">
            <v>7000</v>
          </cell>
          <cell r="L41">
            <v>5400</v>
          </cell>
          <cell r="M41" t="str">
            <v>가구매</v>
          </cell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>
            <v>2</v>
          </cell>
          <cell r="AW41"/>
          <cell r="AX41"/>
          <cell r="AY41"/>
          <cell r="AZ41"/>
          <cell r="BA41"/>
          <cell r="BB41"/>
          <cell r="BC41">
            <v>2</v>
          </cell>
          <cell r="BD41"/>
          <cell r="BE41"/>
          <cell r="BF41"/>
          <cell r="BG41"/>
          <cell r="BH41"/>
          <cell r="BI41">
            <v>3</v>
          </cell>
          <cell r="BJ41">
            <v>0</v>
          </cell>
          <cell r="BK41">
            <v>4</v>
          </cell>
          <cell r="BL41">
            <v>13</v>
          </cell>
          <cell r="BM41">
            <v>20</v>
          </cell>
          <cell r="BN41"/>
          <cell r="BO41">
            <v>20</v>
          </cell>
          <cell r="BP41">
            <v>0</v>
          </cell>
          <cell r="BQ41"/>
          <cell r="BR41"/>
          <cell r="BS41"/>
        </row>
        <row r="42">
          <cell r="D42">
            <v>94198822360</v>
          </cell>
          <cell r="E42">
            <v>67446063</v>
          </cell>
          <cell r="F42">
            <v>7900</v>
          </cell>
          <cell r="G42" t="str">
            <v>뉴클 케이스_프레임리스_아이폰17</v>
          </cell>
          <cell r="H42" t="str">
            <v>뉴클 프레임리스 케이스 오렌지 아이폰17 프로</v>
          </cell>
          <cell r="I42" t="str">
            <v>coupang.com/vp/products/9216974369?itemId=27231680420&amp;vendorItemId=94198822360</v>
          </cell>
          <cell r="J42">
            <v>1600</v>
          </cell>
          <cell r="K42">
            <v>7000</v>
          </cell>
          <cell r="L42">
            <v>5400</v>
          </cell>
          <cell r="M42" t="str">
            <v>가구매</v>
          </cell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>
            <v>2</v>
          </cell>
          <cell r="AW42"/>
          <cell r="AX42"/>
          <cell r="AY42"/>
          <cell r="AZ42"/>
          <cell r="BA42"/>
          <cell r="BB42"/>
          <cell r="BC42">
            <v>5</v>
          </cell>
          <cell r="BD42"/>
          <cell r="BE42"/>
          <cell r="BF42"/>
          <cell r="BG42"/>
          <cell r="BH42"/>
          <cell r="BI42">
            <v>0</v>
          </cell>
          <cell r="BJ42">
            <v>8</v>
          </cell>
          <cell r="BK42">
            <v>8</v>
          </cell>
          <cell r="BL42">
            <v>11</v>
          </cell>
          <cell r="BM42">
            <v>8</v>
          </cell>
          <cell r="BN42"/>
          <cell r="BO42">
            <v>31</v>
          </cell>
          <cell r="BP42">
            <v>0</v>
          </cell>
          <cell r="BQ42"/>
          <cell r="BR42"/>
          <cell r="BS42"/>
        </row>
        <row r="43">
          <cell r="D43">
            <v>94198822349</v>
          </cell>
          <cell r="E43">
            <v>67446048</v>
          </cell>
          <cell r="F43">
            <v>7900</v>
          </cell>
          <cell r="G43" t="str">
            <v>뉴클 케이스_프레임리스_아이폰17</v>
          </cell>
          <cell r="H43" t="str">
            <v>뉴클 프레임리스 케이스 그레이 아이폰17</v>
          </cell>
          <cell r="I43" t="str">
            <v>coupang.com/vp/products/9216974369?itemId=27231680397&amp;vendorItemId=94198822349</v>
          </cell>
          <cell r="J43">
            <v>1600</v>
          </cell>
          <cell r="K43">
            <v>7000</v>
          </cell>
          <cell r="L43">
            <v>5400</v>
          </cell>
          <cell r="M43" t="str">
            <v>가구매</v>
          </cell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>
            <v>1</v>
          </cell>
          <cell r="AW43">
            <v>1</v>
          </cell>
          <cell r="AX43"/>
          <cell r="AY43"/>
          <cell r="AZ43"/>
          <cell r="BA43"/>
          <cell r="BB43"/>
          <cell r="BC43">
            <v>5</v>
          </cell>
          <cell r="BD43"/>
          <cell r="BE43"/>
          <cell r="BF43"/>
          <cell r="BG43"/>
          <cell r="BH43"/>
          <cell r="BI43">
            <v>0</v>
          </cell>
          <cell r="BJ43">
            <v>67</v>
          </cell>
          <cell r="BK43">
            <v>5</v>
          </cell>
          <cell r="BL43">
            <v>4</v>
          </cell>
          <cell r="BM43">
            <v>0</v>
          </cell>
          <cell r="BN43"/>
          <cell r="BO43">
            <v>0</v>
          </cell>
          <cell r="BP43">
            <v>1</v>
          </cell>
          <cell r="BQ43"/>
          <cell r="BR43"/>
          <cell r="BS43"/>
        </row>
        <row r="44">
          <cell r="D44">
            <v>94198822353</v>
          </cell>
          <cell r="E44">
            <v>67446057</v>
          </cell>
          <cell r="F44">
            <v>7900</v>
          </cell>
          <cell r="G44" t="str">
            <v>뉴클 케이스_프레임리스_아이폰17</v>
          </cell>
          <cell r="H44" t="str">
            <v>뉴클 프레임리스 케이스 그레이 아이폰17 프로</v>
          </cell>
          <cell r="I44" t="str">
            <v>coupang.com/vp/products/9216974369?itemId=27231680411&amp;vendorItemId=94198822353</v>
          </cell>
          <cell r="J44">
            <v>1600</v>
          </cell>
          <cell r="K44">
            <v>7000</v>
          </cell>
          <cell r="L44">
            <v>5400</v>
          </cell>
          <cell r="M44" t="str">
            <v>가구매</v>
          </cell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>
            <v>2</v>
          </cell>
          <cell r="AW44"/>
          <cell r="AX44"/>
          <cell r="AY44"/>
          <cell r="AZ44"/>
          <cell r="BA44"/>
          <cell r="BB44"/>
          <cell r="BC44">
            <v>3</v>
          </cell>
          <cell r="BD44">
            <v>1</v>
          </cell>
          <cell r="BE44"/>
          <cell r="BF44"/>
          <cell r="BG44"/>
          <cell r="BH44"/>
          <cell r="BI44">
            <v>0</v>
          </cell>
          <cell r="BJ44">
            <v>2</v>
          </cell>
          <cell r="BK44">
            <v>11</v>
          </cell>
          <cell r="BL44">
            <v>0</v>
          </cell>
          <cell r="BM44">
            <v>0</v>
          </cell>
          <cell r="BN44"/>
          <cell r="BO44">
            <v>10</v>
          </cell>
          <cell r="BP44">
            <v>0</v>
          </cell>
          <cell r="BQ44"/>
          <cell r="BR44"/>
          <cell r="BS44"/>
        </row>
        <row r="45">
          <cell r="D45">
            <v>93934082268</v>
          </cell>
          <cell r="E45">
            <v>66302376</v>
          </cell>
          <cell r="F45">
            <v>7900</v>
          </cell>
          <cell r="G45" t="str">
            <v>뉴클 필름_종이질감_광고ON</v>
          </cell>
          <cell r="H45" t="str">
            <v>종이질감 필름 3매 아이폰AIR</v>
          </cell>
          <cell r="I45" t="str">
            <v>coupang.com/vp/products/9156030387?itemId=26965135261&amp;vendorItemId=93934082268</v>
          </cell>
          <cell r="J45">
            <v>2450</v>
          </cell>
          <cell r="K45">
            <v>6000</v>
          </cell>
          <cell r="L45">
            <v>3550</v>
          </cell>
          <cell r="M45" t="str">
            <v>가구매</v>
          </cell>
          <cell r="N45"/>
          <cell r="O45"/>
          <cell r="P45"/>
          <cell r="Q45"/>
          <cell r="R45"/>
          <cell r="S45"/>
          <cell r="T45">
            <v>2</v>
          </cell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>
            <v>2</v>
          </cell>
          <cell r="AF45"/>
          <cell r="AG45"/>
          <cell r="AH45"/>
          <cell r="AI45">
            <v>3</v>
          </cell>
          <cell r="AJ45"/>
          <cell r="AK45"/>
          <cell r="AL45">
            <v>26</v>
          </cell>
          <cell r="AM45">
            <v>4</v>
          </cell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>
            <v>4</v>
          </cell>
          <cell r="BB45">
            <v>10</v>
          </cell>
          <cell r="BC45">
            <v>10</v>
          </cell>
          <cell r="BD45">
            <v>10</v>
          </cell>
          <cell r="BE45">
            <v>10</v>
          </cell>
          <cell r="BF45">
            <v>20</v>
          </cell>
          <cell r="BG45">
            <v>3</v>
          </cell>
          <cell r="BH45">
            <v>0</v>
          </cell>
          <cell r="BI45">
            <v>0</v>
          </cell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</row>
        <row r="46">
          <cell r="D46">
            <v>93934082265</v>
          </cell>
          <cell r="E46">
            <v>66302377</v>
          </cell>
          <cell r="F46">
            <v>7900</v>
          </cell>
          <cell r="G46" t="str">
            <v>뉴클 필름_종이질감_광고ON</v>
          </cell>
          <cell r="H46" t="str">
            <v>종이질감 필름 3매 아이폰17</v>
          </cell>
          <cell r="I46" t="str">
            <v>coupang.com/vp/products/9156030387?itemId=26965135263&amp;vendorItemId=93934082265</v>
          </cell>
          <cell r="J46">
            <v>2450</v>
          </cell>
          <cell r="K46">
            <v>6000</v>
          </cell>
          <cell r="L46">
            <v>3550</v>
          </cell>
          <cell r="M46" t="str">
            <v>가구매</v>
          </cell>
          <cell r="N46"/>
          <cell r="O46"/>
          <cell r="P46"/>
          <cell r="Q46"/>
          <cell r="R46"/>
          <cell r="S46"/>
          <cell r="T46">
            <v>2</v>
          </cell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>
            <v>2</v>
          </cell>
          <cell r="AF46"/>
          <cell r="AG46"/>
          <cell r="AH46"/>
          <cell r="AI46">
            <v>3</v>
          </cell>
          <cell r="AJ46"/>
          <cell r="AK46"/>
          <cell r="AL46">
            <v>27</v>
          </cell>
          <cell r="AM46">
            <v>6</v>
          </cell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>
            <v>7</v>
          </cell>
          <cell r="BB46"/>
          <cell r="BC46"/>
          <cell r="BD46"/>
          <cell r="BE46">
            <v>20</v>
          </cell>
          <cell r="BF46">
            <v>20</v>
          </cell>
          <cell r="BG46">
            <v>10</v>
          </cell>
          <cell r="BH46">
            <v>20</v>
          </cell>
          <cell r="BI46">
            <v>40</v>
          </cell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</row>
        <row r="47">
          <cell r="D47">
            <v>93934082266</v>
          </cell>
          <cell r="E47">
            <v>66302378</v>
          </cell>
          <cell r="F47">
            <v>7900</v>
          </cell>
          <cell r="G47" t="str">
            <v>뉴클 필름_종이질감_광고ON</v>
          </cell>
          <cell r="H47" t="str">
            <v>종이질감 필름 3매 아이폰17프로</v>
          </cell>
          <cell r="I47" t="str">
            <v>coupang.com/vp/products/9156030387?itemId=26965135265&amp;vendorItemId=93934082266</v>
          </cell>
          <cell r="J47">
            <v>2450</v>
          </cell>
          <cell r="K47">
            <v>6000</v>
          </cell>
          <cell r="L47">
            <v>3550</v>
          </cell>
          <cell r="M47" t="str">
            <v>가구매</v>
          </cell>
          <cell r="N47"/>
          <cell r="O47"/>
          <cell r="P47"/>
          <cell r="Q47"/>
          <cell r="R47"/>
          <cell r="S47"/>
          <cell r="T47">
            <v>2</v>
          </cell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>
            <v>2</v>
          </cell>
          <cell r="AF47"/>
          <cell r="AG47"/>
          <cell r="AH47"/>
          <cell r="AI47">
            <v>3</v>
          </cell>
          <cell r="AJ47"/>
          <cell r="AK47"/>
          <cell r="AL47">
            <v>17</v>
          </cell>
          <cell r="AM47">
            <v>22</v>
          </cell>
          <cell r="AN47">
            <v>1</v>
          </cell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>
            <v>8</v>
          </cell>
          <cell r="BB47">
            <v>10</v>
          </cell>
          <cell r="BC47">
            <v>10</v>
          </cell>
          <cell r="BD47">
            <v>10</v>
          </cell>
          <cell r="BE47">
            <v>10</v>
          </cell>
          <cell r="BF47">
            <v>20</v>
          </cell>
          <cell r="BG47">
            <v>18</v>
          </cell>
          <cell r="BH47">
            <v>19</v>
          </cell>
          <cell r="BI47">
            <v>0</v>
          </cell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</row>
        <row r="48">
          <cell r="D48">
            <v>93934082267</v>
          </cell>
          <cell r="E48">
            <v>66302379</v>
          </cell>
          <cell r="F48">
            <v>7900</v>
          </cell>
          <cell r="G48" t="str">
            <v>뉴클 필름_종이질감_광고ON</v>
          </cell>
          <cell r="H48" t="str">
            <v>종이질감 필름 3매 아이폰17프로맥스</v>
          </cell>
          <cell r="I48" t="str">
            <v>coupang.com/vp/products/9156030387?itemId=26965135267&amp;vendorItemId=93934082267</v>
          </cell>
          <cell r="J48">
            <v>2450</v>
          </cell>
          <cell r="K48">
            <v>6000</v>
          </cell>
          <cell r="L48">
            <v>3550</v>
          </cell>
          <cell r="M48" t="str">
            <v>가구매</v>
          </cell>
          <cell r="N48"/>
          <cell r="O48"/>
          <cell r="P48"/>
          <cell r="Q48"/>
          <cell r="R48"/>
          <cell r="S48"/>
          <cell r="T48">
            <v>2</v>
          </cell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>
            <v>2</v>
          </cell>
          <cell r="AF48"/>
          <cell r="AG48"/>
          <cell r="AH48"/>
          <cell r="AI48">
            <v>2</v>
          </cell>
          <cell r="AJ48"/>
          <cell r="AK48"/>
          <cell r="AL48"/>
          <cell r="AM48">
            <v>8</v>
          </cell>
          <cell r="AN48">
            <v>2</v>
          </cell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>
            <v>6</v>
          </cell>
          <cell r="BB48">
            <v>11</v>
          </cell>
          <cell r="BC48">
            <v>10</v>
          </cell>
          <cell r="BD48">
            <v>10</v>
          </cell>
          <cell r="BE48">
            <v>10</v>
          </cell>
          <cell r="BF48">
            <v>20</v>
          </cell>
          <cell r="BG48">
            <v>7</v>
          </cell>
          <cell r="BH48">
            <v>0</v>
          </cell>
          <cell r="BI48">
            <v>0</v>
          </cell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</row>
        <row r="49">
          <cell r="D49">
            <v>94165948973</v>
          </cell>
          <cell r="E49">
            <v>67323638</v>
          </cell>
          <cell r="F49">
            <v>10600</v>
          </cell>
          <cell r="G49" t="str">
            <v>케이스킨_맥세이프케이스</v>
          </cell>
          <cell r="H49" t="str">
            <v>케이스킨 맥세이프 범퍼 케이스 S25엣지 투명</v>
          </cell>
          <cell r="I49" t="str">
            <v>coupang.com/vp/products/9208536767?itemId=27198507928&amp;vendorItemId=94165948973</v>
          </cell>
          <cell r="J49">
            <v>927</v>
          </cell>
          <cell r="K49">
            <v>8500</v>
          </cell>
          <cell r="L49">
            <v>7573</v>
          </cell>
          <cell r="M49" t="str">
            <v>가구매</v>
          </cell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>
            <v>2</v>
          </cell>
          <cell r="AW49"/>
          <cell r="AX49"/>
          <cell r="AY49"/>
          <cell r="AZ49"/>
          <cell r="BA49"/>
          <cell r="BB49"/>
          <cell r="BC49"/>
          <cell r="BD49">
            <v>2</v>
          </cell>
          <cell r="BE49"/>
          <cell r="BF49"/>
          <cell r="BG49"/>
          <cell r="BH49"/>
          <cell r="BI49">
            <v>23</v>
          </cell>
          <cell r="BJ49">
            <v>3</v>
          </cell>
          <cell r="BK49">
            <v>14</v>
          </cell>
          <cell r="BL49">
            <v>0</v>
          </cell>
          <cell r="BM49">
            <v>0</v>
          </cell>
          <cell r="BN49"/>
          <cell r="BO49">
            <v>14</v>
          </cell>
          <cell r="BP49">
            <v>0</v>
          </cell>
          <cell r="BQ49">
            <v>0</v>
          </cell>
          <cell r="BR49"/>
          <cell r="BS49">
            <v>0</v>
          </cell>
          <cell r="BT49"/>
          <cell r="BU49"/>
          <cell r="BV49"/>
        </row>
        <row r="50">
          <cell r="D50">
            <v>94159413426</v>
          </cell>
          <cell r="E50">
            <v>67314865</v>
          </cell>
          <cell r="F50">
            <v>10600</v>
          </cell>
          <cell r="G50" t="str">
            <v>케이스킨_맥세이프케이스</v>
          </cell>
          <cell r="H50" t="str">
            <v>케이스킨 맥세이프 케이스 S25엣지 그레이</v>
          </cell>
          <cell r="I50" t="str">
            <v>coupang.com/vp/products/9207001112?itemId=27191917020&amp;vendorItemId=94159413426</v>
          </cell>
          <cell r="J50">
            <v>3613</v>
          </cell>
          <cell r="K50">
            <v>8500</v>
          </cell>
          <cell r="L50">
            <v>4887</v>
          </cell>
          <cell r="M50" t="str">
            <v>가구매</v>
          </cell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>
            <v>2</v>
          </cell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>
            <v>0</v>
          </cell>
          <cell r="BJ50">
            <v>0</v>
          </cell>
          <cell r="BK50">
            <v>10</v>
          </cell>
          <cell r="BL50">
            <v>0</v>
          </cell>
          <cell r="BM50">
            <v>0</v>
          </cell>
          <cell r="BN50"/>
          <cell r="BO50">
            <v>7</v>
          </cell>
          <cell r="BP50">
            <v>10</v>
          </cell>
          <cell r="BQ50">
            <v>1</v>
          </cell>
          <cell r="BR50"/>
          <cell r="BS50">
            <v>0</v>
          </cell>
          <cell r="BT50"/>
          <cell r="BU50"/>
          <cell r="BV50">
            <v>10</v>
          </cell>
        </row>
        <row r="51">
          <cell r="D51">
            <v>94159413427</v>
          </cell>
          <cell r="E51">
            <v>67314863</v>
          </cell>
          <cell r="F51">
            <v>10600</v>
          </cell>
          <cell r="G51" t="str">
            <v>케이스킨_맥세이프케이스</v>
          </cell>
          <cell r="H51" t="str">
            <v>케이스킨 맥세이프 케이스 S25엣지 그린</v>
          </cell>
          <cell r="I51" t="str">
            <v>coupang.com/vp/products/9207001112?itemId=27191917019&amp;vendorItemId=94159413427</v>
          </cell>
          <cell r="J51">
            <v>3613</v>
          </cell>
          <cell r="K51">
            <v>8500</v>
          </cell>
          <cell r="L51">
            <v>4887</v>
          </cell>
          <cell r="M51" t="str">
            <v>가구매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>
            <v>2</v>
          </cell>
          <cell r="AW51"/>
          <cell r="AX51"/>
          <cell r="AY51"/>
          <cell r="AZ51"/>
          <cell r="BA51"/>
          <cell r="BB51"/>
          <cell r="BC51">
            <v>3</v>
          </cell>
          <cell r="BD51">
            <v>2</v>
          </cell>
          <cell r="BE51"/>
          <cell r="BF51"/>
          <cell r="BG51"/>
          <cell r="BH51"/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/>
          <cell r="BO51">
            <v>5</v>
          </cell>
          <cell r="BP51">
            <v>13</v>
          </cell>
          <cell r="BQ51">
            <v>7</v>
          </cell>
          <cell r="BR51"/>
          <cell r="BS51">
            <v>20</v>
          </cell>
          <cell r="BT51">
            <v>2</v>
          </cell>
          <cell r="BU51"/>
          <cell r="BV51"/>
        </row>
        <row r="52">
          <cell r="D52">
            <v>94159413429</v>
          </cell>
          <cell r="E52">
            <v>67314870</v>
          </cell>
          <cell r="F52">
            <v>10600</v>
          </cell>
          <cell r="G52" t="str">
            <v>케이스킨_맥세이프케이스</v>
          </cell>
          <cell r="H52" t="str">
            <v>케이스킨 맥세이프 케이스 S25엣지 네이비</v>
          </cell>
          <cell r="I52" t="str">
            <v>coupang.com/vp/products/9207001112?itemId=27191917022&amp;vendorItemId=94159413429</v>
          </cell>
          <cell r="J52">
            <v>3613</v>
          </cell>
          <cell r="K52">
            <v>8500</v>
          </cell>
          <cell r="L52">
            <v>4887</v>
          </cell>
          <cell r="M52" t="str">
            <v>가구매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>
            <v>2</v>
          </cell>
          <cell r="AW52"/>
          <cell r="AX52"/>
          <cell r="AY52"/>
          <cell r="AZ52"/>
          <cell r="BA52"/>
          <cell r="BB52"/>
          <cell r="BC52">
            <v>3</v>
          </cell>
          <cell r="BD52">
            <v>2</v>
          </cell>
          <cell r="BE52"/>
          <cell r="BF52"/>
          <cell r="BG52"/>
          <cell r="BH52"/>
          <cell r="BI52">
            <v>26</v>
          </cell>
          <cell r="BJ52">
            <v>0</v>
          </cell>
          <cell r="BK52">
            <v>12</v>
          </cell>
          <cell r="BL52">
            <v>0</v>
          </cell>
          <cell r="BM52">
            <v>0</v>
          </cell>
          <cell r="BN52"/>
          <cell r="BO52">
            <v>3</v>
          </cell>
          <cell r="BP52">
            <v>1</v>
          </cell>
          <cell r="BQ52">
            <v>8</v>
          </cell>
          <cell r="BR52"/>
          <cell r="BS52">
            <v>0</v>
          </cell>
          <cell r="BT52"/>
          <cell r="BU52"/>
          <cell r="BV52"/>
        </row>
        <row r="53">
          <cell r="D53">
            <v>94159413428</v>
          </cell>
          <cell r="E53">
            <v>67314862</v>
          </cell>
          <cell r="F53">
            <v>10600</v>
          </cell>
          <cell r="G53" t="str">
            <v>케이스킨_맥세이프케이스</v>
          </cell>
          <cell r="H53" t="str">
            <v>케이스킨 맥세이프 케이스 S25엣지 블랙</v>
          </cell>
          <cell r="I53" t="str">
            <v>coupang.com/vp/products/9207001112?itemId=27191917017&amp;vendorItemId=94159413428</v>
          </cell>
          <cell r="J53">
            <v>3613</v>
          </cell>
          <cell r="K53">
            <v>8500</v>
          </cell>
          <cell r="L53">
            <v>4887</v>
          </cell>
          <cell r="M53" t="str">
            <v>가구매</v>
          </cell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>
            <v>2</v>
          </cell>
          <cell r="AW53"/>
          <cell r="AX53"/>
          <cell r="AY53"/>
          <cell r="AZ53"/>
          <cell r="BA53"/>
          <cell r="BB53"/>
          <cell r="BC53"/>
          <cell r="BD53">
            <v>1</v>
          </cell>
          <cell r="BE53"/>
          <cell r="BF53"/>
          <cell r="BG53"/>
          <cell r="BH53"/>
          <cell r="BI53">
            <v>1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/>
          <cell r="BO53">
            <v>8</v>
          </cell>
          <cell r="BP53">
            <v>8</v>
          </cell>
          <cell r="BQ53">
            <v>0</v>
          </cell>
          <cell r="BR53"/>
          <cell r="BS53">
            <v>0</v>
          </cell>
          <cell r="BT53"/>
          <cell r="BU53"/>
          <cell r="BV53"/>
        </row>
        <row r="54">
          <cell r="D54">
            <v>94165998567</v>
          </cell>
          <cell r="E54">
            <v>67327200</v>
          </cell>
          <cell r="F54">
            <v>11900</v>
          </cell>
          <cell r="G54" t="str">
            <v>케이스킨_맥세이프케이스</v>
          </cell>
          <cell r="H54" t="str">
            <v>케이스킨 맥세이프 케이스 S25엣지 오로라</v>
          </cell>
          <cell r="I54" t="str">
            <v>coupang.com/vp/products/9208549853?itemId=27198558291&amp;vendorItemId=94165998567</v>
          </cell>
          <cell r="J54">
            <v>3613</v>
          </cell>
          <cell r="K54">
            <v>9500</v>
          </cell>
          <cell r="L54">
            <v>5887</v>
          </cell>
          <cell r="M54" t="str">
            <v>가구매</v>
          </cell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>
            <v>2</v>
          </cell>
          <cell r="AW54"/>
          <cell r="AX54"/>
          <cell r="AY54"/>
          <cell r="AZ54"/>
          <cell r="BA54"/>
          <cell r="BB54"/>
          <cell r="BC54">
            <v>8</v>
          </cell>
          <cell r="BD54"/>
          <cell r="BE54"/>
          <cell r="BF54"/>
          <cell r="BG54"/>
          <cell r="BH54"/>
          <cell r="BI54">
            <v>4</v>
          </cell>
          <cell r="BJ54">
            <v>0</v>
          </cell>
          <cell r="BK54">
            <v>0</v>
          </cell>
          <cell r="BL54">
            <v>29</v>
          </cell>
          <cell r="BM54">
            <v>0</v>
          </cell>
          <cell r="BN54"/>
          <cell r="BO54">
            <v>23</v>
          </cell>
          <cell r="BP54">
            <v>0</v>
          </cell>
          <cell r="BQ54">
            <v>0</v>
          </cell>
          <cell r="BR54"/>
          <cell r="BS54">
            <v>0</v>
          </cell>
          <cell r="BT54"/>
          <cell r="BU54"/>
          <cell r="BV54">
            <v>12</v>
          </cell>
        </row>
        <row r="55">
          <cell r="D55">
            <v>94159413430</v>
          </cell>
          <cell r="E55">
            <v>67314868</v>
          </cell>
          <cell r="F55">
            <v>10600</v>
          </cell>
          <cell r="G55" t="str">
            <v>케이스킨_맥세이프케이스</v>
          </cell>
          <cell r="H55" t="str">
            <v>케이스킨 맥세이프 케이스 S25엣지 핑크</v>
          </cell>
          <cell r="I55" t="str">
            <v>coupang.com/vp/products/9207001112?itemId=27191917021&amp;vendorItemId=94159413430</v>
          </cell>
          <cell r="J55">
            <v>3613</v>
          </cell>
          <cell r="K55">
            <v>8500</v>
          </cell>
          <cell r="L55">
            <v>4887</v>
          </cell>
          <cell r="M55" t="str">
            <v>가구매</v>
          </cell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>
            <v>2</v>
          </cell>
          <cell r="AW55"/>
          <cell r="AX55"/>
          <cell r="AY55"/>
          <cell r="AZ55"/>
          <cell r="BA55"/>
          <cell r="BB55"/>
          <cell r="BC55"/>
          <cell r="BD55">
            <v>2</v>
          </cell>
          <cell r="BE55"/>
          <cell r="BF55"/>
          <cell r="BG55"/>
          <cell r="BH55"/>
          <cell r="BI55">
            <v>2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/>
          <cell r="BO55">
            <v>17</v>
          </cell>
          <cell r="BP55">
            <v>8</v>
          </cell>
          <cell r="BQ55">
            <v>4</v>
          </cell>
          <cell r="BR55"/>
          <cell r="BS55">
            <v>0</v>
          </cell>
          <cell r="BT55"/>
          <cell r="BU55"/>
          <cell r="BV55"/>
        </row>
        <row r="56">
          <cell r="D56">
            <v>94165910266</v>
          </cell>
          <cell r="E56">
            <v>67320373</v>
          </cell>
          <cell r="F56">
            <v>6300</v>
          </cell>
          <cell r="G56" t="str">
            <v>케이스킨_소프크케이스</v>
          </cell>
          <cell r="H56" t="str">
            <v>케이스킨 소프트 휴대폰 케이스 S25엣지 그린</v>
          </cell>
          <cell r="I56" t="str">
            <v>coupang.com/vp/products/9208523475?itemId=27198468391&amp;vendorItemId=94165910266</v>
          </cell>
          <cell r="J56">
            <v>518</v>
          </cell>
          <cell r="K56">
            <v>5000</v>
          </cell>
          <cell r="L56">
            <v>4482</v>
          </cell>
          <cell r="M56" t="str">
            <v>가구매</v>
          </cell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>
            <v>2</v>
          </cell>
          <cell r="AW56"/>
          <cell r="AX56"/>
          <cell r="AY56"/>
          <cell r="AZ56"/>
          <cell r="BA56"/>
          <cell r="BB56"/>
          <cell r="BC56">
            <v>2</v>
          </cell>
          <cell r="BD56">
            <v>1</v>
          </cell>
          <cell r="BE56"/>
          <cell r="BF56"/>
          <cell r="BG56"/>
          <cell r="BH56"/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/>
          <cell r="BO56">
            <v>15</v>
          </cell>
          <cell r="BP56">
            <v>0</v>
          </cell>
          <cell r="BQ56">
            <v>1</v>
          </cell>
          <cell r="BR56"/>
          <cell r="BS56">
            <v>0</v>
          </cell>
          <cell r="BT56"/>
          <cell r="BU56"/>
          <cell r="BV56">
            <v>18</v>
          </cell>
        </row>
        <row r="57">
          <cell r="D57">
            <v>94165910267</v>
          </cell>
          <cell r="E57">
            <v>67320374</v>
          </cell>
          <cell r="F57">
            <v>6300</v>
          </cell>
          <cell r="G57" t="str">
            <v>케이스킨_소프크케이스</v>
          </cell>
          <cell r="H57" t="str">
            <v>케이스킨 소프트 휴대폰 케이스 S25엣지 네이비</v>
          </cell>
          <cell r="I57" t="str">
            <v>coupang.com/vp/products/9208523475?itemId=27198468392&amp;vendorItemId=94165910267</v>
          </cell>
          <cell r="J57">
            <v>518</v>
          </cell>
          <cell r="K57">
            <v>5000</v>
          </cell>
          <cell r="L57">
            <v>4482</v>
          </cell>
          <cell r="M57" t="str">
            <v>가구매</v>
          </cell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>
            <v>2</v>
          </cell>
          <cell r="AW57"/>
          <cell r="AX57"/>
          <cell r="AY57"/>
          <cell r="AZ57"/>
          <cell r="BA57"/>
          <cell r="BB57"/>
          <cell r="BC57">
            <v>2</v>
          </cell>
          <cell r="BD57"/>
          <cell r="BE57"/>
          <cell r="BF57"/>
          <cell r="BG57"/>
          <cell r="BH57"/>
          <cell r="BI57">
            <v>2</v>
          </cell>
          <cell r="BJ57">
            <v>0</v>
          </cell>
          <cell r="BK57">
            <v>0</v>
          </cell>
          <cell r="BL57">
            <v>1</v>
          </cell>
          <cell r="BM57">
            <v>0</v>
          </cell>
          <cell r="BN57"/>
          <cell r="BO57">
            <v>2</v>
          </cell>
          <cell r="BP57">
            <v>0</v>
          </cell>
          <cell r="BQ57">
            <v>0</v>
          </cell>
          <cell r="BR57"/>
          <cell r="BS57">
            <v>0</v>
          </cell>
          <cell r="BT57"/>
          <cell r="BU57"/>
          <cell r="BV57">
            <v>1</v>
          </cell>
        </row>
        <row r="58">
          <cell r="D58">
            <v>94165910265</v>
          </cell>
          <cell r="E58">
            <v>67320369</v>
          </cell>
          <cell r="F58">
            <v>6300</v>
          </cell>
          <cell r="G58" t="str">
            <v>케이스킨_소프크케이스</v>
          </cell>
          <cell r="H58" t="str">
            <v>케이스킨 소프트 휴대폰 케이스 S25엣지 블랙</v>
          </cell>
          <cell r="I58" t="str">
            <v>coupang.com/vp/products/9208523475?itemId=27198468389&amp;vendorItemId=94165910265</v>
          </cell>
          <cell r="J58">
            <v>518</v>
          </cell>
          <cell r="K58">
            <v>5000</v>
          </cell>
          <cell r="L58">
            <v>4482</v>
          </cell>
          <cell r="M58" t="str">
            <v>가구매</v>
          </cell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>
            <v>2</v>
          </cell>
          <cell r="AW58"/>
          <cell r="AX58"/>
          <cell r="AY58"/>
          <cell r="AZ58"/>
          <cell r="BA58"/>
          <cell r="BB58"/>
          <cell r="BC58">
            <v>8</v>
          </cell>
          <cell r="BD58">
            <v>7</v>
          </cell>
          <cell r="BE58"/>
          <cell r="BF58"/>
          <cell r="BG58"/>
          <cell r="BH58"/>
          <cell r="BI58">
            <v>13</v>
          </cell>
          <cell r="BJ58">
            <v>0</v>
          </cell>
          <cell r="BK58">
            <v>0</v>
          </cell>
          <cell r="BL58">
            <v>60</v>
          </cell>
          <cell r="BM58">
            <v>0</v>
          </cell>
          <cell r="BN58"/>
          <cell r="BO58">
            <v>20</v>
          </cell>
          <cell r="BP58">
            <v>11</v>
          </cell>
          <cell r="BQ58">
            <v>27</v>
          </cell>
          <cell r="BR58"/>
          <cell r="BS58">
            <v>20</v>
          </cell>
          <cell r="BT58">
            <v>20</v>
          </cell>
          <cell r="BU58"/>
          <cell r="BV58">
            <v>10</v>
          </cell>
        </row>
        <row r="59">
          <cell r="D59">
            <v>94165910264</v>
          </cell>
          <cell r="E59">
            <v>67320375</v>
          </cell>
          <cell r="F59">
            <v>6300</v>
          </cell>
          <cell r="G59" t="str">
            <v>케이스킨_소프크케이스</v>
          </cell>
          <cell r="H59" t="str">
            <v>케이스킨 소프트 휴대폰 케이스 S25엣지 피치</v>
          </cell>
          <cell r="I59" t="str">
            <v>coupang.com/vp/products/9208523475?itemId=27198468395&amp;vendorItemId=94165910264</v>
          </cell>
          <cell r="J59">
            <v>518</v>
          </cell>
          <cell r="K59">
            <v>5000</v>
          </cell>
          <cell r="L59">
            <v>4482</v>
          </cell>
          <cell r="M59" t="str">
            <v>가구매</v>
          </cell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>
            <v>2</v>
          </cell>
          <cell r="AW59"/>
          <cell r="AX59"/>
          <cell r="AY59"/>
          <cell r="AZ59"/>
          <cell r="BA59"/>
          <cell r="BB59"/>
          <cell r="BC59">
            <v>2</v>
          </cell>
          <cell r="BD59"/>
          <cell r="BE59"/>
          <cell r="BF59"/>
          <cell r="BG59"/>
          <cell r="BH59"/>
          <cell r="BI59">
            <v>2</v>
          </cell>
          <cell r="BJ59">
            <v>0</v>
          </cell>
          <cell r="BK59">
            <v>0</v>
          </cell>
          <cell r="BL59">
            <v>2</v>
          </cell>
          <cell r="BM59">
            <v>0</v>
          </cell>
          <cell r="BN59"/>
          <cell r="BO59">
            <v>0</v>
          </cell>
          <cell r="BP59">
            <v>0</v>
          </cell>
          <cell r="BQ59">
            <v>0</v>
          </cell>
          <cell r="BR59"/>
          <cell r="BS59">
            <v>0</v>
          </cell>
          <cell r="BT59"/>
          <cell r="BU59"/>
          <cell r="BV59">
            <v>1</v>
          </cell>
        </row>
        <row r="60">
          <cell r="D60">
            <v>94165910268</v>
          </cell>
          <cell r="E60">
            <v>67320376</v>
          </cell>
          <cell r="F60">
            <v>6300</v>
          </cell>
          <cell r="G60" t="str">
            <v>케이스킨_소프크케이스</v>
          </cell>
          <cell r="H60" t="str">
            <v>케이스킨 소프트 휴대폰 케이스 S25엣지 화이트</v>
          </cell>
          <cell r="I60" t="str">
            <v>coupang.com/vp/products/9208523475?itemId=27198468397&amp;vendorItemId=94165910268</v>
          </cell>
          <cell r="J60">
            <v>518</v>
          </cell>
          <cell r="K60">
            <v>5000</v>
          </cell>
          <cell r="L60">
            <v>4482</v>
          </cell>
          <cell r="M60" t="str">
            <v>가구매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>
            <v>2</v>
          </cell>
          <cell r="AW60"/>
          <cell r="AX60"/>
          <cell r="AY60"/>
          <cell r="AZ60"/>
          <cell r="BA60"/>
          <cell r="BB60"/>
          <cell r="BC60">
            <v>2</v>
          </cell>
          <cell r="BD60">
            <v>1</v>
          </cell>
          <cell r="BE60"/>
          <cell r="BF60"/>
          <cell r="BG60"/>
          <cell r="BH60"/>
          <cell r="BI60">
            <v>0</v>
          </cell>
          <cell r="BJ60">
            <v>0</v>
          </cell>
          <cell r="BK60">
            <v>11</v>
          </cell>
          <cell r="BL60">
            <v>0</v>
          </cell>
          <cell r="BM60">
            <v>1</v>
          </cell>
          <cell r="BN60"/>
          <cell r="BO60">
            <v>21</v>
          </cell>
          <cell r="BP60">
            <v>19</v>
          </cell>
          <cell r="BQ60">
            <v>2</v>
          </cell>
          <cell r="BR60"/>
          <cell r="BS60">
            <v>0</v>
          </cell>
          <cell r="BT60"/>
          <cell r="BU60"/>
          <cell r="BV60">
            <v>10</v>
          </cell>
        </row>
        <row r="61">
          <cell r="D61">
            <v>94165978257</v>
          </cell>
          <cell r="E61">
            <v>67324134</v>
          </cell>
          <cell r="F61">
            <v>6300</v>
          </cell>
          <cell r="G61" t="str">
            <v>케이스킨_소프크케이스</v>
          </cell>
          <cell r="H61" t="str">
            <v>케이스킨 소프트 휴대폰 케이스 투명  S25 엣지</v>
          </cell>
          <cell r="I61" t="str">
            <v>coupang.com/vp/products/9208544155?itemId=27198537883&amp;vendorItemId=94165978257</v>
          </cell>
          <cell r="J61">
            <v>464</v>
          </cell>
          <cell r="K61">
            <v>5000</v>
          </cell>
          <cell r="L61">
            <v>4536</v>
          </cell>
          <cell r="M61" t="str">
            <v>가구매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>
            <v>2</v>
          </cell>
          <cell r="AW61"/>
          <cell r="AX61"/>
          <cell r="AY61"/>
          <cell r="AZ61"/>
          <cell r="BA61"/>
          <cell r="BB61"/>
          <cell r="BC61"/>
          <cell r="BD61">
            <v>2</v>
          </cell>
          <cell r="BE61"/>
          <cell r="BF61"/>
          <cell r="BG61"/>
          <cell r="BH61"/>
          <cell r="BI61">
            <v>26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/>
          <cell r="BO61">
            <v>28</v>
          </cell>
          <cell r="BP61">
            <v>0</v>
          </cell>
          <cell r="BQ61">
            <v>0</v>
          </cell>
          <cell r="BR61"/>
          <cell r="BS61">
            <v>0</v>
          </cell>
          <cell r="BT61"/>
          <cell r="BU61"/>
          <cell r="BV61">
            <v>0</v>
          </cell>
        </row>
        <row r="62">
          <cell r="D62">
            <v>94064828660</v>
          </cell>
          <cell r="E62"/>
          <cell r="F62">
            <v>15900</v>
          </cell>
          <cell r="G62" t="str">
            <v>락스탠드_맥세이프_거치대</v>
          </cell>
          <cell r="H62" t="str">
            <v>락스탠드 맥세이프 360회전 거치대 블랙</v>
          </cell>
          <cell r="I62" t="str">
            <v>coupang.com/vp/products/9185698311?itemId=27096637245&amp;vendorItemId=94064828660</v>
          </cell>
          <cell r="J62">
            <v>4651</v>
          </cell>
          <cell r="K62">
            <v>11559.8</v>
          </cell>
          <cell r="L62">
            <v>6908.7999999999993</v>
          </cell>
          <cell r="M62" t="str">
            <v>가구매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>
            <v>3</v>
          </cell>
          <cell r="AH62">
            <v>4</v>
          </cell>
          <cell r="AI62">
            <v>5</v>
          </cell>
          <cell r="AJ62">
            <v>6</v>
          </cell>
          <cell r="AK62">
            <v>6</v>
          </cell>
          <cell r="AL62">
            <v>6</v>
          </cell>
          <cell r="AM62">
            <v>8</v>
          </cell>
          <cell r="AN62">
            <v>6</v>
          </cell>
          <cell r="AO62">
            <v>7</v>
          </cell>
          <cell r="AP62">
            <v>7</v>
          </cell>
          <cell r="AQ62">
            <v>5</v>
          </cell>
          <cell r="AR62">
            <v>8</v>
          </cell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</row>
        <row r="63">
          <cell r="D63">
            <v>94064828659</v>
          </cell>
          <cell r="E63"/>
          <cell r="F63">
            <v>15900</v>
          </cell>
          <cell r="G63" t="str">
            <v>락스탠드_맥세이프_거치대</v>
          </cell>
          <cell r="H63" t="str">
            <v>락스탠드 맥세이프 360회전 거치대 화이트</v>
          </cell>
          <cell r="I63" t="str">
            <v>coupang.com/vp/products/9185698311?itemId=27096637243&amp;vendorItemId=94064828659</v>
          </cell>
          <cell r="J63">
            <v>4651</v>
          </cell>
          <cell r="K63">
            <v>11559.8</v>
          </cell>
          <cell r="L63">
            <v>6908.7999999999993</v>
          </cell>
          <cell r="M63" t="str">
            <v>가구매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>
            <v>3</v>
          </cell>
          <cell r="AH63">
            <v>4</v>
          </cell>
          <cell r="AI63">
            <v>6</v>
          </cell>
          <cell r="AJ63">
            <v>5</v>
          </cell>
          <cell r="AK63">
            <v>6</v>
          </cell>
          <cell r="AL63">
            <v>6</v>
          </cell>
          <cell r="AM63">
            <v>6</v>
          </cell>
          <cell r="AN63">
            <v>8</v>
          </cell>
          <cell r="AO63">
            <v>7</v>
          </cell>
          <cell r="AP63">
            <v>7</v>
          </cell>
          <cell r="AQ63">
            <v>7</v>
          </cell>
          <cell r="AR63">
            <v>7</v>
          </cell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</row>
        <row r="64">
          <cell r="D64">
            <v>94064844120</v>
          </cell>
          <cell r="E64"/>
          <cell r="F64">
            <v>21900</v>
          </cell>
          <cell r="G64" t="str">
            <v>락스탠드_태블릿_거치대</v>
          </cell>
          <cell r="H64" t="str">
            <v>락스탠드 3관절 마운트 대형 거치대 블랙</v>
          </cell>
          <cell r="I64" t="str">
            <v>coupang.com/vp/products/9185697458?itemId=27096652877&amp;vendorItemId=94064844120</v>
          </cell>
          <cell r="J64">
            <v>11340</v>
          </cell>
          <cell r="K64">
            <v>17091.8</v>
          </cell>
          <cell r="L64">
            <v>5751.7999999999993</v>
          </cell>
          <cell r="M64" t="str">
            <v>가구매</v>
          </cell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>
            <v>3</v>
          </cell>
          <cell r="AH64">
            <v>4</v>
          </cell>
          <cell r="AI64">
            <v>5</v>
          </cell>
          <cell r="AJ64">
            <v>6</v>
          </cell>
          <cell r="AK64">
            <v>7</v>
          </cell>
          <cell r="AL64">
            <v>3</v>
          </cell>
          <cell r="AM64">
            <v>10</v>
          </cell>
          <cell r="AN64">
            <v>10</v>
          </cell>
          <cell r="AO64">
            <v>10</v>
          </cell>
          <cell r="AP64">
            <v>1</v>
          </cell>
          <cell r="AQ64">
            <v>10</v>
          </cell>
          <cell r="AR64">
            <v>10</v>
          </cell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</row>
        <row r="65">
          <cell r="D65">
            <v>94064836776</v>
          </cell>
          <cell r="E65"/>
          <cell r="F65">
            <v>14900</v>
          </cell>
          <cell r="G65" t="str">
            <v>락스탠드_높이조절_거치대</v>
          </cell>
          <cell r="H65" t="str">
            <v>락스탠드 3단 높이조절 거치대 블랙</v>
          </cell>
          <cell r="I65" t="str">
            <v>coupang.com/vp/products/9185698199?itemId=27096645614&amp;vendorItemId=94064836776</v>
          </cell>
          <cell r="J65">
            <v>5660</v>
          </cell>
          <cell r="K65">
            <v>10737.8</v>
          </cell>
          <cell r="L65">
            <v>5077.7999999999993</v>
          </cell>
          <cell r="M65" t="str">
            <v>가구매</v>
          </cell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>
            <v>3</v>
          </cell>
          <cell r="AG65"/>
          <cell r="AH65">
            <v>4</v>
          </cell>
          <cell r="AI65">
            <v>5</v>
          </cell>
          <cell r="AJ65">
            <v>6</v>
          </cell>
          <cell r="AK65">
            <v>2</v>
          </cell>
          <cell r="AL65"/>
          <cell r="AM65">
            <v>7</v>
          </cell>
          <cell r="AN65">
            <v>7</v>
          </cell>
          <cell r="AO65">
            <v>4</v>
          </cell>
          <cell r="AP65"/>
          <cell r="AQ65">
            <v>7</v>
          </cell>
          <cell r="AR65">
            <v>7</v>
          </cell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</row>
        <row r="66">
          <cell r="D66">
            <v>94064836775</v>
          </cell>
          <cell r="E66"/>
          <cell r="F66">
            <v>14900</v>
          </cell>
          <cell r="G66" t="str">
            <v>락스탠드_높이조절_거치대</v>
          </cell>
          <cell r="H66" t="str">
            <v>락스탠드 3단 높이조절 거치대 화이트</v>
          </cell>
          <cell r="I66" t="str">
            <v>coupang.com/vp/products/9185698199?itemId=27096645617&amp;vendorItemId=94064836775</v>
          </cell>
          <cell r="J66">
            <v>5660</v>
          </cell>
          <cell r="K66">
            <v>10737.8</v>
          </cell>
          <cell r="L66">
            <v>5077.7999999999993</v>
          </cell>
          <cell r="M66" t="str">
            <v>가구매</v>
          </cell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>
            <v>3</v>
          </cell>
          <cell r="AG66"/>
          <cell r="AH66">
            <v>4</v>
          </cell>
          <cell r="AI66">
            <v>5</v>
          </cell>
          <cell r="AJ66">
            <v>6</v>
          </cell>
          <cell r="AK66">
            <v>7</v>
          </cell>
          <cell r="AL66">
            <v>3</v>
          </cell>
          <cell r="AM66">
            <v>7</v>
          </cell>
          <cell r="AN66">
            <v>7</v>
          </cell>
          <cell r="AO66">
            <v>6</v>
          </cell>
          <cell r="AP66"/>
          <cell r="AQ66">
            <v>7</v>
          </cell>
          <cell r="AR66">
            <v>7</v>
          </cell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</row>
        <row r="67"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2F03-5083-4586-91BA-0B03AC6A23CA}">
  <sheetPr codeName="Sheet1"/>
  <dimension ref="A1:BZ376"/>
  <sheetViews>
    <sheetView tabSelected="1" workbookViewId="0">
      <pane ySplit="6" topLeftCell="A207" activePane="bottomLeft" state="frozen"/>
      <selection pane="bottomLeft" activeCell="BD207" sqref="BD207"/>
    </sheetView>
  </sheetViews>
  <sheetFormatPr defaultColWidth="9" defaultRowHeight="20.100000000000001" customHeight="1" outlineLevelCol="1" x14ac:dyDescent="0.3"/>
  <cols>
    <col min="1" max="1" width="4.625" style="1" customWidth="1"/>
    <col min="2" max="2" width="5.625" style="4" customWidth="1"/>
    <col min="3" max="3" width="4.625" style="1" customWidth="1"/>
    <col min="4" max="4" width="20.625" style="4" customWidth="1"/>
    <col min="5" max="5" width="13.625" style="4" customWidth="1"/>
    <col min="6" max="6" width="14.75" style="2" customWidth="1"/>
    <col min="7" max="7" width="5.625" style="3" customWidth="1" outlineLevel="1"/>
    <col min="8" max="8" width="5.625" style="2" customWidth="1" outlineLevel="1"/>
    <col min="9" max="9" width="5.625" style="3" customWidth="1" outlineLevel="1"/>
    <col min="10" max="10" width="18.625" style="4" customWidth="1"/>
    <col min="11" max="11" width="8.625" style="5" customWidth="1"/>
    <col min="12" max="12" width="6.625" style="1" customWidth="1"/>
    <col min="13" max="16" width="5.625" style="1" hidden="1" customWidth="1" outlineLevel="1"/>
    <col min="17" max="17" width="7.625" style="31" customWidth="1" collapsed="1"/>
    <col min="18" max="29" width="5.625" style="1" hidden="1" customWidth="1" outlineLevel="1"/>
    <col min="30" max="30" width="5.625" style="1" hidden="1" customWidth="1" outlineLevel="1" collapsed="1"/>
    <col min="31" max="40" width="5.625" style="1" hidden="1" customWidth="1" outlineLevel="1"/>
    <col min="41" max="41" width="5.625" style="1" hidden="1" customWidth="1" outlineLevel="1" collapsed="1"/>
    <col min="42" max="42" width="5.625" style="1" customWidth="1" collapsed="1"/>
    <col min="43" max="47" width="5.625" style="1" hidden="1" customWidth="1" outlineLevel="1"/>
    <col min="48" max="48" width="5.625" style="1" customWidth="1" collapsed="1"/>
    <col min="49" max="49" width="5.625" style="1" customWidth="1"/>
    <col min="50" max="54" width="5.625" style="1" hidden="1" customWidth="1" outlineLevel="1"/>
    <col min="55" max="55" width="5.625" style="1" customWidth="1" collapsed="1"/>
    <col min="56" max="56" width="5.625" style="1" customWidth="1"/>
    <col min="57" max="61" width="5.625" style="1" hidden="1" customWidth="1" outlineLevel="1"/>
    <col min="62" max="62" width="5.625" style="1" customWidth="1" collapsed="1"/>
    <col min="63" max="63" width="5.625" style="1" customWidth="1"/>
    <col min="64" max="64" width="5.625" style="1" hidden="1" customWidth="1" outlineLevel="1" collapsed="1"/>
    <col min="65" max="68" width="5.625" style="1" hidden="1" customWidth="1" outlineLevel="1"/>
    <col min="69" max="69" width="5.625" style="1" customWidth="1" collapsed="1"/>
    <col min="70" max="75" width="5.625" style="1" customWidth="1"/>
    <col min="76" max="76" width="12.625" style="5" customWidth="1"/>
    <col min="77" max="77" width="9.125" style="4" bestFit="1" customWidth="1"/>
    <col min="78" max="16384" width="9" style="1"/>
  </cols>
  <sheetData>
    <row r="1" spans="1:78" ht="20.100000000000001" customHeight="1" x14ac:dyDescent="0.3"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</row>
    <row r="2" spans="1:78" ht="20.100000000000001" customHeight="1" x14ac:dyDescent="0.3">
      <c r="D2" s="65" t="s">
        <v>409</v>
      </c>
      <c r="Q2" s="103" t="s">
        <v>125</v>
      </c>
      <c r="R2" s="32" cm="1">
        <f t="array" aca="1" ref="R2" ca="1">SUMPRODUCT(
(SUBTOTAL(109,OFFSET(R7,ROW(R7:R1011)-ROW(R7),0,1)))*
($Q$7:$Q$1011="판매수량"))</f>
        <v>502</v>
      </c>
      <c r="S2" s="32" cm="1">
        <f t="array" aca="1" ref="S2" ca="1">SUMPRODUCT(
(SUBTOTAL(109,OFFSET(S7,ROW(S7:S1011)-ROW(S7),0,1)))*
($Q$7:$Q$1011="판매수량"))</f>
        <v>399</v>
      </c>
      <c r="T2" s="32" cm="1">
        <f t="array" aca="1" ref="T2" ca="1">SUMPRODUCT(
(SUBTOTAL(109,OFFSET(T7,ROW(T7:T1011)-ROW(T7),0,1)))*
($Q$7:$Q$1011="판매수량"))</f>
        <v>407</v>
      </c>
      <c r="U2" s="32" cm="1">
        <f t="array" aca="1" ref="U2" ca="1">SUMPRODUCT(
(SUBTOTAL(109,OFFSET(U7,ROW(U7:U1011)-ROW(U7),0,1)))*
($Q$7:$Q$1011="판매수량"))</f>
        <v>374</v>
      </c>
      <c r="V2" s="32" cm="1">
        <f t="array" aca="1" ref="V2" ca="1">SUMPRODUCT(
(SUBTOTAL(109,OFFSET(V7,ROW(V7:V1011)-ROW(V7),0,1)))*
($Q$7:$Q$1011="판매수량"))</f>
        <v>398</v>
      </c>
      <c r="W2" s="32" cm="1">
        <f t="array" aca="1" ref="W2" ca="1">SUMPRODUCT(
(SUBTOTAL(109,OFFSET(W7,ROW(W7:W1011)-ROW(W7),0,1)))*
($Q$7:$Q$1011="판매수량"))</f>
        <v>364</v>
      </c>
      <c r="X2" s="32" cm="1">
        <f t="array" aca="1" ref="X2" ca="1">SUMPRODUCT(
(SUBTOTAL(109,OFFSET(X7,ROW(X7:X1011)-ROW(X7),0,1)))*
($Q$7:$Q$1011="판매수량"))</f>
        <v>486</v>
      </c>
      <c r="Y2" s="32" cm="1">
        <f t="array" aca="1" ref="Y2" ca="1">SUMPRODUCT(
(SUBTOTAL(109,OFFSET(Y7,ROW(Y7:Y1011)-ROW(Y7),0,1)))*
($Q$7:$Q$1011="판매수량"))</f>
        <v>465</v>
      </c>
      <c r="Z2" s="32" cm="1">
        <f t="array" aca="1" ref="Z2" ca="1">SUMPRODUCT(
(SUBTOTAL(109,OFFSET(Z7,ROW(Z7:Z1011)-ROW(Z7),0,1)))*
($Q$7:$Q$1011="판매수량"))</f>
        <v>358</v>
      </c>
      <c r="AA2" s="32" cm="1">
        <f t="array" aca="1" ref="AA2" ca="1">SUMPRODUCT(
(SUBTOTAL(109,OFFSET(AA7,ROW(AA7:AA1011)-ROW(AA7),0,1)))*
($Q$7:$Q$1011="판매수량"))</f>
        <v>383</v>
      </c>
      <c r="AB2" s="32" cm="1">
        <f t="array" aca="1" ref="AB2" ca="1">SUMPRODUCT(
(SUBTOTAL(109,OFFSET(AB7,ROW(AB7:AB1011)-ROW(AB7),0,1)))*
($Q$7:$Q$1011="판매수량"))</f>
        <v>355</v>
      </c>
      <c r="AC2" s="32" cm="1">
        <f t="array" aca="1" ref="AC2" ca="1">SUMPRODUCT(
(SUBTOTAL(109,OFFSET(AC7,ROW(AC7:AC1011)-ROW(AC7),0,1)))*
($Q$7:$Q$1011="판매수량"))</f>
        <v>381</v>
      </c>
      <c r="AD2" s="32" cm="1">
        <f t="array" aca="1" ref="AD2" ca="1">SUMPRODUCT(
(SUBTOTAL(109,OFFSET(AD7,ROW(AD7:AD1011)-ROW(AD7),0,1)))*
($Q$7:$Q$1011="판매수량"))</f>
        <v>421</v>
      </c>
      <c r="AE2" s="32" cm="1">
        <f t="array" aca="1" ref="AE2" ca="1">SUMPRODUCT(
(SUBTOTAL(109,OFFSET(AE7,ROW(AE7:AE1011)-ROW(AE7),0,1)))*
($Q$7:$Q$1011="판매수량"))</f>
        <v>339</v>
      </c>
      <c r="AF2" s="32" cm="1">
        <f t="array" aca="1" ref="AF2" ca="1">SUMPRODUCT(
(SUBTOTAL(109,OFFSET(AF7,ROW(AF7:AF1011)-ROW(AF7),0,1)))*
($Q$7:$Q$1011="판매수량"))</f>
        <v>331</v>
      </c>
      <c r="AG2" s="32" cm="1">
        <f t="array" aca="1" ref="AG2" ca="1">SUMPRODUCT(
(SUBTOTAL(109,OFFSET(AG7,ROW(AG7:AG1011)-ROW(AG7),0,1)))*
($Q$7:$Q$1011="판매수량"))</f>
        <v>415</v>
      </c>
      <c r="AH2" s="32" cm="1">
        <f t="array" aca="1" ref="AH2" ca="1">SUMPRODUCT(
(SUBTOTAL(109,OFFSET(AH7,ROW(AH7:AH1011)-ROW(AH7),0,1)))*
($Q$7:$Q$1011="판매수량"))</f>
        <v>288</v>
      </c>
      <c r="AI2" s="32" cm="1">
        <f t="array" aca="1" ref="AI2" ca="1">SUMPRODUCT(
(SUBTOTAL(109,OFFSET(AI7,ROW(AI7:AI1011)-ROW(AI7),0,1)))*
($Q$7:$Q$1011="판매수량"))</f>
        <v>452</v>
      </c>
      <c r="AJ2" s="32" cm="1">
        <f t="array" aca="1" ref="AJ2" ca="1">SUMPRODUCT(
(SUBTOTAL(109,OFFSET(AJ7,ROW(AJ7:AJ1011)-ROW(AJ7),0,1)))*
($Q$7:$Q$1011="판매수량"))</f>
        <v>458</v>
      </c>
      <c r="AK2" s="32" cm="1">
        <f t="array" aca="1" ref="AK2" ca="1">SUMPRODUCT(
(SUBTOTAL(109,OFFSET(AK7,ROW(AK7:AK1011)-ROW(AK7),0,1)))*
($Q$7:$Q$1011="판매수량"))</f>
        <v>437</v>
      </c>
      <c r="AL2" s="32" cm="1">
        <f t="array" aca="1" ref="AL2" ca="1">SUMPRODUCT(
(SUBTOTAL(109,OFFSET(AL7,ROW(AL7:AL1011)-ROW(AL7),0,1)))*
($Q$7:$Q$1011="판매수량"))</f>
        <v>451</v>
      </c>
      <c r="AM2" s="32" cm="1">
        <f t="array" aca="1" ref="AM2" ca="1">SUMPRODUCT(
(SUBTOTAL(109,OFFSET(AM7,ROW(AM7:AM1011)-ROW(AM7),0,1)))*
($Q$7:$Q$1011="판매수량"))</f>
        <v>450</v>
      </c>
      <c r="AN2" s="32" cm="1">
        <f t="array" aca="1" ref="AN2" ca="1">SUMPRODUCT(
(SUBTOTAL(109,OFFSET(AN7,ROW(AN7:AN1011)-ROW(AN7),0,1)))*
($Q$7:$Q$1011="판매수량"))</f>
        <v>409</v>
      </c>
      <c r="AO2" s="32" cm="1">
        <f t="array" aca="1" ref="AO2" ca="1">SUMPRODUCT(
(SUBTOTAL(109,OFFSET(AO7,ROW(AO7:AO1011)-ROW(AO7),0,1)))*
($Q$7:$Q$1011="판매수량"))</f>
        <v>390</v>
      </c>
      <c r="AP2" s="32" cm="1">
        <f t="array" aca="1" ref="AP2" ca="1">SUMPRODUCT(
(SUBTOTAL(109,OFFSET(AP7,ROW(AP7:AP1011)-ROW(AP7),0,1)))*
($Q$7:$Q$1011="판매수량"))</f>
        <v>424</v>
      </c>
      <c r="AQ2" s="32" cm="1">
        <f t="array" aca="1" ref="AQ2" ca="1">SUMPRODUCT(
(SUBTOTAL(109,OFFSET(AQ7,ROW(AQ7:AQ1011)-ROW(AQ7),0,1)))*
($Q$7:$Q$1011="판매수량"))</f>
        <v>496</v>
      </c>
      <c r="AR2" s="32" cm="1">
        <f t="array" aca="1" ref="AR2" ca="1">SUMPRODUCT(
(SUBTOTAL(109,OFFSET(AR7,ROW(AR7:AR1011)-ROW(AR7),0,1)))*
($Q$7:$Q$1011="판매수량"))</f>
        <v>468</v>
      </c>
      <c r="AS2" s="32" cm="1">
        <f t="array" aca="1" ref="AS2" ca="1">SUMPRODUCT(
(SUBTOTAL(109,OFFSET(AS7,ROW(AS7:AS1011)-ROW(AS7),0,1)))*
($Q$7:$Q$1011="판매수량"))</f>
        <v>408</v>
      </c>
      <c r="AT2" s="32" cm="1">
        <f t="array" aca="1" ref="AT2" ca="1">SUMPRODUCT(
(SUBTOTAL(109,OFFSET(AT7,ROW(AT7:AT1011)-ROW(AT7),0,1)))*
($Q$7:$Q$1011="판매수량"))</f>
        <v>398</v>
      </c>
      <c r="AU2" s="32" cm="1">
        <f t="array" aca="1" ref="AU2" ca="1">SUMPRODUCT(
(SUBTOTAL(109,OFFSET(AU7,ROW(AU7:AU1011)-ROW(AU7),0,1)))*
($Q$7:$Q$1011="판매수량"))</f>
        <v>461</v>
      </c>
      <c r="AV2" s="32" cm="1">
        <f t="array" aca="1" ref="AV2" ca="1">SUMPRODUCT(
(SUBTOTAL(109,OFFSET(AV7,ROW(AV7:AV1011)-ROW(AV7),0,1)))*
($Q$7:$Q$1011="판매수량"))</f>
        <v>427</v>
      </c>
      <c r="AW2" s="32" cm="1">
        <f t="array" aca="1" ref="AW2" ca="1">SUMPRODUCT(
(SUBTOTAL(109,OFFSET(AW7,ROW(AW7:AW1011)-ROW(AW7),0,1)))*
($Q$7:$Q$1011="판매수량"))</f>
        <v>545</v>
      </c>
      <c r="AX2" s="32" cm="1">
        <f t="array" aca="1" ref="AX2" ca="1">SUMPRODUCT(
(SUBTOTAL(109,OFFSET(AX7,ROW(AX7:AX1011)-ROW(AX7),0,1)))*
($Q$7:$Q$1011="판매수량"))</f>
        <v>445</v>
      </c>
      <c r="AY2" s="32" cm="1">
        <f t="array" aca="1" ref="AY2" ca="1">SUMPRODUCT(
(SUBTOTAL(109,OFFSET(AY7,ROW(AY7:AY1011)-ROW(AY7),0,1)))*
($Q$7:$Q$1011="판매수량"))</f>
        <v>457</v>
      </c>
      <c r="AZ2" s="32" cm="1">
        <f t="array" aca="1" ref="AZ2" ca="1">SUMPRODUCT(
(SUBTOTAL(109,OFFSET(AZ7,ROW(AZ7:AZ1011)-ROW(AZ7),0,1)))*
($Q$7:$Q$1011="판매수량"))</f>
        <v>485</v>
      </c>
      <c r="BA2" s="32" cm="1">
        <f t="array" aca="1" ref="BA2" ca="1">SUMPRODUCT(
(SUBTOTAL(109,OFFSET(BA7,ROW(BA7:BA1011)-ROW(BA7),0,1)))*
($Q$7:$Q$1011="판매수량"))</f>
        <v>428</v>
      </c>
      <c r="BB2" s="32" cm="1">
        <f t="array" aca="1" ref="BB2" ca="1">SUMPRODUCT(
(SUBTOTAL(109,OFFSET(BB7,ROW(BB7:BB1011)-ROW(BB7),0,1)))*
($Q$7:$Q$1011="판매수량"))</f>
        <v>405</v>
      </c>
      <c r="BC2" s="32" cm="1">
        <f t="array" aca="1" ref="BC2" ca="1">SUMPRODUCT(
(SUBTOTAL(109,OFFSET(BC7,ROW(BC7:BC1011)-ROW(BC7),0,1)))*
($Q$7:$Q$1011="판매수량"))</f>
        <v>372</v>
      </c>
      <c r="BD2" s="32" cm="1">
        <f t="array" aca="1" ref="BD2" ca="1">SUMPRODUCT(
(SUBTOTAL(109,OFFSET(BD7,ROW(BD7:BD1011)-ROW(BD7),0,1)))*
($Q$7:$Q$1011="판매수량"))</f>
        <v>413</v>
      </c>
      <c r="BE2" s="32" cm="1">
        <f t="array" aca="1" ref="BE2" ca="1">SUMPRODUCT(
(SUBTOTAL(109,OFFSET(BE7,ROW(BE7:BE1011)-ROW(BE7),0,1)))*
($Q$7:$Q$1011="판매수량"))</f>
        <v>423</v>
      </c>
      <c r="BF2" s="32" cm="1">
        <f t="array" aca="1" ref="BF2" ca="1">SUMPRODUCT(
(SUBTOTAL(109,OFFSET(BF7,ROW(BF7:BF1011)-ROW(BF7),0,1)))*
($Q$7:$Q$1011="판매수량"))</f>
        <v>367</v>
      </c>
      <c r="BG2" s="32" cm="1">
        <f t="array" aca="1" ref="BG2" ca="1">SUMPRODUCT(
(SUBTOTAL(109,OFFSET(BG7,ROW(BG7:BG1011)-ROW(BG7),0,1)))*
($Q$7:$Q$1011="판매수량"))</f>
        <v>465</v>
      </c>
      <c r="BH2" s="32" cm="1">
        <f t="array" aca="1" ref="BH2" ca="1">SUMPRODUCT(
(SUBTOTAL(109,OFFSET(BH7,ROW(BH7:BH1011)-ROW(BH7),0,1)))*
($Q$7:$Q$1011="판매수량"))</f>
        <v>472</v>
      </c>
      <c r="BI2" s="32" cm="1">
        <f t="array" aca="1" ref="BI2" ca="1">SUMPRODUCT(
(SUBTOTAL(109,OFFSET(BI7,ROW(BI7:BI1011)-ROW(BI7),0,1)))*
($Q$7:$Q$1011="판매수량"))</f>
        <v>497</v>
      </c>
      <c r="BJ2" s="32" cm="1">
        <f t="array" aca="1" ref="BJ2" ca="1">SUMPRODUCT(
(SUBTOTAL(109,OFFSET(BJ7,ROW(BJ7:BJ1011)-ROW(BJ7),0,1)))*
($Q$7:$Q$1011="판매수량"))</f>
        <v>525</v>
      </c>
      <c r="BK2" s="32" cm="1">
        <f t="array" aca="1" ref="BK2" ca="1">SUMPRODUCT(
(SUBTOTAL(109,OFFSET(BK7,ROW(BK7:BK1011)-ROW(BK7),0,1)))*
($Q$7:$Q$1011="판매수량"))</f>
        <v>527</v>
      </c>
      <c r="BL2" s="32" cm="1">
        <f t="array" aca="1" ref="BL2" ca="1">SUMPRODUCT(
(SUBTOTAL(109,OFFSET(BL7,ROW(BL7:BL1011)-ROW(BL7),0,1)))*
($Q$7:$Q$1011="판매수량"))</f>
        <v>470</v>
      </c>
      <c r="BM2" s="32" cm="1">
        <f t="array" aca="1" ref="BM2" ca="1">SUMPRODUCT(
(SUBTOTAL(109,OFFSET(BM7,ROW(BM7:BM1011)-ROW(BM7),0,1)))*
($Q$7:$Q$1011="판매수량"))</f>
        <v>484</v>
      </c>
      <c r="BN2" s="32" cm="1">
        <f t="array" aca="1" ref="BN2" ca="1">SUMPRODUCT(
(SUBTOTAL(109,OFFSET(BN7,ROW(BN7:BN1011)-ROW(BN7),0,1)))*
($Q$7:$Q$1011="판매수량"))</f>
        <v>404</v>
      </c>
      <c r="BO2" s="32" cm="1">
        <f t="array" aca="1" ref="BO2" ca="1">SUMPRODUCT(
(SUBTOTAL(109,OFFSET(BO7,ROW(BO7:BO1011)-ROW(BO7),0,1)))*
($Q$7:$Q$1011="판매수량"))</f>
        <v>467</v>
      </c>
      <c r="BP2" s="32" cm="1">
        <f t="array" aca="1" ref="BP2" ca="1">SUMPRODUCT(
(SUBTOTAL(109,OFFSET(BP7,ROW(BP7:BP1011)-ROW(BP7),0,1)))*
($Q$7:$Q$1011="판매수량"))</f>
        <v>449</v>
      </c>
      <c r="BQ2" s="32" cm="1">
        <f t="array" aca="1" ref="BQ2" ca="1">SUMPRODUCT(
(SUBTOTAL(109,OFFSET(BQ7,ROW(BQ7:BQ1011)-ROW(BQ7),0,1)))*
($Q$7:$Q$1011="판매수량"))</f>
        <v>451</v>
      </c>
      <c r="BR2" s="32" cm="1">
        <f t="array" aca="1" ref="BR2" ca="1">SUMPRODUCT(
(SUBTOTAL(109,OFFSET(BR7,ROW(BR7:BR1011)-ROW(BR7),0,1)))*
($Q$7:$Q$1011="판매수량"))</f>
        <v>674</v>
      </c>
      <c r="BS2" s="32" cm="1">
        <f t="array" aca="1" ref="BS2" ca="1">SUMPRODUCT(
(SUBTOTAL(109,OFFSET(BS7,ROW(BS7:BS1011)-ROW(BS7),0,1)))*
($Q$7:$Q$1011="판매수량"))</f>
        <v>607</v>
      </c>
      <c r="BT2" s="32" cm="1">
        <f t="array" aca="1" ref="BT2" ca="1">SUMPRODUCT(
(SUBTOTAL(109,OFFSET(BT7,ROW(BT7:BT1011)-ROW(BT7),0,1)))*
($Q$7:$Q$1011="판매수량"))</f>
        <v>606</v>
      </c>
      <c r="BU2" s="32" cm="1">
        <f t="array" aca="1" ref="BU2" ca="1">SUMPRODUCT(
(SUBTOTAL(109,OFFSET(BU7,ROW(BU7:BU1011)-ROW(BU7),0,1)))*
($Q$7:$Q$1011="판매수량"))</f>
        <v>0</v>
      </c>
      <c r="BV2" s="32" cm="1">
        <f t="array" aca="1" ref="BV2" ca="1">SUMPRODUCT(
(SUBTOTAL(109,OFFSET(BV7,ROW(BV7:BV1011)-ROW(BV7),0,1)))*
($Q$7:$Q$1011="판매수량"))</f>
        <v>0</v>
      </c>
      <c r="BW2" s="32" cm="1">
        <f t="array" aca="1" ref="BW2" ca="1">SUMPRODUCT(
(SUBTOTAL(109,OFFSET(BW7,ROW(BW7:BW1011)-ROW(BW7),0,1)))*
($Q$7:$Q$1011="판매수량"))</f>
        <v>0</v>
      </c>
      <c r="BX2" s="62" cm="1">
        <f t="array" aca="1" ref="BX2" ca="1">SUMPRODUCT(
(SUBTOTAL(109,OFFSET(BX6,ROW(BX6:BX1090)-ROW(BX6),0,1)))*
($Q6:BF1090="판매수량"))</f>
        <v>10818252</v>
      </c>
      <c r="BY2" s="4" t="s">
        <v>427</v>
      </c>
    </row>
    <row r="3" spans="1:78" ht="20.100000000000001" customHeight="1" x14ac:dyDescent="0.3">
      <c r="D3" s="65"/>
      <c r="Q3" s="102" t="s">
        <v>1</v>
      </c>
      <c r="R3" s="104" cm="1">
        <f t="array" aca="1" ref="R3" ca="1">SUMPRODUCT(
(SUBTOTAL(109,OFFSET(R7,ROW(R7:R1011)-ROW(R7),0,1)))*
($Q$7:$Q$1011="가구매"))</f>
        <v>0</v>
      </c>
      <c r="S3" s="104" cm="1">
        <f t="array" aca="1" ref="S3" ca="1">SUMPRODUCT(
(SUBTOTAL(109,OFFSET(S7,ROW(S7:S1011)-ROW(S7),0,1)))*
($Q$7:$Q$1011="가구매"))</f>
        <v>0</v>
      </c>
      <c r="T3" s="104" cm="1">
        <f t="array" aca="1" ref="T3" ca="1">SUMPRODUCT(
(SUBTOTAL(109,OFFSET(T7,ROW(T7:T1011)-ROW(T7),0,1)))*
($Q$7:$Q$1011="가구매"))</f>
        <v>0</v>
      </c>
      <c r="U3" s="104" cm="1">
        <f t="array" aca="1" ref="U3" ca="1">SUMPRODUCT(
(SUBTOTAL(109,OFFSET(U7,ROW(U7:U1011)-ROW(U7),0,1)))*
($Q$7:$Q$1011="가구매"))</f>
        <v>0</v>
      </c>
      <c r="V3" s="104" cm="1">
        <f t="array" aca="1" ref="V3" ca="1">SUMPRODUCT(
(SUBTOTAL(109,OFFSET(V7,ROW(V7:V1011)-ROW(V7),0,1)))*
($Q$7:$Q$1011="가구매"))</f>
        <v>0</v>
      </c>
      <c r="W3" s="104" cm="1">
        <f t="array" aca="1" ref="W3" ca="1">SUMPRODUCT(
(SUBTOTAL(109,OFFSET(W7,ROW(W7:W1011)-ROW(W7),0,1)))*
($Q$7:$Q$1011="가구매"))</f>
        <v>0</v>
      </c>
      <c r="X3" s="104" cm="1">
        <f t="array" aca="1" ref="X3" ca="1">SUMPRODUCT(
(SUBTOTAL(109,OFFSET(X7,ROW(X7:X1011)-ROW(X7),0,1)))*
($Q$7:$Q$1011="가구매"))</f>
        <v>0</v>
      </c>
      <c r="Y3" s="104" cm="1">
        <f t="array" aca="1" ref="Y3" ca="1">SUMPRODUCT(
(SUBTOTAL(109,OFFSET(Y7,ROW(Y7:Y1011)-ROW(Y7),0,1)))*
($Q$7:$Q$1011="가구매"))</f>
        <v>0</v>
      </c>
      <c r="Z3" s="104" cm="1">
        <f t="array" aca="1" ref="Z3" ca="1">SUMPRODUCT(
(SUBTOTAL(109,OFFSET(Z7,ROW(Z7:Z1011)-ROW(Z7),0,1)))*
($Q$7:$Q$1011="가구매"))</f>
        <v>0</v>
      </c>
      <c r="AA3" s="104" cm="1">
        <f t="array" aca="1" ref="AA3" ca="1">SUMPRODUCT(
(SUBTOTAL(109,OFFSET(AA7,ROW(AA7:AA1011)-ROW(AA7),0,1)))*
($Q$7:$Q$1011="가구매"))</f>
        <v>0</v>
      </c>
      <c r="AB3" s="104" cm="1">
        <f t="array" aca="1" ref="AB3" ca="1">SUMPRODUCT(
(SUBTOTAL(109,OFFSET(AB7,ROW(AB7:AB1011)-ROW(AB7),0,1)))*
($Q$7:$Q$1011="가구매"))</f>
        <v>0</v>
      </c>
      <c r="AC3" s="104" cm="1">
        <f t="array" aca="1" ref="AC3" ca="1">SUMPRODUCT(
(SUBTOTAL(109,OFFSET(AC7,ROW(AC7:AC1011)-ROW(AC7),0,1)))*
($Q$7:$Q$1011="가구매"))</f>
        <v>0</v>
      </c>
      <c r="AD3" s="104" cm="1">
        <f t="array" aca="1" ref="AD3" ca="1">SUMPRODUCT(
(SUBTOTAL(109,OFFSET(AD7,ROW(AD7:AD1011)-ROW(AD7),0,1)))*
($Q$7:$Q$1011="가구매"))</f>
        <v>0</v>
      </c>
      <c r="AE3" s="104" cm="1">
        <f t="array" aca="1" ref="AE3" ca="1">SUMPRODUCT(
(SUBTOTAL(109,OFFSET(AE7,ROW(AE7:AE1011)-ROW(AE7),0,1)))*
($Q$7:$Q$1011="가구매"))</f>
        <v>0</v>
      </c>
      <c r="AF3" s="104" cm="1">
        <f t="array" aca="1" ref="AF3" ca="1">SUMPRODUCT(
(SUBTOTAL(109,OFFSET(AF7,ROW(AF7:AF1011)-ROW(AF7),0,1)))*
($Q$7:$Q$1011="가구매"))</f>
        <v>0</v>
      </c>
      <c r="AG3" s="104" cm="1">
        <f t="array" aca="1" ref="AG3" ca="1">SUMPRODUCT(
(SUBTOTAL(109,OFFSET(AG7,ROW(AG7:AG1011)-ROW(AG7),0,1)))*
($Q$7:$Q$1011="가구매"))</f>
        <v>0</v>
      </c>
      <c r="AH3" s="104" cm="1">
        <f t="array" aca="1" ref="AH3" ca="1">SUMPRODUCT(
(SUBTOTAL(109,OFFSET(AH7,ROW(AH7:AH1011)-ROW(AH7),0,1)))*
($Q$7:$Q$1011="가구매"))</f>
        <v>0</v>
      </c>
      <c r="AI3" s="104" cm="1">
        <f t="array" aca="1" ref="AI3" ca="1">SUMPRODUCT(
(SUBTOTAL(109,OFFSET(AI7,ROW(AI7:AI1011)-ROW(AI7),0,1)))*
($Q$7:$Q$1011="가구매"))</f>
        <v>28</v>
      </c>
      <c r="AJ3" s="104" cm="1">
        <f t="array" aca="1" ref="AJ3" ca="1">SUMPRODUCT(
(SUBTOTAL(109,OFFSET(AJ7,ROW(AJ7:AJ1011)-ROW(AJ7),0,1)))*
($Q$7:$Q$1011="가구매"))</f>
        <v>22</v>
      </c>
      <c r="AK3" s="104" cm="1">
        <f t="array" aca="1" ref="AK3" ca="1">SUMPRODUCT(
(SUBTOTAL(109,OFFSET(AK7,ROW(AK7:AK1011)-ROW(AK7),0,1)))*
($Q$7:$Q$1011="가구매"))</f>
        <v>38</v>
      </c>
      <c r="AL3" s="104" cm="1">
        <f t="array" aca="1" ref="AL3" ca="1">SUMPRODUCT(
(SUBTOTAL(109,OFFSET(AL7,ROW(AL7:AL1011)-ROW(AL7),0,1)))*
($Q$7:$Q$1011="가구매"))</f>
        <v>42</v>
      </c>
      <c r="AM3" s="104" cm="1">
        <f t="array" aca="1" ref="AM3" ca="1">SUMPRODUCT(
(SUBTOTAL(109,OFFSET(AM7,ROW(AM7:AM1011)-ROW(AM7),0,1)))*
($Q$7:$Q$1011="가구매"))</f>
        <v>34</v>
      </c>
      <c r="AN3" s="104" cm="1">
        <f t="array" aca="1" ref="AN3" ca="1">SUMPRODUCT(
(SUBTOTAL(109,OFFSET(AN7,ROW(AN7:AN1011)-ROW(AN7),0,1)))*
($Q$7:$Q$1011="가구매"))</f>
        <v>15</v>
      </c>
      <c r="AO3" s="104" cm="1">
        <f t="array" aca="1" ref="AO3" ca="1">SUMPRODUCT(
(SUBTOTAL(109,OFFSET(AO7,ROW(AO7:AO1011)-ROW(AO7),0,1)))*
($Q$7:$Q$1011="가구매"))</f>
        <v>46</v>
      </c>
      <c r="AP3" s="104" cm="1">
        <f t="array" aca="1" ref="AP3" ca="1">SUMPRODUCT(
(SUBTOTAL(109,OFFSET(AP7,ROW(AP7:AP1011)-ROW(AP7),0,1)))*
($Q$7:$Q$1011="가구매"))</f>
        <v>39</v>
      </c>
      <c r="AQ3" s="104" cm="1">
        <f t="array" aca="1" ref="AQ3" ca="1">SUMPRODUCT(
(SUBTOTAL(109,OFFSET(AQ7,ROW(AQ7:AQ1011)-ROW(AQ7),0,1)))*
($Q$7:$Q$1011="가구매"))</f>
        <v>21</v>
      </c>
      <c r="AR3" s="104" cm="1">
        <f t="array" aca="1" ref="AR3" ca="1">SUMPRODUCT(
(SUBTOTAL(109,OFFSET(AR7,ROW(AR7:AR1011)-ROW(AR7),0,1)))*
($Q$7:$Q$1011="가구매"))</f>
        <v>3</v>
      </c>
      <c r="AS3" s="104" cm="1">
        <f t="array" aca="1" ref="AS3" ca="1">SUMPRODUCT(
(SUBTOTAL(109,OFFSET(AS7,ROW(AS7:AS1011)-ROW(AS7),0,1)))*
($Q$7:$Q$1011="가구매"))</f>
        <v>21</v>
      </c>
      <c r="AT3" s="104" cm="1">
        <f t="array" aca="1" ref="AT3" ca="1">SUMPRODUCT(
(SUBTOTAL(109,OFFSET(AT7,ROW(AT7:AT1011)-ROW(AT7),0,1)))*
($Q$7:$Q$1011="가구매"))</f>
        <v>6</v>
      </c>
      <c r="AU3" s="104" cm="1">
        <f t="array" aca="1" ref="AU3" ca="1">SUMPRODUCT(
(SUBTOTAL(109,OFFSET(AU7,ROW(AU7:AU1011)-ROW(AU7),0,1)))*
($Q$7:$Q$1011="가구매"))</f>
        <v>10</v>
      </c>
      <c r="AV3" s="104" cm="1">
        <f t="array" aca="1" ref="AV3" ca="1">SUMPRODUCT(
(SUBTOTAL(109,OFFSET(AV7,ROW(AV7:AV1011)-ROW(AV7),0,1)))*
($Q$7:$Q$1011="가구매"))</f>
        <v>7</v>
      </c>
      <c r="AW3" s="104" cm="1">
        <f t="array" aca="1" ref="AW3" ca="1">SUMPRODUCT(
(SUBTOTAL(109,OFFSET(AW7,ROW(AW7:AW1011)-ROW(AW7),0,1)))*
($Q$7:$Q$1011="가구매"))</f>
        <v>34</v>
      </c>
      <c r="AX3" s="104" cm="1">
        <f t="array" aca="1" ref="AX3" ca="1">SUMPRODUCT(
(SUBTOTAL(109,OFFSET(AX7,ROW(AX7:AX1011)-ROW(AX7),0,1)))*
($Q$7:$Q$1011="가구매"))</f>
        <v>57</v>
      </c>
      <c r="AY3" s="104" cm="1">
        <f t="array" aca="1" ref="AY3" ca="1">SUMPRODUCT(
(SUBTOTAL(109,OFFSET(AY7,ROW(AY7:AY1011)-ROW(AY7),0,1)))*
($Q$7:$Q$1011="가구매"))</f>
        <v>80</v>
      </c>
      <c r="AZ3" s="104" cm="1">
        <f t="array" aca="1" ref="AZ3" ca="1">SUMPRODUCT(
(SUBTOTAL(109,OFFSET(AZ7,ROW(AZ7:AZ1011)-ROW(AZ7),0,1)))*
($Q$7:$Q$1011="가구매"))</f>
        <v>58</v>
      </c>
      <c r="BA3" s="104" cm="1">
        <f t="array" aca="1" ref="BA3" ca="1">SUMPRODUCT(
(SUBTOTAL(109,OFFSET(BA7,ROW(BA7:BA1011)-ROW(BA7),0,1)))*
($Q$7:$Q$1011="가구매"))</f>
        <v>50</v>
      </c>
      <c r="BB3" s="104" cm="1">
        <f t="array" aca="1" ref="BB3" ca="1">SUMPRODUCT(
(SUBTOTAL(109,OFFSET(BB7,ROW(BB7:BB1011)-ROW(BB7),0,1)))*
($Q$7:$Q$1011="가구매"))</f>
        <v>84</v>
      </c>
      <c r="BC3" s="104" cm="1">
        <f t="array" aca="1" ref="BC3" ca="1">SUMPRODUCT(
(SUBTOTAL(109,OFFSET(BC7,ROW(BC7:BC1011)-ROW(BC7),0,1)))*
($Q$7:$Q$1011="가구매"))</f>
        <v>89</v>
      </c>
      <c r="BD3" s="104" cm="1">
        <f t="array" aca="1" ref="BD3" ca="1">SUMPRODUCT(
(SUBTOTAL(109,OFFSET(BD7,ROW(BD7:BD1011)-ROW(BD7),0,1)))*
($Q$7:$Q$1011="가구매"))</f>
        <v>85</v>
      </c>
      <c r="BE3" s="104" cm="1">
        <f t="array" aca="1" ref="BE3" ca="1">SUMPRODUCT(
(SUBTOTAL(109,OFFSET(BE7,ROW(BE7:BE1011)-ROW(BE7),0,1)))*
($Q$7:$Q$1011="가구매"))</f>
        <v>28</v>
      </c>
      <c r="BF3" s="104" cm="1">
        <f t="array" aca="1" ref="BF3" ca="1">SUMPRODUCT(
(SUBTOTAL(109,OFFSET(BF7,ROW(BF7:BF1011)-ROW(BF7),0,1)))*
($Q$7:$Q$1011="가구매"))</f>
        <v>1</v>
      </c>
      <c r="BG3" s="104" cm="1">
        <f t="array" aca="1" ref="BG3" ca="1">SUMPRODUCT(
(SUBTOTAL(109,OFFSET(BG7,ROW(BG7:BG1011)-ROW(BG7),0,1)))*
($Q$7:$Q$1011="가구매"))</f>
        <v>75</v>
      </c>
      <c r="BH3" s="104" cm="1">
        <f t="array" aca="1" ref="BH3" ca="1">SUMPRODUCT(
(SUBTOTAL(109,OFFSET(BH7,ROW(BH7:BH1011)-ROW(BH7),0,1)))*
($Q$7:$Q$1011="가구매"))</f>
        <v>50</v>
      </c>
      <c r="BI3" s="104" cm="1">
        <f t="array" aca="1" ref="BI3" ca="1">SUMPRODUCT(
(SUBTOTAL(109,OFFSET(BI7,ROW(BI7:BI1011)-ROW(BI7),0,1)))*
($Q$7:$Q$1011="가구매"))</f>
        <v>50</v>
      </c>
      <c r="BJ3" s="104" cm="1">
        <f t="array" aca="1" ref="BJ3" ca="1">SUMPRODUCT(
(SUBTOTAL(109,OFFSET(BJ7,ROW(BJ7:BJ1011)-ROW(BJ7),0,1)))*
($Q$7:$Q$1011="가구매"))</f>
        <v>45</v>
      </c>
      <c r="BK3" s="104" cm="1">
        <f t="array" aca="1" ref="BK3" ca="1">SUMPRODUCT(
(SUBTOTAL(109,OFFSET(BK7,ROW(BK7:BK1011)-ROW(BK7),0,1)))*
($Q$7:$Q$1011="가구매"))</f>
        <v>38</v>
      </c>
      <c r="BL3" s="104" cm="1">
        <f t="array" aca="1" ref="BL3" ca="1">SUMPRODUCT(
(SUBTOTAL(109,OFFSET(BL7,ROW(BL7:BL1011)-ROW(BL7),0,1)))*
($Q$7:$Q$1011="가구매"))</f>
        <v>52</v>
      </c>
      <c r="BM3" s="104" cm="1">
        <f t="array" aca="1" ref="BM3" ca="1">SUMPRODUCT(
(SUBTOTAL(109,OFFSET(BM7,ROW(BM7:BM1011)-ROW(BM7),0,1)))*
($Q$7:$Q$1011="가구매"))</f>
        <v>40</v>
      </c>
      <c r="BN3" s="104" cm="1">
        <f t="array" aca="1" ref="BN3" ca="1">SUMPRODUCT(
(SUBTOTAL(109,OFFSET(BN7,ROW(BN7:BN1011)-ROW(BN7),0,1)))*
($Q$7:$Q$1011="가구매"))</f>
        <v>40</v>
      </c>
      <c r="BO3" s="104" cm="1">
        <f t="array" aca="1" ref="BO3" ca="1">SUMPRODUCT(
(SUBTOTAL(109,OFFSET(BO7,ROW(BO7:BO1011)-ROW(BO7),0,1)))*
($Q$7:$Q$1011="가구매"))</f>
        <v>0</v>
      </c>
      <c r="BP3" s="104" cm="1">
        <f t="array" aca="1" ref="BP3" ca="1">SUMPRODUCT(
(SUBTOTAL(109,OFFSET(BP7,ROW(BP7:BP1011)-ROW(BP7),0,1)))*
($Q$7:$Q$1011="가구매"))</f>
        <v>40</v>
      </c>
      <c r="BQ3" s="104" cm="1">
        <f t="array" aca="1" ref="BQ3" ca="1">SUMPRODUCT(
(SUBTOTAL(109,OFFSET(BQ7,ROW(BQ7:BQ1011)-ROW(BQ7),0,1)))*
($Q$7:$Q$1011="가구매"))</f>
        <v>42</v>
      </c>
      <c r="BR3" s="104" cm="1">
        <f t="array" aca="1" ref="BR3" ca="1">SUMPRODUCT(
(SUBTOTAL(109,OFFSET(BR7,ROW(BR7:BR1011)-ROW(BR7),0,1)))*
($Q$7:$Q$1011="가구매"))</f>
        <v>40</v>
      </c>
      <c r="BS3" s="104" cm="1">
        <f t="array" aca="1" ref="BS3" ca="1">SUMPRODUCT(
(SUBTOTAL(109,OFFSET(BS7,ROW(BS7:BS1011)-ROW(BS7),0,1)))*
($Q$7:$Q$1011="가구매"))</f>
        <v>0</v>
      </c>
      <c r="BT3" s="104" cm="1">
        <f t="array" aca="1" ref="BT3" ca="1">SUMPRODUCT(
(SUBTOTAL(109,OFFSET(BT7,ROW(BT7:BT1011)-ROW(BT7),0,1)))*
($Q$7:$Q$1011="가구매"))</f>
        <v>0</v>
      </c>
      <c r="BU3" s="104" cm="1">
        <f t="array" aca="1" ref="BU3" ca="1">SUMPRODUCT(
(SUBTOTAL(109,OFFSET(BU7,ROW(BU7:BU1011)-ROW(BU7),0,1)))*
($Q$7:$Q$1011="가구매"))</f>
        <v>0</v>
      </c>
      <c r="BV3" s="104" cm="1">
        <f t="array" aca="1" ref="BV3" ca="1">SUMPRODUCT(
(SUBTOTAL(109,OFFSET(BV7,ROW(BV7:BV1011)-ROW(BV7),0,1)))*
($Q$7:$Q$1011="가구매"))</f>
        <v>0</v>
      </c>
      <c r="BW3" s="104" cm="1">
        <f t="array" aca="1" ref="BW3" ca="1">SUMPRODUCT(
(SUBTOTAL(109,OFFSET(BW7,ROW(BW7:BW1011)-ROW(BW7),0,1)))*
($Q$7:$Q$1011="가구매"))</f>
        <v>0</v>
      </c>
      <c r="BX3" s="62"/>
    </row>
    <row r="4" spans="1:78" ht="39.950000000000003" customHeight="1" x14ac:dyDescent="0.3">
      <c r="G4" s="1"/>
      <c r="J4" s="29" t="s">
        <v>367</v>
      </c>
      <c r="K4" s="64" t="s">
        <v>365</v>
      </c>
      <c r="L4" s="6" t="s">
        <v>126</v>
      </c>
      <c r="Q4" s="58" t="s">
        <v>325</v>
      </c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 cm="1">
        <f t="array" aca="1" ref="AO4" ca="1">SUMPRODUCT(
(SUBTOTAL(109,OFFSET(AO6,ROW(AO6:AO1090)-ROW(AO6),0,1)))*
($Q6:$Q1090="광고"))</f>
        <v>3047</v>
      </c>
      <c r="AP4" s="57" cm="1">
        <f t="array" aca="1" ref="AP4" ca="1">SUMPRODUCT(
(SUBTOTAL(109,OFFSET(AP6,ROW(AP6:AP1090)-ROW(AP6),0,1)))*
($Q6:$Q1090="광고"))</f>
        <v>2027</v>
      </c>
      <c r="AQ4" s="56"/>
      <c r="AR4" s="56"/>
      <c r="AS4" s="56"/>
      <c r="AT4" s="56"/>
      <c r="AU4" s="56"/>
      <c r="AV4" s="56" cm="1">
        <f t="array" aca="1" ref="AV4" ca="1">SUMPRODUCT(
(SUBTOTAL(109,OFFSET(AV6,ROW(AV6:AV1090)-ROW(AV6),0,1)))*
($Q6:$Q1090="광고"))</f>
        <v>3082</v>
      </c>
      <c r="AW4" s="57" cm="1">
        <f t="array" aca="1" ref="AW4" ca="1">SUMPRODUCT(
(SUBTOTAL(109,OFFSET(AW6,ROW(AW6:AW1090)-ROW(AW6),0,1)))*
($Q6:$Q1090="광고"))</f>
        <v>1972</v>
      </c>
      <c r="AX4" s="56"/>
      <c r="AY4" s="56"/>
      <c r="AZ4" s="56"/>
      <c r="BA4" s="56"/>
      <c r="BB4" s="56"/>
      <c r="BC4" s="56" cm="1">
        <f t="array" aca="1" ref="BC4" ca="1">SUMPRODUCT(
(SUBTOTAL(109,OFFSET(BC6,ROW(BC6:BC1090)-ROW(BC6),0,1)))*
($Q6:$Q1090="광고"))</f>
        <v>3137</v>
      </c>
      <c r="BD4" s="57" cm="1">
        <f t="array" aca="1" ref="BD4" ca="1">SUMPRODUCT(
(SUBTOTAL(109,OFFSET(BD6,ROW(BD6:BD1090)-ROW(BD6),0,1)))*
($Q6:$Q1090="광고"))</f>
        <v>2029</v>
      </c>
      <c r="BE4" s="56"/>
      <c r="BF4" s="56"/>
      <c r="BG4" s="56"/>
      <c r="BH4" s="56"/>
      <c r="BI4" s="56"/>
      <c r="BJ4" s="56" cm="1">
        <f t="array" aca="1" ref="BJ4" ca="1">SUMPRODUCT(
(SUBTOTAL(109,OFFSET(BJ6,ROW(BJ6:BJ1090)-ROW(BJ6),0,1)))*
($Q6:$Q1090="광고"))</f>
        <v>3162</v>
      </c>
      <c r="BK4" s="57" cm="1">
        <f t="array" aca="1" ref="BK4" ca="1">SUMPRODUCT(
(SUBTOTAL(109,OFFSET(BK6,ROW(BK6:BK1090)-ROW(BK6),0,1)))*
($Q6:$Q1090="광고"))</f>
        <v>1894</v>
      </c>
      <c r="BL4" s="56"/>
      <c r="BM4" s="56"/>
      <c r="BN4" s="56"/>
      <c r="BO4" s="56"/>
      <c r="BP4" s="56"/>
      <c r="BQ4" s="56" cm="1">
        <f t="array" aca="1" ref="BQ4" ca="1">SUMPRODUCT(
(SUBTOTAL(109,OFFSET(BQ6,ROW(BQ6:BQ1090)-ROW(BQ6),0,1)))*
($Q6:$Q1090="광고"))</f>
        <v>3252</v>
      </c>
      <c r="BR4" s="57" cm="1">
        <f t="array" aca="1" ref="BR4" ca="1">SUMPRODUCT(
(SUBTOTAL(109,OFFSET(BR6,ROW(BR6:BR1090)-ROW(BR6),0,1)))*
($Q6:$Q1090="광고"))</f>
        <v>2196</v>
      </c>
      <c r="BS4" s="57"/>
      <c r="BT4" s="57"/>
      <c r="BU4" s="57"/>
      <c r="BV4" s="57"/>
      <c r="BW4" s="56"/>
      <c r="BX4" s="26" cm="1">
        <f t="array" aca="1" ref="BX4" ca="1">SUMPRODUCT(
(SUBTOTAL(109,OFFSET(BX6,ROW(BX6:BX1090)-ROW(BX6),0,1)))*
($Q6:BF1090="가구매"))</f>
        <v>14100015.636363637</v>
      </c>
      <c r="BY4" s="89" t="s">
        <v>428</v>
      </c>
      <c r="BZ4" s="4" t="s">
        <v>429</v>
      </c>
    </row>
    <row r="5" spans="1:78" ht="30" customHeight="1" x14ac:dyDescent="0.3">
      <c r="A5" s="33" t="s">
        <v>2</v>
      </c>
      <c r="B5" s="59" t="s">
        <v>326</v>
      </c>
      <c r="C5" s="33" t="s">
        <v>3</v>
      </c>
      <c r="D5" s="33" t="s">
        <v>222</v>
      </c>
      <c r="E5" s="30">
        <f>COUNTA(G40:G1090)</f>
        <v>44</v>
      </c>
      <c r="F5" s="34" t="s">
        <v>4</v>
      </c>
      <c r="G5" s="35" t="s">
        <v>223</v>
      </c>
      <c r="H5" s="61" t="s">
        <v>227</v>
      </c>
      <c r="I5" s="61" t="s">
        <v>226</v>
      </c>
      <c r="J5" s="35" t="s">
        <v>5</v>
      </c>
      <c r="K5" s="49" t="s">
        <v>6</v>
      </c>
      <c r="L5" s="27">
        <f>SUBTOTAL(109,L7:L1034)</f>
        <v>112</v>
      </c>
      <c r="M5" s="31" t="s">
        <v>366</v>
      </c>
      <c r="N5" s="31"/>
      <c r="O5" s="31" t="s">
        <v>7</v>
      </c>
      <c r="P5" s="31" t="s">
        <v>7</v>
      </c>
      <c r="Q5" s="36" t="s">
        <v>8</v>
      </c>
      <c r="R5" s="37">
        <v>45950</v>
      </c>
      <c r="S5" s="37">
        <v>45951</v>
      </c>
      <c r="T5" s="37">
        <v>45952</v>
      </c>
      <c r="U5" s="37">
        <v>45953</v>
      </c>
      <c r="V5" s="37">
        <v>45954</v>
      </c>
      <c r="W5" s="48">
        <v>45955</v>
      </c>
      <c r="X5" s="48">
        <v>45956</v>
      </c>
      <c r="Y5" s="37">
        <v>45957</v>
      </c>
      <c r="Z5" s="37">
        <v>45958</v>
      </c>
      <c r="AA5" s="37">
        <v>45959</v>
      </c>
      <c r="AB5" s="48">
        <v>45960</v>
      </c>
      <c r="AC5" s="48">
        <v>45961</v>
      </c>
      <c r="AD5" s="37">
        <v>45964</v>
      </c>
      <c r="AE5" s="37">
        <v>45971</v>
      </c>
      <c r="AF5" s="37">
        <v>45974</v>
      </c>
      <c r="AG5" s="37">
        <v>45975</v>
      </c>
      <c r="AH5" s="37">
        <v>45978</v>
      </c>
      <c r="AI5" s="48">
        <v>45984</v>
      </c>
      <c r="AJ5" s="37">
        <v>45985</v>
      </c>
      <c r="AK5" s="37">
        <v>45986</v>
      </c>
      <c r="AL5" s="37">
        <v>45987</v>
      </c>
      <c r="AM5" s="37">
        <v>45988</v>
      </c>
      <c r="AN5" s="37">
        <v>45989</v>
      </c>
      <c r="AO5" s="48">
        <v>45990</v>
      </c>
      <c r="AP5" s="48">
        <v>45991</v>
      </c>
      <c r="AQ5" s="37">
        <v>45992</v>
      </c>
      <c r="AR5" s="37">
        <v>45993</v>
      </c>
      <c r="AS5" s="37">
        <v>45994</v>
      </c>
      <c r="AT5" s="37">
        <v>45995</v>
      </c>
      <c r="AU5" s="37">
        <v>45996</v>
      </c>
      <c r="AV5" s="48">
        <v>45997</v>
      </c>
      <c r="AW5" s="48">
        <v>45998</v>
      </c>
      <c r="AX5" s="37">
        <v>45999</v>
      </c>
      <c r="AY5" s="37">
        <v>46000</v>
      </c>
      <c r="AZ5" s="37">
        <v>46001</v>
      </c>
      <c r="BA5" s="37">
        <v>46002</v>
      </c>
      <c r="BB5" s="37">
        <v>46003</v>
      </c>
      <c r="BC5" s="48">
        <v>46004</v>
      </c>
      <c r="BD5" s="48">
        <v>46005</v>
      </c>
      <c r="BE5" s="37">
        <v>46006</v>
      </c>
      <c r="BF5" s="37">
        <v>46007</v>
      </c>
      <c r="BG5" s="37">
        <v>46008</v>
      </c>
      <c r="BH5" s="37">
        <v>46009</v>
      </c>
      <c r="BI5" s="37">
        <v>46010</v>
      </c>
      <c r="BJ5" s="48">
        <v>46011</v>
      </c>
      <c r="BK5" s="48">
        <v>46012</v>
      </c>
      <c r="BL5" s="37">
        <v>46013</v>
      </c>
      <c r="BM5" s="37">
        <v>46014</v>
      </c>
      <c r="BN5" s="37">
        <v>46015</v>
      </c>
      <c r="BO5" s="48">
        <v>46016</v>
      </c>
      <c r="BP5" s="37">
        <v>46017</v>
      </c>
      <c r="BQ5" s="48">
        <v>46018</v>
      </c>
      <c r="BR5" s="48">
        <v>46019</v>
      </c>
      <c r="BS5" s="37">
        <v>46020</v>
      </c>
      <c r="BT5" s="37">
        <v>46021</v>
      </c>
      <c r="BU5" s="37">
        <v>46022</v>
      </c>
      <c r="BV5" s="48">
        <v>46023</v>
      </c>
      <c r="BW5" s="37" t="s">
        <v>7</v>
      </c>
      <c r="BX5" s="84" t="s">
        <v>425</v>
      </c>
      <c r="BY5" s="1" t="s">
        <v>281</v>
      </c>
      <c r="BZ5" s="89" t="s">
        <v>408</v>
      </c>
    </row>
    <row r="6" spans="1:78" ht="20.100000000000001" customHeight="1" thickBot="1" x14ac:dyDescent="0.35">
      <c r="A6" s="24"/>
      <c r="C6" s="24"/>
      <c r="D6" s="1"/>
      <c r="E6" s="2"/>
      <c r="G6" s="1"/>
      <c r="H6" s="1"/>
      <c r="I6" s="1"/>
      <c r="J6" s="24"/>
      <c r="K6" s="25"/>
      <c r="L6" s="25"/>
      <c r="Q6" s="38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 t="s">
        <v>7</v>
      </c>
      <c r="BX6" s="84" t="s">
        <v>426</v>
      </c>
    </row>
    <row r="7" spans="1:78" s="8" customFormat="1" ht="20.100000000000001" customHeight="1" x14ac:dyDescent="0.3">
      <c r="A7" s="13">
        <v>1</v>
      </c>
      <c r="B7" s="9" t="s">
        <v>340</v>
      </c>
      <c r="C7" s="70" t="s">
        <v>161</v>
      </c>
      <c r="D7" s="46">
        <f>VLOOKUP(F9,[1]SKU리스트!$H:$L,5,FALSE)</f>
        <v>28110</v>
      </c>
      <c r="E7" s="47">
        <f>VLOOKUP(F9,[1]SKU리스트!$H:$AK,30,FALSE)</f>
        <v>13462.72727272727</v>
      </c>
      <c r="F7" s="10" t="s">
        <v>329</v>
      </c>
      <c r="G7" s="11"/>
      <c r="H7" s="11"/>
      <c r="I7" s="11"/>
      <c r="K7" s="12"/>
      <c r="M7" s="8">
        <v>1</v>
      </c>
      <c r="Q7" s="44" t="s">
        <v>125</v>
      </c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 t="s">
        <v>221</v>
      </c>
      <c r="AR7" s="54">
        <v>2</v>
      </c>
      <c r="AS7" s="54">
        <v>17</v>
      </c>
      <c r="AT7" s="54">
        <v>7</v>
      </c>
      <c r="AU7" s="54">
        <v>-3</v>
      </c>
      <c r="AV7" s="54">
        <v>1</v>
      </c>
      <c r="AW7" s="54" t="s">
        <v>221</v>
      </c>
      <c r="AX7" s="54">
        <v>0</v>
      </c>
      <c r="AY7" s="54">
        <v>10</v>
      </c>
      <c r="AZ7" s="54">
        <v>9</v>
      </c>
      <c r="BA7" s="54">
        <v>10</v>
      </c>
      <c r="BB7" s="54">
        <v>15</v>
      </c>
      <c r="BC7" s="54">
        <v>16</v>
      </c>
      <c r="BD7" s="54">
        <v>18</v>
      </c>
      <c r="BE7" s="54">
        <v>22</v>
      </c>
      <c r="BF7" s="54">
        <v>4</v>
      </c>
      <c r="BG7" s="54">
        <v>14</v>
      </c>
      <c r="BH7" s="54">
        <v>26</v>
      </c>
      <c r="BI7" s="54">
        <v>25</v>
      </c>
      <c r="BJ7" s="54">
        <v>34</v>
      </c>
      <c r="BK7" s="54">
        <v>43</v>
      </c>
      <c r="BL7" s="54">
        <v>41</v>
      </c>
      <c r="BM7" s="54">
        <v>46</v>
      </c>
      <c r="BN7" s="54">
        <v>21</v>
      </c>
      <c r="BO7" s="54">
        <v>25</v>
      </c>
      <c r="BP7" s="54">
        <v>-3</v>
      </c>
      <c r="BQ7" s="54">
        <v>0</v>
      </c>
      <c r="BR7" s="54">
        <v>28</v>
      </c>
      <c r="BS7" s="54">
        <v>35</v>
      </c>
      <c r="BT7" s="54">
        <v>42</v>
      </c>
      <c r="BU7" s="54"/>
      <c r="BV7" s="54"/>
      <c r="BW7" s="54"/>
      <c r="BX7" s="85">
        <f>VLOOKUP(F7,[1]SKU리스트!$H:$AH,27,FALSE)</f>
        <v>1747192</v>
      </c>
      <c r="BY7" s="9"/>
      <c r="BZ7" s="90"/>
    </row>
    <row r="8" spans="1:78" ht="20.100000000000001" customHeight="1" x14ac:dyDescent="0.3">
      <c r="A8" s="13">
        <v>2</v>
      </c>
      <c r="B8" s="4" t="s">
        <v>340</v>
      </c>
      <c r="C8" s="69" t="s">
        <v>161</v>
      </c>
      <c r="D8" s="1"/>
      <c r="E8" s="1"/>
      <c r="F8" s="2" t="s">
        <v>330</v>
      </c>
      <c r="H8" s="3"/>
      <c r="M8" s="1">
        <v>2</v>
      </c>
      <c r="Q8" s="39" t="s">
        <v>282</v>
      </c>
      <c r="R8" s="5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50"/>
      <c r="AL8" s="50"/>
      <c r="AM8" s="50"/>
      <c r="AN8" s="50"/>
      <c r="AO8" s="53"/>
      <c r="AP8" s="51"/>
      <c r="AQ8" s="50"/>
      <c r="AR8" s="50"/>
      <c r="AS8" s="50"/>
      <c r="AT8" s="50"/>
      <c r="AU8" s="50"/>
      <c r="AV8" s="53">
        <f>SUM(AP7:AV7)</f>
        <v>24</v>
      </c>
      <c r="AW8" s="50">
        <v>0</v>
      </c>
      <c r="AX8" s="50"/>
      <c r="AY8" s="50"/>
      <c r="AZ8" s="50"/>
      <c r="BA8" s="50"/>
      <c r="BB8" s="50"/>
      <c r="BC8" s="53">
        <f>SUM(AW7:BC7)</f>
        <v>60</v>
      </c>
      <c r="BD8" s="50">
        <v>9</v>
      </c>
      <c r="BE8" s="50"/>
      <c r="BF8" s="50"/>
      <c r="BG8" s="50"/>
      <c r="BH8" s="50"/>
      <c r="BI8" s="50"/>
      <c r="BJ8" s="53">
        <f>SUM(BD7:BJ7)</f>
        <v>143</v>
      </c>
      <c r="BK8" s="50">
        <v>119</v>
      </c>
      <c r="BL8" s="50"/>
      <c r="BM8" s="50"/>
      <c r="BN8" s="50"/>
      <c r="BO8" s="50"/>
      <c r="BP8" s="50"/>
      <c r="BQ8" s="53">
        <f>SUM(BK7:BQ7)</f>
        <v>173</v>
      </c>
      <c r="BR8" s="50">
        <v>199</v>
      </c>
      <c r="BS8" s="50"/>
      <c r="BT8" s="50"/>
      <c r="BU8" s="50"/>
      <c r="BV8" s="50"/>
      <c r="BW8" s="50"/>
      <c r="BZ8" s="22"/>
    </row>
    <row r="9" spans="1:78" ht="20.100000000000001" customHeight="1" x14ac:dyDescent="0.3">
      <c r="A9" s="13">
        <v>3</v>
      </c>
      <c r="B9" s="91" t="s">
        <v>340</v>
      </c>
      <c r="C9" s="93" t="s">
        <v>161</v>
      </c>
      <c r="D9" s="98"/>
      <c r="E9" s="98"/>
      <c r="F9" s="96">
        <v>94001494441</v>
      </c>
      <c r="G9" s="97"/>
      <c r="H9" s="97"/>
      <c r="I9" s="97"/>
      <c r="J9" s="91"/>
      <c r="L9" s="98"/>
      <c r="M9" s="98">
        <v>3</v>
      </c>
      <c r="N9" s="98"/>
      <c r="O9" s="98"/>
      <c r="P9" s="98"/>
      <c r="Q9" s="41" t="s">
        <v>1</v>
      </c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>
        <f>IFERROR(VLOOKUP($F9,[2]원본!$D:$BX,AI$1,FALSE),"")</f>
        <v>0</v>
      </c>
      <c r="AJ9" s="40">
        <f>IFERROR(VLOOKUP($F9,[2]원본!$D:$BX,AJ$1,FALSE),"")</f>
        <v>0</v>
      </c>
      <c r="AK9" s="40">
        <f>IFERROR(VLOOKUP($F9,[2]원본!$D:$BX,AK$1,FALSE),"")</f>
        <v>0</v>
      </c>
      <c r="AL9" s="40">
        <f>IFERROR(VLOOKUP($F9,[2]원본!$D:$BX,AL$1,FALSE),"")</f>
        <v>4</v>
      </c>
      <c r="AM9" s="40">
        <f>IFERROR(VLOOKUP($F9,[2]원본!$D:$BX,AM$1,FALSE),"")</f>
        <v>0</v>
      </c>
      <c r="AN9" s="40">
        <f>IFERROR(VLOOKUP($F9,[2]원본!$D:$BX,AN$1,FALSE),"")</f>
        <v>0</v>
      </c>
      <c r="AO9" s="40">
        <f>IFERROR(VLOOKUP($F9,[2]원본!$D:$BX,AO$1,FALSE),"")</f>
        <v>0</v>
      </c>
      <c r="AP9" s="40">
        <f>IFERROR(VLOOKUP($F9,[2]원본!$D:$BX,AP$1,FALSE),"")</f>
        <v>0</v>
      </c>
      <c r="AQ9" s="40">
        <f>IFERROR(VLOOKUP($F9,[2]원본!$D:$BX,AQ$1,FALSE),"")</f>
        <v>0</v>
      </c>
      <c r="AR9" s="40">
        <f>IFERROR(VLOOKUP($F9,[2]원본!$D:$BX,AR$1,FALSE),"")</f>
        <v>1</v>
      </c>
      <c r="AS9" s="40">
        <f>IFERROR(VLOOKUP($F9,[2]원본!$D:$BX,AS$1,FALSE),"")</f>
        <v>16</v>
      </c>
      <c r="AT9" s="40">
        <f>IFERROR(VLOOKUP($F9,[2]원본!$D:$BX,AT$1,FALSE),"")</f>
        <v>6</v>
      </c>
      <c r="AU9" s="40">
        <f>IFERROR(VLOOKUP($F9,[2]원본!$D:$BX,AU$1,FALSE),"")</f>
        <v>0</v>
      </c>
      <c r="AV9" s="40">
        <f>IFERROR(VLOOKUP($F9,[2]원본!$D:$BX,AV$1,FALSE),"")</f>
        <v>0</v>
      </c>
      <c r="AW9" s="40">
        <f>IFERROR(VLOOKUP($F9,[2]원본!$D:$BX,AW$1,FALSE),"")</f>
        <v>0</v>
      </c>
      <c r="AX9" s="40">
        <f>IFERROR(VLOOKUP($F9,[2]원본!$D:$BX,AX$1,FALSE),"")</f>
        <v>1</v>
      </c>
      <c r="AY9" s="40">
        <f>IFERROR(VLOOKUP($F9,[2]원본!$D:$BX,AY$1,FALSE),"")</f>
        <v>10</v>
      </c>
      <c r="AZ9" s="40">
        <f>IFERROR(VLOOKUP($F9,[2]원본!$D:$BX,AZ$1,FALSE),"")</f>
        <v>10</v>
      </c>
      <c r="BA9" s="40">
        <f>IFERROR(VLOOKUP($F9,[2]원본!$D:$BX,BA$1,FALSE),"")</f>
        <v>10</v>
      </c>
      <c r="BB9" s="40">
        <f>IFERROR(VLOOKUP($F9,[2]원본!$D:$BX,BB$1,FALSE),"")</f>
        <v>15</v>
      </c>
      <c r="BC9" s="40">
        <f>IFERROR(VLOOKUP($F9,[2]원본!$D:$BX,BC$1,FALSE),"")</f>
        <v>15</v>
      </c>
      <c r="BD9" s="40">
        <f>IFERROR(VLOOKUP($F9,[2]원본!$D:$BX,BD$1,FALSE),"")</f>
        <v>15</v>
      </c>
      <c r="BE9" s="40">
        <f>IFERROR(VLOOKUP($F9,[2]원본!$D:$BX,BE$1,FALSE),"")</f>
        <v>15</v>
      </c>
      <c r="BF9" s="40">
        <f>IFERROR(VLOOKUP($F9,[2]원본!$D:$BX,BF$1,FALSE),"")</f>
        <v>0</v>
      </c>
      <c r="BG9" s="40">
        <f>IFERROR(VLOOKUP($F9,[2]원본!$D:$BX,BG$1,FALSE),"")</f>
        <v>9</v>
      </c>
      <c r="BH9" s="40">
        <f>IFERROR(VLOOKUP($F9,[2]원본!$D:$BX,BH$1,FALSE),"")</f>
        <v>10</v>
      </c>
      <c r="BI9" s="40">
        <f>IFERROR(VLOOKUP($F9,[2]원본!$D:$BX,BI$1,FALSE),"")</f>
        <v>10</v>
      </c>
      <c r="BJ9" s="40">
        <f>IFERROR(VLOOKUP($F9,[2]원본!$D:$BX,BJ$1,FALSE),"")</f>
        <v>10</v>
      </c>
      <c r="BK9" s="40">
        <f>IFERROR(VLOOKUP($F9,[2]원본!$D:$BX,BK$1,FALSE),"")</f>
        <v>10</v>
      </c>
      <c r="BL9" s="40">
        <f>IFERROR(VLOOKUP($F9,[2]원본!$D:$BX,BL$1,FALSE),"")</f>
        <v>10</v>
      </c>
      <c r="BM9" s="40">
        <f>IFERROR(VLOOKUP($F9,[2]원본!$D:$BX,BM$1,FALSE),"")</f>
        <v>0</v>
      </c>
      <c r="BN9" s="40">
        <f>IFERROR(VLOOKUP($F9,[2]원본!$D:$BX,BN$1,FALSE),"")</f>
        <v>0</v>
      </c>
      <c r="BO9" s="40">
        <f>IFERROR(VLOOKUP($F9,[2]원본!$D:$BX,BO$1,FALSE),"")</f>
        <v>0</v>
      </c>
      <c r="BP9" s="40">
        <f>IFERROR(VLOOKUP($F9,[2]원본!$D:$BX,BP$1,FALSE),"")</f>
        <v>0</v>
      </c>
      <c r="BQ9" s="40">
        <f>IFERROR(VLOOKUP($F9,[2]원본!$D:$BX,BQ$1,FALSE),"")</f>
        <v>0</v>
      </c>
      <c r="BR9" s="40">
        <f>IFERROR(VLOOKUP($F9,[2]원본!$D:$BX,BR$1,FALSE),"")</f>
        <v>0</v>
      </c>
      <c r="BS9" s="40">
        <f>IFERROR(VLOOKUP($F9,[2]원본!$D:$BX,BS$1,FALSE),"")</f>
        <v>0</v>
      </c>
      <c r="BT9" s="40">
        <f>IFERROR(VLOOKUP($F9,[2]원본!$D:$BX,BT$1,FALSE),"")</f>
        <v>0</v>
      </c>
      <c r="BU9" s="40">
        <f>IFERROR(VLOOKUP($F9,[2]원본!$D:$BX,BU$1,FALSE),"")</f>
        <v>0</v>
      </c>
      <c r="BV9" s="40" t="str">
        <f>IFERROR(VLOOKUP($F9,[2]원본!$D:$BX,BV$1,FALSE),"")</f>
        <v/>
      </c>
      <c r="BW9" s="40" t="str">
        <f>IFERROR(VLOOKUP($F9,[2]원본!$D:$BX,BW$1,FALSE),"")</f>
        <v/>
      </c>
      <c r="BX9" s="112">
        <f>(SUM(R9:BW9)*D7)-(SUM(R9:BW9)*E7)</f>
        <v>2592567.2727272729</v>
      </c>
      <c r="BY9" s="91"/>
      <c r="BZ9" s="40" t="str">
        <f>IFERROR(VLOOKUP($F9,#REF!,BZ$1,FALSE),"")</f>
        <v/>
      </c>
    </row>
    <row r="10" spans="1:78" ht="20.100000000000001" customHeight="1" x14ac:dyDescent="0.3">
      <c r="A10" s="13">
        <v>4</v>
      </c>
      <c r="B10" s="4" t="s">
        <v>340</v>
      </c>
      <c r="C10" s="69" t="s">
        <v>161</v>
      </c>
      <c r="D10" s="82" t="s">
        <v>327</v>
      </c>
      <c r="F10" s="2">
        <v>94001494441</v>
      </c>
      <c r="G10" s="3" t="s">
        <v>331</v>
      </c>
      <c r="H10" s="3"/>
      <c r="J10" s="4" t="s">
        <v>381</v>
      </c>
      <c r="K10" s="62">
        <v>47000</v>
      </c>
      <c r="L10" s="1">
        <v>1</v>
      </c>
      <c r="M10" s="1">
        <v>4</v>
      </c>
      <c r="Q10" s="42" t="s">
        <v>0</v>
      </c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7"/>
      <c r="BB10" s="7">
        <v>45</v>
      </c>
      <c r="BC10" s="7"/>
      <c r="BD10" s="7"/>
      <c r="BE10" s="7">
        <v>126</v>
      </c>
      <c r="BF10" s="7">
        <v>193</v>
      </c>
      <c r="BG10" s="7">
        <v>128</v>
      </c>
      <c r="BH10" s="7">
        <v>45</v>
      </c>
      <c r="BI10" s="7">
        <v>282</v>
      </c>
      <c r="BJ10" s="7"/>
      <c r="BK10" s="7"/>
      <c r="BL10" s="7">
        <v>26</v>
      </c>
      <c r="BM10" s="7"/>
      <c r="BN10" s="7">
        <v>26</v>
      </c>
      <c r="BO10" s="7">
        <v>27</v>
      </c>
      <c r="BP10" s="7"/>
      <c r="BQ10" s="7"/>
      <c r="BR10" s="7"/>
      <c r="BS10" s="7">
        <v>20</v>
      </c>
      <c r="BT10" s="7">
        <v>20</v>
      </c>
      <c r="BU10" s="7">
        <v>20</v>
      </c>
      <c r="BV10" s="7"/>
      <c r="BW10" s="7"/>
      <c r="BZ10" s="22"/>
    </row>
    <row r="11" spans="1:78" ht="20.100000000000001" customHeight="1" x14ac:dyDescent="0.3">
      <c r="A11" s="13">
        <v>5</v>
      </c>
      <c r="B11" s="4" t="s">
        <v>340</v>
      </c>
      <c r="C11" s="69" t="s">
        <v>161</v>
      </c>
      <c r="D11" s="20"/>
      <c r="E11" s="20"/>
      <c r="F11" s="2">
        <v>94001494441</v>
      </c>
      <c r="H11" s="3"/>
      <c r="J11" s="4" t="s">
        <v>382</v>
      </c>
      <c r="K11" s="62">
        <v>42600</v>
      </c>
      <c r="L11" s="1">
        <v>1</v>
      </c>
      <c r="M11" s="1">
        <v>5</v>
      </c>
      <c r="Q11" s="42" t="s">
        <v>0</v>
      </c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7"/>
      <c r="BB11" s="7">
        <v>30</v>
      </c>
      <c r="BC11" s="7"/>
      <c r="BD11" s="7"/>
      <c r="BE11" s="7">
        <v>2</v>
      </c>
      <c r="BF11" s="7">
        <v>3</v>
      </c>
      <c r="BG11" s="7">
        <v>3</v>
      </c>
      <c r="BH11" s="7">
        <v>30</v>
      </c>
      <c r="BI11" s="7">
        <v>6</v>
      </c>
      <c r="BJ11" s="7"/>
      <c r="BK11" s="7"/>
      <c r="BL11" s="7">
        <v>2</v>
      </c>
      <c r="BM11" s="7"/>
      <c r="BN11" s="7">
        <v>2</v>
      </c>
      <c r="BO11" s="7">
        <v>3</v>
      </c>
      <c r="BP11" s="7"/>
      <c r="BQ11" s="7"/>
      <c r="BR11" s="7"/>
      <c r="BS11" s="7">
        <v>3</v>
      </c>
      <c r="BT11" s="7">
        <v>3</v>
      </c>
      <c r="BU11" s="7">
        <v>3</v>
      </c>
      <c r="BV11" s="7"/>
      <c r="BW11" s="7"/>
      <c r="BZ11" s="22"/>
    </row>
    <row r="12" spans="1:78" ht="20.100000000000001" customHeight="1" x14ac:dyDescent="0.3">
      <c r="A12" s="13">
        <v>6</v>
      </c>
      <c r="B12" s="91" t="s">
        <v>340</v>
      </c>
      <c r="C12" s="93" t="s">
        <v>161</v>
      </c>
      <c r="D12" s="94"/>
      <c r="E12" s="94"/>
      <c r="F12" s="96">
        <v>94001494441</v>
      </c>
      <c r="G12" s="97"/>
      <c r="H12" s="97"/>
      <c r="I12" s="97"/>
      <c r="J12" s="91" t="s">
        <v>335</v>
      </c>
      <c r="K12" s="62">
        <v>22500</v>
      </c>
      <c r="L12" s="98"/>
      <c r="M12" s="98">
        <v>7</v>
      </c>
      <c r="N12" s="98"/>
      <c r="O12" s="98"/>
      <c r="P12" s="98"/>
      <c r="Q12" s="7" t="s">
        <v>185</v>
      </c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106"/>
      <c r="BU12" s="106"/>
      <c r="BV12" s="106"/>
      <c r="BW12" s="106"/>
      <c r="BY12" s="91"/>
      <c r="BZ12" s="22"/>
    </row>
    <row r="13" spans="1:78" ht="20.100000000000001" customHeight="1" x14ac:dyDescent="0.3">
      <c r="A13" s="13">
        <v>7</v>
      </c>
      <c r="B13" s="4" t="s">
        <v>340</v>
      </c>
      <c r="C13" s="69" t="s">
        <v>161</v>
      </c>
      <c r="D13" s="20"/>
      <c r="E13" s="20"/>
      <c r="F13" s="2">
        <v>94001494441</v>
      </c>
      <c r="H13" s="3"/>
      <c r="J13" s="4" t="s">
        <v>383</v>
      </c>
      <c r="K13" s="62">
        <v>2547</v>
      </c>
      <c r="L13" s="1">
        <v>1</v>
      </c>
      <c r="M13" s="1">
        <v>6</v>
      </c>
      <c r="Q13" s="42" t="s">
        <v>0</v>
      </c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>
        <v>33</v>
      </c>
      <c r="BM13" s="7"/>
      <c r="BN13" s="7">
        <v>21</v>
      </c>
      <c r="BO13" s="7">
        <v>21</v>
      </c>
      <c r="BP13" s="7"/>
      <c r="BQ13" s="7"/>
      <c r="BR13" s="7"/>
      <c r="BS13" s="7"/>
      <c r="BT13" s="7"/>
      <c r="BU13" s="7"/>
      <c r="BV13" s="7"/>
      <c r="BW13" s="7"/>
      <c r="BZ13" s="22"/>
    </row>
    <row r="14" spans="1:78" s="14" customFormat="1" ht="20.100000000000001" customHeight="1" thickBot="1" x14ac:dyDescent="0.35">
      <c r="A14" s="13">
        <v>8</v>
      </c>
      <c r="B14" s="15" t="s">
        <v>340</v>
      </c>
      <c r="C14" s="71" t="s">
        <v>161</v>
      </c>
      <c r="D14" s="21"/>
      <c r="E14" s="21"/>
      <c r="F14" s="16">
        <v>94001494441</v>
      </c>
      <c r="G14" s="17"/>
      <c r="H14" s="17"/>
      <c r="I14" s="17"/>
      <c r="J14" s="15" t="s">
        <v>336</v>
      </c>
      <c r="K14" s="18"/>
      <c r="L14" s="14">
        <v>1</v>
      </c>
      <c r="M14" s="14">
        <v>8</v>
      </c>
      <c r="Q14" s="45" t="s">
        <v>0</v>
      </c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>
        <v>18</v>
      </c>
      <c r="BO14" s="19">
        <v>17</v>
      </c>
      <c r="BP14" s="19"/>
      <c r="BQ14" s="19"/>
      <c r="BR14" s="19"/>
      <c r="BS14" s="19"/>
      <c r="BT14" s="19"/>
      <c r="BU14" s="19"/>
      <c r="BV14" s="19"/>
      <c r="BW14" s="19"/>
      <c r="BX14" s="18"/>
      <c r="BY14" s="15"/>
      <c r="BZ14" s="23"/>
    </row>
    <row r="15" spans="1:78" s="8" customFormat="1" ht="20.100000000000001" customHeight="1" x14ac:dyDescent="0.3">
      <c r="A15" s="13">
        <v>9</v>
      </c>
      <c r="B15" s="9" t="s">
        <v>340</v>
      </c>
      <c r="C15" s="70" t="s">
        <v>161</v>
      </c>
      <c r="D15" s="46">
        <f>VLOOKUP(F17,[1]SKU리스트!$H:$L,5,FALSE)</f>
        <v>28110</v>
      </c>
      <c r="E15" s="47">
        <f>VLOOKUP(F17,[1]SKU리스트!$H:$AK,30,FALSE)</f>
        <v>13462.72727272727</v>
      </c>
      <c r="F15" s="10" t="s">
        <v>333</v>
      </c>
      <c r="G15" s="11"/>
      <c r="H15" s="11"/>
      <c r="I15" s="11"/>
      <c r="K15" s="12"/>
      <c r="M15" s="8">
        <v>9</v>
      </c>
      <c r="Q15" s="44" t="s">
        <v>125</v>
      </c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>
        <v>21</v>
      </c>
      <c r="AR15" s="54">
        <v>2</v>
      </c>
      <c r="AS15" s="54" t="s">
        <v>221</v>
      </c>
      <c r="AT15" s="54" t="s">
        <v>221</v>
      </c>
      <c r="AU15" s="54">
        <v>10</v>
      </c>
      <c r="AV15" s="54">
        <v>7</v>
      </c>
      <c r="AW15" s="54">
        <v>11</v>
      </c>
      <c r="AX15" s="54">
        <v>10</v>
      </c>
      <c r="AY15" s="54">
        <v>10</v>
      </c>
      <c r="AZ15" s="54">
        <v>10</v>
      </c>
      <c r="BA15" s="54">
        <v>10</v>
      </c>
      <c r="BB15" s="54">
        <v>15</v>
      </c>
      <c r="BC15" s="54">
        <v>14</v>
      </c>
      <c r="BD15" s="54">
        <v>19</v>
      </c>
      <c r="BE15" s="54" t="s">
        <v>221</v>
      </c>
      <c r="BF15" s="54">
        <v>2</v>
      </c>
      <c r="BG15" s="54">
        <v>18</v>
      </c>
      <c r="BH15" s="54">
        <v>20</v>
      </c>
      <c r="BI15" s="54">
        <v>30</v>
      </c>
      <c r="BJ15" s="54">
        <v>28</v>
      </c>
      <c r="BK15" s="54">
        <v>46</v>
      </c>
      <c r="BL15" s="54">
        <v>25</v>
      </c>
      <c r="BM15" s="54">
        <v>11</v>
      </c>
      <c r="BN15" s="54">
        <v>27</v>
      </c>
      <c r="BO15" s="54">
        <v>37</v>
      </c>
      <c r="BP15" s="54">
        <v>35</v>
      </c>
      <c r="BQ15" s="54">
        <v>51</v>
      </c>
      <c r="BR15" s="54">
        <v>39</v>
      </c>
      <c r="BS15" s="54">
        <v>66</v>
      </c>
      <c r="BT15" s="54">
        <v>48</v>
      </c>
      <c r="BU15" s="54"/>
      <c r="BV15" s="54"/>
      <c r="BW15" s="54"/>
      <c r="BX15" s="85">
        <f>VLOOKUP(F15,[1]SKU리스트!$H:$AH,27,FALSE)</f>
        <v>1342483</v>
      </c>
      <c r="BY15" s="9"/>
      <c r="BZ15" s="90"/>
    </row>
    <row r="16" spans="1:78" ht="20.100000000000001" customHeight="1" x14ac:dyDescent="0.3">
      <c r="A16" s="13">
        <v>10</v>
      </c>
      <c r="B16" s="91" t="s">
        <v>340</v>
      </c>
      <c r="C16" s="93" t="s">
        <v>161</v>
      </c>
      <c r="D16" s="98"/>
      <c r="E16" s="98"/>
      <c r="F16" s="96" t="s">
        <v>334</v>
      </c>
      <c r="G16" s="97"/>
      <c r="H16" s="97"/>
      <c r="I16" s="97"/>
      <c r="J16" s="91"/>
      <c r="L16" s="98"/>
      <c r="M16" s="98">
        <v>10</v>
      </c>
      <c r="N16" s="98"/>
      <c r="O16" s="98"/>
      <c r="P16" s="98"/>
      <c r="Q16" s="39" t="s">
        <v>282</v>
      </c>
      <c r="R16" s="5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50"/>
      <c r="AL16" s="50"/>
      <c r="AM16" s="50"/>
      <c r="AN16" s="50"/>
      <c r="AO16" s="53"/>
      <c r="AP16" s="51"/>
      <c r="AQ16" s="50"/>
      <c r="AR16" s="50"/>
      <c r="AS16" s="50"/>
      <c r="AT16" s="50"/>
      <c r="AU16" s="50"/>
      <c r="AV16" s="53">
        <f>SUM(AP15:AV15)</f>
        <v>40</v>
      </c>
      <c r="AW16" s="50">
        <v>0</v>
      </c>
      <c r="AX16" s="52"/>
      <c r="AY16" s="50"/>
      <c r="AZ16" s="50"/>
      <c r="BA16" s="50"/>
      <c r="BB16" s="50"/>
      <c r="BC16" s="53">
        <f>SUM(AW15:BC15)</f>
        <v>80</v>
      </c>
      <c r="BD16" s="50">
        <v>19</v>
      </c>
      <c r="BE16" s="50"/>
      <c r="BF16" s="50"/>
      <c r="BG16" s="50"/>
      <c r="BH16" s="50"/>
      <c r="BI16" s="50"/>
      <c r="BJ16" s="53">
        <f>SUM(BD15:BJ15)</f>
        <v>117</v>
      </c>
      <c r="BK16" s="50">
        <v>24</v>
      </c>
      <c r="BL16" s="50"/>
      <c r="BM16" s="50"/>
      <c r="BN16" s="50"/>
      <c r="BO16" s="50"/>
      <c r="BP16" s="50"/>
      <c r="BQ16" s="53">
        <f>SUM(BK15:BQ15)</f>
        <v>232</v>
      </c>
      <c r="BR16" s="50">
        <v>141</v>
      </c>
      <c r="BS16" s="50"/>
      <c r="BT16" s="50"/>
      <c r="BU16" s="50"/>
      <c r="BV16" s="50"/>
      <c r="BW16" s="50"/>
      <c r="BY16" s="91"/>
      <c r="BZ16" s="22"/>
    </row>
    <row r="17" spans="1:78" ht="20.100000000000001" customHeight="1" x14ac:dyDescent="0.3">
      <c r="A17" s="13">
        <v>11</v>
      </c>
      <c r="B17" s="4" t="s">
        <v>340</v>
      </c>
      <c r="C17" s="69" t="s">
        <v>161</v>
      </c>
      <c r="D17" s="1"/>
      <c r="E17" s="1"/>
      <c r="F17" s="2">
        <v>94001494442</v>
      </c>
      <c r="H17" s="3"/>
      <c r="M17" s="1">
        <v>11</v>
      </c>
      <c r="Q17" s="41" t="s">
        <v>1</v>
      </c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>
        <f>IFERROR(VLOOKUP($F17,[2]원본!$D:$BX,AI$1,FALSE),"")</f>
        <v>0</v>
      </c>
      <c r="AJ17" s="40">
        <f>IFERROR(VLOOKUP($F17,[2]원본!$D:$BX,AJ$1,FALSE),"")</f>
        <v>0</v>
      </c>
      <c r="AK17" s="40">
        <f>IFERROR(VLOOKUP($F17,[2]원본!$D:$BX,AK$1,FALSE),"")</f>
        <v>0</v>
      </c>
      <c r="AL17" s="40">
        <f>IFERROR(VLOOKUP($F17,[2]원본!$D:$BX,AL$1,FALSE),"")</f>
        <v>0</v>
      </c>
      <c r="AM17" s="40">
        <f>IFERROR(VLOOKUP($F17,[2]원본!$D:$BX,AM$1,FALSE),"")</f>
        <v>0</v>
      </c>
      <c r="AN17" s="40">
        <f>IFERROR(VLOOKUP($F17,[2]원본!$D:$BX,AN$1,FALSE),"")</f>
        <v>0</v>
      </c>
      <c r="AO17" s="40">
        <f>IFERROR(VLOOKUP($F17,[2]원본!$D:$BX,AO$1,FALSE),"")</f>
        <v>0</v>
      </c>
      <c r="AP17" s="40">
        <f>IFERROR(VLOOKUP($F17,[2]원본!$D:$BX,AP$1,FALSE),"")</f>
        <v>0</v>
      </c>
      <c r="AQ17" s="40">
        <f>IFERROR(VLOOKUP($F17,[2]원본!$D:$BX,AQ$1,FALSE),"")</f>
        <v>21</v>
      </c>
      <c r="AR17" s="40">
        <f>IFERROR(VLOOKUP($F17,[2]원본!$D:$BX,AR$1,FALSE),"")</f>
        <v>2</v>
      </c>
      <c r="AS17" s="40">
        <f>IFERROR(VLOOKUP($F17,[2]원본!$D:$BX,AS$1,FALSE),"")</f>
        <v>0</v>
      </c>
      <c r="AT17" s="40">
        <f>IFERROR(VLOOKUP($F17,[2]원본!$D:$BX,AT$1,FALSE),"")</f>
        <v>0</v>
      </c>
      <c r="AU17" s="40">
        <f>IFERROR(VLOOKUP($F17,[2]원본!$D:$BX,AU$1,FALSE),"")</f>
        <v>10</v>
      </c>
      <c r="AV17" s="40">
        <f>IFERROR(VLOOKUP($F17,[2]원본!$D:$BX,AV$1,FALSE),"")</f>
        <v>7</v>
      </c>
      <c r="AW17" s="40">
        <f>IFERROR(VLOOKUP($F17,[2]원본!$D:$BX,AW$1,FALSE),"")</f>
        <v>9</v>
      </c>
      <c r="AX17" s="40">
        <f>IFERROR(VLOOKUP($F17,[2]원본!$D:$BX,AX$1,FALSE),"")</f>
        <v>12</v>
      </c>
      <c r="AY17" s="40">
        <f>IFERROR(VLOOKUP($F17,[2]원본!$D:$BX,AY$1,FALSE),"")</f>
        <v>10</v>
      </c>
      <c r="AZ17" s="40">
        <f>IFERROR(VLOOKUP($F17,[2]원본!$D:$BX,AZ$1,FALSE),"")</f>
        <v>10</v>
      </c>
      <c r="BA17" s="40">
        <f>IFERROR(VLOOKUP($F17,[2]원본!$D:$BX,BA$1,FALSE),"")</f>
        <v>10</v>
      </c>
      <c r="BB17" s="40">
        <f>IFERROR(VLOOKUP($F17,[2]원본!$D:$BX,BB$1,FALSE),"")</f>
        <v>15</v>
      </c>
      <c r="BC17" s="40">
        <f>IFERROR(VLOOKUP($F17,[2]원본!$D:$BX,BC$1,FALSE),"")</f>
        <v>15</v>
      </c>
      <c r="BD17" s="40">
        <f>IFERROR(VLOOKUP($F17,[2]원본!$D:$BX,BD$1,FALSE),"")</f>
        <v>15</v>
      </c>
      <c r="BE17" s="40">
        <f>IFERROR(VLOOKUP($F17,[2]원본!$D:$BX,BE$1,FALSE),"")</f>
        <v>0</v>
      </c>
      <c r="BF17" s="40">
        <f>IFERROR(VLOOKUP($F17,[2]원본!$D:$BX,BF$1,FALSE),"")</f>
        <v>0</v>
      </c>
      <c r="BG17" s="40">
        <f>IFERROR(VLOOKUP($F17,[2]원본!$D:$BX,BG$1,FALSE),"")</f>
        <v>11</v>
      </c>
      <c r="BH17" s="40">
        <f>IFERROR(VLOOKUP($F17,[2]원본!$D:$BX,BH$1,FALSE),"")</f>
        <v>10</v>
      </c>
      <c r="BI17" s="40">
        <f>IFERROR(VLOOKUP($F17,[2]원본!$D:$BX,BI$1,FALSE),"")</f>
        <v>10</v>
      </c>
      <c r="BJ17" s="40">
        <f>IFERROR(VLOOKUP($F17,[2]원본!$D:$BX,BJ$1,FALSE),"")</f>
        <v>10</v>
      </c>
      <c r="BK17" s="40">
        <f>IFERROR(VLOOKUP($F17,[2]원본!$D:$BX,BK$1,FALSE),"")</f>
        <v>10</v>
      </c>
      <c r="BL17" s="40">
        <f>IFERROR(VLOOKUP($F17,[2]원본!$D:$BX,BL$1,FALSE),"")</f>
        <v>10</v>
      </c>
      <c r="BM17" s="40">
        <f>IFERROR(VLOOKUP($F17,[2]원본!$D:$BX,BM$1,FALSE),"")</f>
        <v>0</v>
      </c>
      <c r="BN17" s="40">
        <f>IFERROR(VLOOKUP($F17,[2]원본!$D:$BX,BN$1,FALSE),"")</f>
        <v>0</v>
      </c>
      <c r="BO17" s="40">
        <f>IFERROR(VLOOKUP($F17,[2]원본!$D:$BX,BO$1,FALSE),"")</f>
        <v>0</v>
      </c>
      <c r="BP17" s="40">
        <f>IFERROR(VLOOKUP($F17,[2]원본!$D:$BX,BP$1,FALSE),"")</f>
        <v>0</v>
      </c>
      <c r="BQ17" s="40">
        <f>IFERROR(VLOOKUP($F17,[2]원본!$D:$BX,BQ$1,FALSE),"")</f>
        <v>0</v>
      </c>
      <c r="BR17" s="40">
        <f>IFERROR(VLOOKUP($F17,[2]원본!$D:$BX,BR$1,FALSE),"")</f>
        <v>0</v>
      </c>
      <c r="BS17" s="40">
        <f>IFERROR(VLOOKUP($F17,[2]원본!$D:$BX,BS$1,FALSE),"")</f>
        <v>0</v>
      </c>
      <c r="BT17" s="40">
        <f>IFERROR(VLOOKUP($F17,[2]원본!$D:$BX,BT$1,FALSE),"")</f>
        <v>0</v>
      </c>
      <c r="BU17" s="40">
        <f>IFERROR(VLOOKUP($F17,[2]원본!$D:$BX,BU$1,FALSE),"")</f>
        <v>0</v>
      </c>
      <c r="BV17" s="40" t="str">
        <f>IFERROR(VLOOKUP($F17,#REF!,BV$1,FALSE),"")</f>
        <v/>
      </c>
      <c r="BW17" s="40"/>
      <c r="BX17" s="26">
        <f>(SUM(R17:BW17)*D15)-(SUM(R17:BW17)*E15)</f>
        <v>2885512.727272728</v>
      </c>
      <c r="BZ17" s="40" t="str">
        <f>IFERROR(VLOOKUP($F17,#REF!,BZ$1,FALSE),"")</f>
        <v/>
      </c>
    </row>
    <row r="18" spans="1:78" ht="20.100000000000001" customHeight="1" x14ac:dyDescent="0.3">
      <c r="A18" s="13">
        <v>12</v>
      </c>
      <c r="B18" s="4" t="s">
        <v>340</v>
      </c>
      <c r="C18" s="69" t="s">
        <v>161</v>
      </c>
      <c r="D18" s="82" t="s">
        <v>328</v>
      </c>
      <c r="F18" s="2">
        <v>94001494442</v>
      </c>
      <c r="G18" s="3" t="s">
        <v>332</v>
      </c>
      <c r="H18" s="3"/>
      <c r="J18" s="4" t="s">
        <v>338</v>
      </c>
      <c r="K18" s="62">
        <v>47000</v>
      </c>
      <c r="L18" s="1">
        <v>1</v>
      </c>
      <c r="M18" s="1">
        <v>14</v>
      </c>
      <c r="Q18" s="42" t="s">
        <v>0</v>
      </c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>
        <v>35</v>
      </c>
      <c r="BI18" s="7"/>
      <c r="BJ18" s="7"/>
      <c r="BK18" s="7"/>
      <c r="BL18" s="7">
        <v>22</v>
      </c>
      <c r="BM18" s="7"/>
      <c r="BN18" s="7">
        <v>22</v>
      </c>
      <c r="BO18" s="7">
        <v>22</v>
      </c>
      <c r="BP18" s="7"/>
      <c r="BQ18" s="7"/>
      <c r="BR18" s="7"/>
      <c r="BS18" s="7">
        <v>18</v>
      </c>
      <c r="BT18" s="7">
        <v>17</v>
      </c>
      <c r="BU18" s="7">
        <v>16</v>
      </c>
      <c r="BV18" s="7"/>
      <c r="BW18" s="7"/>
      <c r="BZ18" s="22"/>
    </row>
    <row r="19" spans="1:78" ht="20.100000000000001" customHeight="1" x14ac:dyDescent="0.3">
      <c r="A19" s="13">
        <v>13</v>
      </c>
      <c r="B19" s="4" t="s">
        <v>340</v>
      </c>
      <c r="C19" s="69" t="s">
        <v>161</v>
      </c>
      <c r="D19" s="20"/>
      <c r="E19" s="20"/>
      <c r="F19" s="2">
        <v>94001494442</v>
      </c>
      <c r="H19" s="3"/>
      <c r="J19" s="4" t="s">
        <v>337</v>
      </c>
      <c r="K19" s="62">
        <v>42600</v>
      </c>
      <c r="L19" s="1">
        <v>1</v>
      </c>
      <c r="M19" s="1">
        <v>13</v>
      </c>
      <c r="Q19" s="42" t="s">
        <v>0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>
        <v>52</v>
      </c>
      <c r="BB19" s="7"/>
      <c r="BC19" s="7"/>
      <c r="BD19" s="7"/>
      <c r="BE19" s="7">
        <v>27</v>
      </c>
      <c r="BF19" s="7">
        <v>18</v>
      </c>
      <c r="BG19" s="7">
        <v>21</v>
      </c>
      <c r="BH19" s="7">
        <v>52</v>
      </c>
      <c r="BI19" s="7">
        <v>21</v>
      </c>
      <c r="BJ19" s="7"/>
      <c r="BK19" s="7"/>
      <c r="BL19" s="7">
        <v>11</v>
      </c>
      <c r="BM19" s="7"/>
      <c r="BN19" s="7">
        <v>10</v>
      </c>
      <c r="BO19" s="7">
        <v>9</v>
      </c>
      <c r="BP19" s="7"/>
      <c r="BQ19" s="7"/>
      <c r="BR19" s="7"/>
      <c r="BS19" s="7">
        <v>9</v>
      </c>
      <c r="BT19" s="7">
        <v>6</v>
      </c>
      <c r="BU19" s="7">
        <v>6</v>
      </c>
      <c r="BV19" s="7"/>
      <c r="BW19" s="7"/>
      <c r="BZ19" s="22"/>
    </row>
    <row r="20" spans="1:78" ht="20.100000000000001" customHeight="1" x14ac:dyDescent="0.3">
      <c r="A20" s="13">
        <v>14</v>
      </c>
      <c r="B20" s="4" t="s">
        <v>340</v>
      </c>
      <c r="C20" s="69" t="s">
        <v>161</v>
      </c>
      <c r="F20" s="2">
        <v>94001494442</v>
      </c>
      <c r="H20" s="3"/>
      <c r="J20" s="4" t="s">
        <v>335</v>
      </c>
      <c r="K20" s="62">
        <v>22500</v>
      </c>
      <c r="M20" s="1">
        <v>12</v>
      </c>
      <c r="Q20" s="7" t="s">
        <v>185</v>
      </c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106"/>
      <c r="BU20" s="106"/>
      <c r="BV20" s="106"/>
      <c r="BW20" s="106"/>
      <c r="BZ20" s="22"/>
    </row>
    <row r="21" spans="1:78" ht="20.100000000000001" customHeight="1" x14ac:dyDescent="0.3">
      <c r="A21" s="13">
        <v>15</v>
      </c>
      <c r="B21" s="4" t="s">
        <v>340</v>
      </c>
      <c r="C21" s="69" t="s">
        <v>161</v>
      </c>
      <c r="D21" s="20"/>
      <c r="E21" s="20"/>
      <c r="F21" s="2">
        <v>94001494442</v>
      </c>
      <c r="H21" s="3"/>
      <c r="J21" s="4" t="s">
        <v>339</v>
      </c>
      <c r="K21" s="62">
        <v>2547</v>
      </c>
      <c r="L21" s="1">
        <v>1</v>
      </c>
      <c r="M21" s="1">
        <v>15</v>
      </c>
      <c r="Q21" s="42" t="s">
        <v>0</v>
      </c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>
        <v>53</v>
      </c>
      <c r="BO21" s="7">
        <v>26</v>
      </c>
      <c r="BP21" s="7"/>
      <c r="BQ21" s="7"/>
      <c r="BR21" s="7"/>
      <c r="BS21" s="7">
        <v>27</v>
      </c>
      <c r="BT21" s="7">
        <v>27</v>
      </c>
      <c r="BU21" s="7">
        <v>30</v>
      </c>
      <c r="BV21" s="7"/>
      <c r="BW21" s="7"/>
      <c r="BZ21" s="22"/>
    </row>
    <row r="22" spans="1:78" s="14" customFormat="1" ht="20.100000000000001" customHeight="1" thickBot="1" x14ac:dyDescent="0.35">
      <c r="A22" s="13">
        <v>16</v>
      </c>
      <c r="B22" s="15" t="s">
        <v>340</v>
      </c>
      <c r="C22" s="71" t="s">
        <v>161</v>
      </c>
      <c r="D22" s="21"/>
      <c r="E22" s="21"/>
      <c r="F22" s="16">
        <v>94001494442</v>
      </c>
      <c r="G22" s="17"/>
      <c r="H22" s="17"/>
      <c r="I22" s="17"/>
      <c r="J22" s="15" t="s">
        <v>336</v>
      </c>
      <c r="K22" s="18"/>
      <c r="L22" s="14">
        <v>1</v>
      </c>
      <c r="M22" s="14">
        <v>16</v>
      </c>
      <c r="Q22" s="45" t="s">
        <v>0</v>
      </c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8"/>
      <c r="BY22" s="15"/>
      <c r="BZ22" s="23"/>
    </row>
    <row r="23" spans="1:78" s="8" customFormat="1" ht="20.100000000000001" customHeight="1" x14ac:dyDescent="0.3">
      <c r="A23" s="13">
        <v>17</v>
      </c>
      <c r="B23" s="9" t="s">
        <v>388</v>
      </c>
      <c r="C23" s="70" t="s">
        <v>161</v>
      </c>
      <c r="D23" s="46">
        <f>VLOOKUP(F25,[1]SKU리스트!$H:$L,5,FALSE)</f>
        <v>23900</v>
      </c>
      <c r="E23" s="47">
        <f>VLOOKUP(F25,[1]SKU리스트!$H:$AK,30,FALSE)</f>
        <v>10920</v>
      </c>
      <c r="F23" s="10" t="s">
        <v>385</v>
      </c>
      <c r="G23" s="11"/>
      <c r="H23" s="11"/>
      <c r="I23" s="11"/>
      <c r="K23" s="12"/>
      <c r="M23" s="8">
        <v>17</v>
      </c>
      <c r="Q23" s="44" t="s">
        <v>125</v>
      </c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 t="s">
        <v>221</v>
      </c>
      <c r="AR23" s="54" t="s">
        <v>221</v>
      </c>
      <c r="AS23" s="54">
        <v>2</v>
      </c>
      <c r="AT23" s="54" t="s">
        <v>221</v>
      </c>
      <c r="AU23" s="54" t="s">
        <v>221</v>
      </c>
      <c r="AV23" s="54" t="s">
        <v>221</v>
      </c>
      <c r="AW23" s="54" t="s">
        <v>221</v>
      </c>
      <c r="AX23" s="54">
        <v>10</v>
      </c>
      <c r="AY23" s="54">
        <v>16</v>
      </c>
      <c r="AZ23" s="54">
        <v>-1</v>
      </c>
      <c r="BA23" s="54" t="s">
        <v>221</v>
      </c>
      <c r="BB23" s="54" t="s">
        <v>221</v>
      </c>
      <c r="BC23" s="54" t="s">
        <v>221</v>
      </c>
      <c r="BD23" s="54">
        <v>19</v>
      </c>
      <c r="BE23" s="54" t="s">
        <v>221</v>
      </c>
      <c r="BF23" s="54">
        <v>5</v>
      </c>
      <c r="BG23" s="54">
        <v>20</v>
      </c>
      <c r="BH23" s="54">
        <v>19</v>
      </c>
      <c r="BI23" s="54">
        <v>22</v>
      </c>
      <c r="BJ23" s="54">
        <v>29</v>
      </c>
      <c r="BK23" s="54">
        <v>20</v>
      </c>
      <c r="BL23" s="54">
        <v>0</v>
      </c>
      <c r="BM23" s="54">
        <v>0</v>
      </c>
      <c r="BN23" s="54">
        <v>-2</v>
      </c>
      <c r="BO23" s="54" t="s">
        <v>221</v>
      </c>
      <c r="BP23" s="54">
        <v>-1</v>
      </c>
      <c r="BQ23" s="54">
        <v>7</v>
      </c>
      <c r="BR23" s="54">
        <v>21</v>
      </c>
      <c r="BS23" s="54">
        <v>22</v>
      </c>
      <c r="BT23" s="54">
        <v>18</v>
      </c>
      <c r="BU23" s="54"/>
      <c r="BV23" s="54"/>
      <c r="BW23" s="54"/>
      <c r="BX23" s="85">
        <f>VLOOKUP(F23,[1]SKU리스트!$H:$AH,27,FALSE)</f>
        <v>138425</v>
      </c>
      <c r="BY23" s="9"/>
      <c r="BZ23" s="90"/>
    </row>
    <row r="24" spans="1:78" ht="20.100000000000001" customHeight="1" x14ac:dyDescent="0.3">
      <c r="A24" s="13">
        <v>18</v>
      </c>
      <c r="B24" s="4" t="s">
        <v>388</v>
      </c>
      <c r="C24" s="69" t="s">
        <v>161</v>
      </c>
      <c r="D24" s="1"/>
      <c r="E24" s="1"/>
      <c r="F24" s="2" t="s">
        <v>386</v>
      </c>
      <c r="H24" s="3"/>
      <c r="M24" s="1">
        <v>18</v>
      </c>
      <c r="Q24" s="39" t="s">
        <v>282</v>
      </c>
      <c r="R24" s="5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50"/>
      <c r="AL24" s="50"/>
      <c r="AM24" s="50"/>
      <c r="AN24" s="50"/>
      <c r="AO24" s="53"/>
      <c r="AP24" s="51"/>
      <c r="AQ24" s="50"/>
      <c r="AR24" s="50"/>
      <c r="AS24" s="50"/>
      <c r="AT24" s="50"/>
      <c r="AU24" s="50"/>
      <c r="AV24" s="53">
        <f>SUM(AP23:AV23)</f>
        <v>2</v>
      </c>
      <c r="AW24" s="50">
        <v>0</v>
      </c>
      <c r="AX24" s="52"/>
      <c r="AY24" s="50"/>
      <c r="AZ24" s="50"/>
      <c r="BA24" s="50"/>
      <c r="BB24" s="50"/>
      <c r="BC24" s="53">
        <f>SUM(AW23:BC23)</f>
        <v>25</v>
      </c>
      <c r="BD24" s="50">
        <v>8</v>
      </c>
      <c r="BE24" s="50"/>
      <c r="BF24" s="50"/>
      <c r="BG24" s="50"/>
      <c r="BH24" s="50"/>
      <c r="BI24" s="50"/>
      <c r="BJ24" s="53">
        <f>SUM(BD23:BJ23)</f>
        <v>114</v>
      </c>
      <c r="BK24" s="50">
        <v>39</v>
      </c>
      <c r="BL24" s="50"/>
      <c r="BM24" s="50"/>
      <c r="BN24" s="50"/>
      <c r="BO24" s="50"/>
      <c r="BP24" s="50"/>
      <c r="BQ24" s="53">
        <f>SUM(BK23:BQ23)</f>
        <v>24</v>
      </c>
      <c r="BR24" s="50">
        <v>15</v>
      </c>
      <c r="BS24" s="50"/>
      <c r="BT24" s="50"/>
      <c r="BU24" s="50"/>
      <c r="BV24" s="50"/>
      <c r="BW24" s="50"/>
      <c r="BZ24" s="22"/>
    </row>
    <row r="25" spans="1:78" ht="20.100000000000001" customHeight="1" x14ac:dyDescent="0.3">
      <c r="A25" s="13">
        <v>19</v>
      </c>
      <c r="B25" s="4" t="s">
        <v>388</v>
      </c>
      <c r="C25" s="69" t="s">
        <v>161</v>
      </c>
      <c r="D25" s="1"/>
      <c r="E25" s="1"/>
      <c r="F25" s="2">
        <v>93993071598</v>
      </c>
      <c r="H25" s="3"/>
      <c r="M25" s="1">
        <v>19</v>
      </c>
      <c r="Q25" s="41" t="s">
        <v>1</v>
      </c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>
        <f>IFERROR(VLOOKUP($F25,[2]원본!$D:$BX,AI$1,FALSE),"")</f>
        <v>0</v>
      </c>
      <c r="AJ25" s="40">
        <f>IFERROR(VLOOKUP($F25,[2]원본!$D:$BX,AJ$1,FALSE),"")</f>
        <v>0</v>
      </c>
      <c r="AK25" s="40">
        <f>IFERROR(VLOOKUP($F25,[2]원본!$D:$BX,AK$1,FALSE),"")</f>
        <v>0</v>
      </c>
      <c r="AL25" s="40">
        <f>IFERROR(VLOOKUP($F25,[2]원본!$D:$BX,AL$1,FALSE),"")</f>
        <v>0</v>
      </c>
      <c r="AM25" s="40">
        <f>IFERROR(VLOOKUP($F25,[2]원본!$D:$BX,AM$1,FALSE),"")</f>
        <v>0</v>
      </c>
      <c r="AN25" s="40">
        <f>IFERROR(VLOOKUP($F25,[2]원본!$D:$BX,AN$1,FALSE),"")</f>
        <v>0</v>
      </c>
      <c r="AO25" s="40">
        <f>IFERROR(VLOOKUP($F25,[2]원본!$D:$BX,AO$1,FALSE),"")</f>
        <v>0</v>
      </c>
      <c r="AP25" s="40">
        <f>IFERROR(VLOOKUP($F25,[2]원본!$D:$BX,AP$1,FALSE),"")</f>
        <v>0</v>
      </c>
      <c r="AQ25" s="40">
        <f>IFERROR(VLOOKUP($F25,[2]원본!$D:$BX,AQ$1,FALSE),"")</f>
        <v>0</v>
      </c>
      <c r="AR25" s="40">
        <f>IFERROR(VLOOKUP($F25,[2]원본!$D:$BX,AR$1,FALSE),"")</f>
        <v>0</v>
      </c>
      <c r="AS25" s="40">
        <f>IFERROR(VLOOKUP($F25,[2]원본!$D:$BX,AS$1,FALSE),"")</f>
        <v>2</v>
      </c>
      <c r="AT25" s="40">
        <f>IFERROR(VLOOKUP($F25,[2]원본!$D:$BX,AT$1,FALSE),"")</f>
        <v>0</v>
      </c>
      <c r="AU25" s="40">
        <f>IFERROR(VLOOKUP($F25,[2]원본!$D:$BX,AU$1,FALSE),"")</f>
        <v>0</v>
      </c>
      <c r="AV25" s="40">
        <f>IFERROR(VLOOKUP($F25,[2]원본!$D:$BX,AV$1,FALSE),"")</f>
        <v>0</v>
      </c>
      <c r="AW25" s="40">
        <f>IFERROR(VLOOKUP($F25,[2]원본!$D:$BX,AW$1,FALSE),"")</f>
        <v>0</v>
      </c>
      <c r="AX25" s="40">
        <f>IFERROR(VLOOKUP($F25,[2]원본!$D:$BX,AX$1,FALSE),"")</f>
        <v>8</v>
      </c>
      <c r="AY25" s="40">
        <f>IFERROR(VLOOKUP($F25,[2]원본!$D:$BX,AY$1,FALSE),"")</f>
        <v>17</v>
      </c>
      <c r="AZ25" s="40">
        <f>IFERROR(VLOOKUP($F25,[2]원본!$D:$BX,AZ$1,FALSE),"")</f>
        <v>0</v>
      </c>
      <c r="BA25" s="40">
        <f>IFERROR(VLOOKUP($F25,[2]원본!$D:$BX,BA$1,FALSE),"")</f>
        <v>0</v>
      </c>
      <c r="BB25" s="40">
        <f>IFERROR(VLOOKUP($F25,[2]원본!$D:$BX,BB$1,FALSE),"")</f>
        <v>0</v>
      </c>
      <c r="BC25" s="40">
        <f>IFERROR(VLOOKUP($F25,[2]원본!$D:$BX,BC$1,FALSE),"")</f>
        <v>0</v>
      </c>
      <c r="BD25" s="40">
        <f>IFERROR(VLOOKUP($F25,[2]원본!$D:$BX,BD$1,FALSE),"")</f>
        <v>18</v>
      </c>
      <c r="BE25" s="40">
        <f>IFERROR(VLOOKUP($F25,[2]원본!$D:$BX,BE$1,FALSE),"")</f>
        <v>1</v>
      </c>
      <c r="BF25" s="40">
        <f>IFERROR(VLOOKUP($F25,[2]원본!$D:$BX,BF$1,FALSE),"")</f>
        <v>0</v>
      </c>
      <c r="BG25" s="40">
        <f>IFERROR(VLOOKUP($F25,[2]원본!$D:$BX,BG$1,FALSE),"")</f>
        <v>19</v>
      </c>
      <c r="BH25" s="40">
        <f>IFERROR(VLOOKUP($F25,[2]원본!$D:$BX,BH$1,FALSE),"")</f>
        <v>10</v>
      </c>
      <c r="BI25" s="40">
        <f>IFERROR(VLOOKUP($F25,[2]원본!$D:$BX,BI$1,FALSE),"")</f>
        <v>10</v>
      </c>
      <c r="BJ25" s="40">
        <f>IFERROR(VLOOKUP($F25,[2]원본!$D:$BX,BJ$1,FALSE),"")</f>
        <v>10</v>
      </c>
      <c r="BK25" s="40">
        <f>IFERROR(VLOOKUP($F25,[2]원본!$D:$BX,BK$1,FALSE),"")</f>
        <v>8</v>
      </c>
      <c r="BL25" s="40">
        <f>IFERROR(VLOOKUP($F25,[2]원본!$D:$BX,BL$1,FALSE),"")</f>
        <v>0</v>
      </c>
      <c r="BM25" s="40">
        <f>IFERROR(VLOOKUP($F25,[2]원본!$D:$BX,BM$1,FALSE),"")</f>
        <v>0</v>
      </c>
      <c r="BN25" s="40">
        <f>IFERROR(VLOOKUP($F25,[2]원본!$D:$BX,BN$1,FALSE),"")</f>
        <v>0</v>
      </c>
      <c r="BO25" s="40">
        <f>IFERROR(VLOOKUP($F25,[2]원본!$D:$BX,BO$1,FALSE),"")</f>
        <v>0</v>
      </c>
      <c r="BP25" s="40">
        <f>IFERROR(VLOOKUP($F25,[2]원본!$D:$BX,BP$1,FALSE),"")</f>
        <v>0</v>
      </c>
      <c r="BQ25" s="40">
        <f>IFERROR(VLOOKUP($F25,[2]원본!$D:$BX,BQ$1,FALSE),"")</f>
        <v>0</v>
      </c>
      <c r="BR25" s="40">
        <f>IFERROR(VLOOKUP($F25,[2]원본!$D:$BX,BR$1,FALSE),"")</f>
        <v>0</v>
      </c>
      <c r="BS25" s="40">
        <f>IFERROR(VLOOKUP($F25,[2]원본!$D:$BX,BS$1,FALSE),"")</f>
        <v>0</v>
      </c>
      <c r="BT25" s="40">
        <f>IFERROR(VLOOKUP($F25,[2]원본!$D:$BX,BT$1,FALSE),"")</f>
        <v>0</v>
      </c>
      <c r="BU25" s="40">
        <f>IFERROR(VLOOKUP($F25,[2]원본!$D:$BX,BU$1,FALSE),"")</f>
        <v>0</v>
      </c>
      <c r="BV25" s="40" t="str">
        <f>IFERROR(VLOOKUP($F25,#REF!,BV$1,FALSE),"")</f>
        <v/>
      </c>
      <c r="BW25" s="40"/>
      <c r="BX25" s="26">
        <f>(SUM(R25:BW25)*D23)-(SUM(R25:BW25)*E23)</f>
        <v>1336940</v>
      </c>
      <c r="BZ25" s="40" t="str">
        <f>IFERROR(VLOOKUP($F25,#REF!,BZ$1,FALSE),"")</f>
        <v/>
      </c>
    </row>
    <row r="26" spans="1:78" ht="20.100000000000001" customHeight="1" x14ac:dyDescent="0.3">
      <c r="A26" s="13">
        <v>20</v>
      </c>
      <c r="B26" s="4" t="s">
        <v>388</v>
      </c>
      <c r="C26" s="69" t="s">
        <v>161</v>
      </c>
      <c r="D26" s="82" t="s">
        <v>384</v>
      </c>
      <c r="F26" s="2">
        <v>93993071598</v>
      </c>
      <c r="G26" s="3" t="s">
        <v>387</v>
      </c>
      <c r="H26" s="3"/>
      <c r="J26" s="4" t="s">
        <v>389</v>
      </c>
      <c r="K26" s="62">
        <v>643200</v>
      </c>
      <c r="L26" s="1">
        <v>1</v>
      </c>
      <c r="M26" s="1">
        <v>20</v>
      </c>
      <c r="Q26" s="42" t="s">
        <v>0</v>
      </c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7"/>
      <c r="BB26" s="7"/>
      <c r="BC26" s="7"/>
      <c r="BD26" s="7"/>
      <c r="BE26" s="7"/>
      <c r="BF26" s="7">
        <v>15</v>
      </c>
      <c r="BG26" s="7">
        <v>62</v>
      </c>
      <c r="BH26" s="7"/>
      <c r="BI26" s="7">
        <v>30</v>
      </c>
      <c r="BJ26" s="7"/>
      <c r="BK26" s="7"/>
      <c r="BL26" s="7"/>
      <c r="BM26" s="7"/>
      <c r="BN26" s="7"/>
      <c r="BO26" s="7"/>
      <c r="BP26" s="7"/>
      <c r="BQ26" s="7"/>
      <c r="BR26" s="7"/>
      <c r="BS26" s="7">
        <v>10</v>
      </c>
      <c r="BT26" s="7">
        <v>10</v>
      </c>
      <c r="BU26" s="7">
        <v>14</v>
      </c>
      <c r="BV26" s="7"/>
      <c r="BW26" s="7"/>
      <c r="BZ26" s="22"/>
    </row>
    <row r="27" spans="1:78" ht="20.100000000000001" customHeight="1" x14ac:dyDescent="0.3">
      <c r="A27" s="13">
        <v>21</v>
      </c>
      <c r="B27" s="91" t="s">
        <v>388</v>
      </c>
      <c r="C27" s="93" t="s">
        <v>161</v>
      </c>
      <c r="D27" s="94"/>
      <c r="E27" s="94"/>
      <c r="F27" s="96">
        <v>93993071598</v>
      </c>
      <c r="G27" s="97"/>
      <c r="H27" s="97"/>
      <c r="I27" s="97"/>
      <c r="J27" s="91" t="s">
        <v>390</v>
      </c>
      <c r="K27" s="62">
        <v>113400</v>
      </c>
      <c r="L27" s="98">
        <v>1</v>
      </c>
      <c r="M27" s="98">
        <v>21</v>
      </c>
      <c r="N27" s="98"/>
      <c r="O27" s="98"/>
      <c r="P27" s="98"/>
      <c r="Q27" s="42" t="s">
        <v>0</v>
      </c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7"/>
      <c r="BB27" s="7"/>
      <c r="BC27" s="7"/>
      <c r="BD27" s="7"/>
      <c r="BE27" s="7"/>
      <c r="BF27" s="7">
        <v>10</v>
      </c>
      <c r="BG27" s="7">
        <v>67</v>
      </c>
      <c r="BH27" s="7"/>
      <c r="BI27" s="7">
        <v>14</v>
      </c>
      <c r="BJ27" s="7"/>
      <c r="BK27" s="7"/>
      <c r="BL27" s="7"/>
      <c r="BM27" s="7"/>
      <c r="BN27" s="7">
        <v>27</v>
      </c>
      <c r="BO27" s="7"/>
      <c r="BP27" s="7"/>
      <c r="BQ27" s="7"/>
      <c r="BR27" s="7"/>
      <c r="BS27" s="7">
        <v>10</v>
      </c>
      <c r="BT27" s="7">
        <v>10</v>
      </c>
      <c r="BU27" s="7">
        <v>10</v>
      </c>
      <c r="BV27" s="7"/>
      <c r="BW27" s="7"/>
      <c r="BY27" s="91"/>
      <c r="BZ27" s="22"/>
    </row>
    <row r="28" spans="1:78" ht="20.100000000000001" customHeight="1" x14ac:dyDescent="0.3">
      <c r="A28" s="13">
        <v>22</v>
      </c>
      <c r="B28" s="91" t="s">
        <v>388</v>
      </c>
      <c r="C28" s="93" t="s">
        <v>161</v>
      </c>
      <c r="D28" s="91"/>
      <c r="E28" s="91"/>
      <c r="F28" s="96">
        <v>93993071598</v>
      </c>
      <c r="G28" s="97"/>
      <c r="H28" s="97"/>
      <c r="I28" s="97"/>
      <c r="J28" s="91" t="s">
        <v>392</v>
      </c>
      <c r="K28" s="62">
        <v>34600</v>
      </c>
      <c r="L28" s="98">
        <v>1</v>
      </c>
      <c r="M28" s="98">
        <v>23</v>
      </c>
      <c r="N28" s="98"/>
      <c r="O28" s="98"/>
      <c r="P28" s="98"/>
      <c r="Q28" s="42" t="s">
        <v>0</v>
      </c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Y28" s="91"/>
      <c r="BZ28" s="22"/>
    </row>
    <row r="29" spans="1:78" s="14" customFormat="1" ht="20.100000000000001" customHeight="1" thickBot="1" x14ac:dyDescent="0.35">
      <c r="A29" s="13">
        <v>23</v>
      </c>
      <c r="B29" s="15" t="s">
        <v>388</v>
      </c>
      <c r="C29" s="71" t="s">
        <v>161</v>
      </c>
      <c r="D29" s="21"/>
      <c r="E29" s="21"/>
      <c r="F29" s="16">
        <v>93993071598</v>
      </c>
      <c r="G29" s="17"/>
      <c r="H29" s="17"/>
      <c r="I29" s="17"/>
      <c r="J29" s="15" t="s">
        <v>391</v>
      </c>
      <c r="K29" s="63">
        <v>14000</v>
      </c>
      <c r="L29" s="14">
        <v>1</v>
      </c>
      <c r="M29" s="14">
        <v>24</v>
      </c>
      <c r="Q29" s="45" t="s">
        <v>0</v>
      </c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19"/>
      <c r="BB29" s="19"/>
      <c r="BC29" s="19"/>
      <c r="BD29" s="19"/>
      <c r="BE29" s="19"/>
      <c r="BF29" s="19">
        <v>3</v>
      </c>
      <c r="BG29" s="19">
        <v>5</v>
      </c>
      <c r="BH29" s="19"/>
      <c r="BI29" s="19">
        <v>3</v>
      </c>
      <c r="BJ29" s="19"/>
      <c r="BK29" s="19"/>
      <c r="BL29" s="19"/>
      <c r="BM29" s="19"/>
      <c r="BN29" s="19">
        <v>10</v>
      </c>
      <c r="BO29" s="19"/>
      <c r="BP29" s="19"/>
      <c r="BQ29" s="19"/>
      <c r="BR29" s="19"/>
      <c r="BS29" s="19">
        <v>9</v>
      </c>
      <c r="BT29" s="19">
        <v>9</v>
      </c>
      <c r="BU29" s="19">
        <v>9</v>
      </c>
      <c r="BV29" s="19"/>
      <c r="BW29" s="19"/>
      <c r="BX29" s="18"/>
      <c r="BY29" s="15"/>
      <c r="BZ29" s="23"/>
    </row>
    <row r="30" spans="1:78" s="8" customFormat="1" ht="20.100000000000001" customHeight="1" x14ac:dyDescent="0.3">
      <c r="A30" s="13">
        <v>24</v>
      </c>
      <c r="B30" s="9" t="s">
        <v>395</v>
      </c>
      <c r="C30" s="70" t="s">
        <v>161</v>
      </c>
      <c r="D30" s="46">
        <f>VLOOKUP(F32,[1]SKU리스트!$H:$L,5,FALSE)</f>
        <v>17900</v>
      </c>
      <c r="E30" s="47">
        <f>VLOOKUP(F32,[1]SKU리스트!$H:$AK,30,FALSE)</f>
        <v>8554.5454545454522</v>
      </c>
      <c r="F30" s="10" t="s">
        <v>400</v>
      </c>
      <c r="G30" s="11"/>
      <c r="H30" s="11"/>
      <c r="I30" s="11"/>
      <c r="K30" s="12"/>
      <c r="M30" s="8">
        <v>22</v>
      </c>
      <c r="Q30" s="44" t="s">
        <v>125</v>
      </c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 t="s">
        <v>221</v>
      </c>
      <c r="AR30" s="54" t="s">
        <v>221</v>
      </c>
      <c r="AS30" s="54">
        <v>2</v>
      </c>
      <c r="AT30" s="54" t="s">
        <v>221</v>
      </c>
      <c r="AU30" s="54" t="s">
        <v>221</v>
      </c>
      <c r="AV30" s="54" t="s">
        <v>221</v>
      </c>
      <c r="AW30" s="54">
        <v>26</v>
      </c>
      <c r="AX30" s="54" t="s">
        <v>221</v>
      </c>
      <c r="AY30" s="54" t="s">
        <v>221</v>
      </c>
      <c r="AZ30" s="54" t="s">
        <v>221</v>
      </c>
      <c r="BA30" s="54" t="s">
        <v>221</v>
      </c>
      <c r="BB30" s="54">
        <v>19</v>
      </c>
      <c r="BC30" s="54">
        <v>12</v>
      </c>
      <c r="BD30" s="54">
        <v>-1</v>
      </c>
      <c r="BE30" s="54">
        <v>5</v>
      </c>
      <c r="BF30" s="54">
        <v>23</v>
      </c>
      <c r="BG30" s="54">
        <v>38</v>
      </c>
      <c r="BH30" s="54">
        <v>19</v>
      </c>
      <c r="BI30" s="54">
        <v>39</v>
      </c>
      <c r="BJ30" s="54">
        <v>22</v>
      </c>
      <c r="BK30" s="54">
        <v>-2</v>
      </c>
      <c r="BL30" s="54" t="s">
        <v>221</v>
      </c>
      <c r="BM30" s="54">
        <v>1</v>
      </c>
      <c r="BN30" s="54">
        <v>-4</v>
      </c>
      <c r="BO30" s="54">
        <v>1</v>
      </c>
      <c r="BP30" s="54" t="s">
        <v>221</v>
      </c>
      <c r="BQ30" s="54">
        <v>8</v>
      </c>
      <c r="BR30" s="54">
        <v>14</v>
      </c>
      <c r="BS30" s="54">
        <v>18</v>
      </c>
      <c r="BT30" s="54">
        <v>29</v>
      </c>
      <c r="BU30" s="54"/>
      <c r="BV30" s="54"/>
      <c r="BW30" s="54"/>
      <c r="BX30" s="85">
        <f>VLOOKUP(F30,[1]SKU리스트!$H:$AH,27,FALSE)</f>
        <v>28103</v>
      </c>
      <c r="BY30" s="9"/>
      <c r="BZ30" s="90"/>
    </row>
    <row r="31" spans="1:78" ht="20.100000000000001" customHeight="1" x14ac:dyDescent="0.3">
      <c r="A31" s="13">
        <v>25</v>
      </c>
      <c r="B31" s="4" t="s">
        <v>395</v>
      </c>
      <c r="C31" s="69" t="s">
        <v>161</v>
      </c>
      <c r="D31" s="1"/>
      <c r="E31" s="1"/>
      <c r="F31" s="2" t="s">
        <v>401</v>
      </c>
      <c r="H31" s="3"/>
      <c r="M31" s="1">
        <v>25</v>
      </c>
      <c r="Q31" s="39" t="s">
        <v>282</v>
      </c>
      <c r="R31" s="5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50"/>
      <c r="AL31" s="50"/>
      <c r="AM31" s="50"/>
      <c r="AN31" s="50"/>
      <c r="AO31" s="53"/>
      <c r="AP31" s="51"/>
      <c r="AQ31" s="50"/>
      <c r="AR31" s="50"/>
      <c r="AS31" s="50"/>
      <c r="AT31" s="50"/>
      <c r="AU31" s="50"/>
      <c r="AV31" s="53">
        <f>SUM(AP30:AV30)</f>
        <v>2</v>
      </c>
      <c r="AW31" s="50">
        <v>0</v>
      </c>
      <c r="AX31" s="52"/>
      <c r="AY31" s="50"/>
      <c r="AZ31" s="50"/>
      <c r="BA31" s="50"/>
      <c r="BB31" s="50"/>
      <c r="BC31" s="53">
        <f>SUM(AW30:BC30)</f>
        <v>57</v>
      </c>
      <c r="BD31" s="50">
        <v>0</v>
      </c>
      <c r="BE31" s="50"/>
      <c r="BF31" s="50"/>
      <c r="BG31" s="50"/>
      <c r="BH31" s="50"/>
      <c r="BI31" s="50"/>
      <c r="BJ31" s="53">
        <f>SUM(BD30:BJ30)</f>
        <v>145</v>
      </c>
      <c r="BK31" s="50">
        <v>47</v>
      </c>
      <c r="BL31" s="50"/>
      <c r="BM31" s="50"/>
      <c r="BN31" s="50"/>
      <c r="BO31" s="50"/>
      <c r="BP31" s="50"/>
      <c r="BQ31" s="53">
        <f>SUM(BK30:BQ30)</f>
        <v>4</v>
      </c>
      <c r="BR31" s="50">
        <v>4</v>
      </c>
      <c r="BS31" s="50"/>
      <c r="BT31" s="50"/>
      <c r="BU31" s="50"/>
      <c r="BV31" s="50"/>
      <c r="BW31" s="50"/>
      <c r="BZ31" s="22"/>
    </row>
    <row r="32" spans="1:78" ht="20.100000000000001" customHeight="1" x14ac:dyDescent="0.3">
      <c r="A32" s="13">
        <v>26</v>
      </c>
      <c r="B32" s="4" t="s">
        <v>395</v>
      </c>
      <c r="C32" s="69" t="s">
        <v>161</v>
      </c>
      <c r="D32" s="1"/>
      <c r="E32" s="1"/>
      <c r="F32" s="2">
        <v>93993071597</v>
      </c>
      <c r="H32" s="3"/>
      <c r="M32" s="1">
        <v>26</v>
      </c>
      <c r="Q32" s="41" t="s">
        <v>1</v>
      </c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>
        <f>IFERROR(VLOOKUP($F32,[2]원본!$D:$BX,AI$1,FALSE),"")</f>
        <v>0</v>
      </c>
      <c r="AJ32" s="40">
        <f>IFERROR(VLOOKUP($F32,[2]원본!$D:$BX,AJ$1,FALSE),"")</f>
        <v>0</v>
      </c>
      <c r="AK32" s="40">
        <f>IFERROR(VLOOKUP($F32,[2]원본!$D:$BX,AK$1,FALSE),"")</f>
        <v>0</v>
      </c>
      <c r="AL32" s="40">
        <f>IFERROR(VLOOKUP($F32,[2]원본!$D:$BX,AL$1,FALSE),"")</f>
        <v>0</v>
      </c>
      <c r="AM32" s="40">
        <f>IFERROR(VLOOKUP($F32,[2]원본!$D:$BX,AM$1,FALSE),"")</f>
        <v>0</v>
      </c>
      <c r="AN32" s="40">
        <f>IFERROR(VLOOKUP($F32,[2]원본!$D:$BX,AN$1,FALSE),"")</f>
        <v>0</v>
      </c>
      <c r="AO32" s="40">
        <f>IFERROR(VLOOKUP($F32,[2]원본!$D:$BX,AO$1,FALSE),"")</f>
        <v>0</v>
      </c>
      <c r="AP32" s="40">
        <f>IFERROR(VLOOKUP($F32,[2]원본!$D:$BX,AP$1,FALSE),"")</f>
        <v>0</v>
      </c>
      <c r="AQ32" s="40">
        <f>IFERROR(VLOOKUP($F32,[2]원본!$D:$BX,AQ$1,FALSE),"")</f>
        <v>0</v>
      </c>
      <c r="AR32" s="40">
        <f>IFERROR(VLOOKUP($F32,[2]원본!$D:$BX,AR$1,FALSE),"")</f>
        <v>0</v>
      </c>
      <c r="AS32" s="40">
        <f>IFERROR(VLOOKUP($F32,[2]원본!$D:$BX,AS$1,FALSE),"")</f>
        <v>2</v>
      </c>
      <c r="AT32" s="40">
        <f>IFERROR(VLOOKUP($F32,[2]원본!$D:$BX,AT$1,FALSE),"")</f>
        <v>0</v>
      </c>
      <c r="AU32" s="40">
        <f>IFERROR(VLOOKUP($F32,[2]원본!$D:$BX,AU$1,FALSE),"")</f>
        <v>0</v>
      </c>
      <c r="AV32" s="40">
        <f>IFERROR(VLOOKUP($F32,[2]원본!$D:$BX,AV$1,FALSE),"")</f>
        <v>0</v>
      </c>
      <c r="AW32" s="40">
        <f>IFERROR(VLOOKUP($F32,[2]원본!$D:$BX,AW$1,FALSE),"")</f>
        <v>25</v>
      </c>
      <c r="AX32" s="40">
        <f>IFERROR(VLOOKUP($F32,[2]원본!$D:$BX,AX$1,FALSE),"")</f>
        <v>2</v>
      </c>
      <c r="AY32" s="40">
        <f>IFERROR(VLOOKUP($F32,[2]원본!$D:$BX,AY$1,FALSE),"")</f>
        <v>0</v>
      </c>
      <c r="AZ32" s="40">
        <f>IFERROR(VLOOKUP($F32,[2]원본!$D:$BX,AZ$1,FALSE),"")</f>
        <v>0</v>
      </c>
      <c r="BA32" s="40">
        <f>IFERROR(VLOOKUP($F32,[2]원본!$D:$BX,BA$1,FALSE),"")</f>
        <v>0</v>
      </c>
      <c r="BB32" s="40">
        <f>IFERROR(VLOOKUP($F32,[2]원본!$D:$BX,BB$1,FALSE),"")</f>
        <v>19</v>
      </c>
      <c r="BC32" s="40">
        <f>IFERROR(VLOOKUP($F32,[2]원본!$D:$BX,BC$1,FALSE),"")</f>
        <v>10</v>
      </c>
      <c r="BD32" s="40">
        <f>IFERROR(VLOOKUP($F32,[2]원본!$D:$BX,BD$1,FALSE),"")</f>
        <v>1</v>
      </c>
      <c r="BE32" s="40">
        <f>IFERROR(VLOOKUP($F32,[2]원본!$D:$BX,BE$1,FALSE),"")</f>
        <v>2</v>
      </c>
      <c r="BF32" s="40">
        <f>IFERROR(VLOOKUP($F32,[2]원본!$D:$BX,BF$1,FALSE),"")</f>
        <v>1</v>
      </c>
      <c r="BG32" s="40">
        <f>IFERROR(VLOOKUP($F32,[2]원본!$D:$BX,BG$1,FALSE),"")</f>
        <v>21</v>
      </c>
      <c r="BH32" s="40">
        <f>IFERROR(VLOOKUP($F32,[2]원본!$D:$BX,BH$1,FALSE),"")</f>
        <v>10</v>
      </c>
      <c r="BI32" s="40">
        <f>IFERROR(VLOOKUP($F32,[2]원본!$D:$BX,BI$1,FALSE),"")</f>
        <v>10</v>
      </c>
      <c r="BJ32" s="40">
        <f>IFERROR(VLOOKUP($F32,[2]원본!$D:$BX,BJ$1,FALSE),"")</f>
        <v>4</v>
      </c>
      <c r="BK32" s="40">
        <f>IFERROR(VLOOKUP($F32,[2]원본!$D:$BX,BK$1,FALSE),"")</f>
        <v>0</v>
      </c>
      <c r="BL32" s="40">
        <f>IFERROR(VLOOKUP($F32,[2]원본!$D:$BX,BL$1,FALSE),"")</f>
        <v>0</v>
      </c>
      <c r="BM32" s="40">
        <f>IFERROR(VLOOKUP($F32,[2]원본!$D:$BX,BM$1,FALSE),"")</f>
        <v>0</v>
      </c>
      <c r="BN32" s="40">
        <f>IFERROR(VLOOKUP($F32,[2]원본!$D:$BX,BN$1,FALSE),"")</f>
        <v>0</v>
      </c>
      <c r="BO32" s="40">
        <f>IFERROR(VLOOKUP($F32,[2]원본!$D:$BX,BO$1,FALSE),"")</f>
        <v>0</v>
      </c>
      <c r="BP32" s="40">
        <f>IFERROR(VLOOKUP($F32,[2]원본!$D:$BX,BP$1,FALSE),"")</f>
        <v>0</v>
      </c>
      <c r="BQ32" s="40">
        <f>IFERROR(VLOOKUP($F32,[2]원본!$D:$BX,BQ$1,FALSE),"")</f>
        <v>0</v>
      </c>
      <c r="BR32" s="40">
        <f>IFERROR(VLOOKUP($F32,[2]원본!$D:$BX,BR$1,FALSE),"")</f>
        <v>0</v>
      </c>
      <c r="BS32" s="40">
        <f>IFERROR(VLOOKUP($F32,[2]원본!$D:$BX,BS$1,FALSE),"")</f>
        <v>0</v>
      </c>
      <c r="BT32" s="40">
        <f>IFERROR(VLOOKUP($F32,[2]원본!$D:$BX,BT$1,FALSE),"")</f>
        <v>0</v>
      </c>
      <c r="BU32" s="40">
        <f>IFERROR(VLOOKUP($F32,[2]원본!$D:$BX,BU$1,FALSE),"")</f>
        <v>0</v>
      </c>
      <c r="BV32" s="40" t="str">
        <f>IFERROR(VLOOKUP($F32,#REF!,BV$1,FALSE),"")</f>
        <v/>
      </c>
      <c r="BW32" s="40"/>
      <c r="BX32" s="26">
        <f>(SUM(R32:BW32)*D30)-(SUM(R32:BW32)*E30)</f>
        <v>999963.63636363659</v>
      </c>
      <c r="BZ32" s="40" t="str">
        <f>IFERROR(VLOOKUP($F32,#REF!,BZ$1,FALSE),"")</f>
        <v/>
      </c>
    </row>
    <row r="33" spans="1:78" ht="20.100000000000001" customHeight="1" x14ac:dyDescent="0.3">
      <c r="A33" s="13">
        <v>27</v>
      </c>
      <c r="B33" s="4" t="s">
        <v>395</v>
      </c>
      <c r="C33" s="69" t="s">
        <v>161</v>
      </c>
      <c r="D33" s="82" t="s">
        <v>394</v>
      </c>
      <c r="F33" s="2">
        <v>93993071597</v>
      </c>
      <c r="G33" s="3" t="s">
        <v>396</v>
      </c>
      <c r="H33" s="3"/>
      <c r="J33" s="4" t="s">
        <v>389</v>
      </c>
      <c r="K33" s="62">
        <v>643200</v>
      </c>
      <c r="L33" s="1">
        <v>1</v>
      </c>
      <c r="M33" s="1">
        <v>27</v>
      </c>
      <c r="Q33" s="42" t="s">
        <v>0</v>
      </c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7"/>
      <c r="BB33" s="7"/>
      <c r="BC33" s="7"/>
      <c r="BD33" s="7"/>
      <c r="BE33" s="7"/>
      <c r="BF33" s="7"/>
      <c r="BG33" s="7">
        <v>66</v>
      </c>
      <c r="BH33" s="7"/>
      <c r="BI33" s="7">
        <v>25</v>
      </c>
      <c r="BJ33" s="7"/>
      <c r="BK33" s="7"/>
      <c r="BL33" s="7"/>
      <c r="BM33" s="7"/>
      <c r="BN33" s="7">
        <v>25</v>
      </c>
      <c r="BO33" s="7"/>
      <c r="BP33" s="7"/>
      <c r="BQ33" s="7"/>
      <c r="BR33" s="7"/>
      <c r="BS33" s="7">
        <v>15</v>
      </c>
      <c r="BT33" s="7">
        <v>15</v>
      </c>
      <c r="BU33" s="7">
        <v>15</v>
      </c>
      <c r="BV33" s="7"/>
      <c r="BW33" s="7"/>
      <c r="BZ33" s="22"/>
    </row>
    <row r="34" spans="1:78" s="14" customFormat="1" ht="20.100000000000001" customHeight="1" thickBot="1" x14ac:dyDescent="0.35">
      <c r="A34" s="13">
        <v>28</v>
      </c>
      <c r="B34" s="15" t="s">
        <v>395</v>
      </c>
      <c r="C34" s="71" t="s">
        <v>161</v>
      </c>
      <c r="D34" s="21"/>
      <c r="E34" s="21"/>
      <c r="F34" s="16">
        <v>93993071597</v>
      </c>
      <c r="G34" s="17"/>
      <c r="H34" s="17"/>
      <c r="I34" s="17"/>
      <c r="J34" s="15" t="s">
        <v>397</v>
      </c>
      <c r="K34" s="63">
        <v>66800</v>
      </c>
      <c r="L34" s="14">
        <v>1</v>
      </c>
      <c r="M34" s="14">
        <v>28</v>
      </c>
      <c r="Q34" s="45" t="s">
        <v>0</v>
      </c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19"/>
      <c r="BB34" s="19"/>
      <c r="BC34" s="19"/>
      <c r="BD34" s="19"/>
      <c r="BE34" s="19"/>
      <c r="BF34" s="19">
        <v>7</v>
      </c>
      <c r="BG34" s="19">
        <v>14</v>
      </c>
      <c r="BH34" s="19"/>
      <c r="BI34" s="19">
        <v>19</v>
      </c>
      <c r="BJ34" s="19"/>
      <c r="BK34" s="19"/>
      <c r="BL34" s="19"/>
      <c r="BM34" s="19"/>
      <c r="BN34" s="19">
        <v>9</v>
      </c>
      <c r="BO34" s="19">
        <v>13</v>
      </c>
      <c r="BP34" s="19"/>
      <c r="BQ34" s="19"/>
      <c r="BR34" s="19"/>
      <c r="BS34" s="19">
        <v>10</v>
      </c>
      <c r="BT34" s="19">
        <v>10</v>
      </c>
      <c r="BU34" s="19">
        <v>10</v>
      </c>
      <c r="BV34" s="19"/>
      <c r="BW34" s="19"/>
      <c r="BX34" s="18"/>
      <c r="BY34" s="15"/>
      <c r="BZ34" s="23"/>
    </row>
    <row r="35" spans="1:78" s="8" customFormat="1" ht="20.100000000000001" customHeight="1" x14ac:dyDescent="0.3">
      <c r="A35" s="13">
        <v>29</v>
      </c>
      <c r="B35" s="9" t="s">
        <v>393</v>
      </c>
      <c r="C35" s="70" t="s">
        <v>161</v>
      </c>
      <c r="D35" s="46">
        <f>VLOOKUP(F37,[1]SKU리스트!$H:$L,5,FALSE)</f>
        <v>16900</v>
      </c>
      <c r="E35" s="47">
        <f>VLOOKUP(F37,[1]SKU리스트!$H:$AK,30,FALSE)</f>
        <v>8404.545454545454</v>
      </c>
      <c r="F35" s="10" t="s">
        <v>402</v>
      </c>
      <c r="G35" s="11"/>
      <c r="H35" s="11"/>
      <c r="I35" s="11"/>
      <c r="K35" s="12"/>
      <c r="M35" s="8">
        <v>32</v>
      </c>
      <c r="Q35" s="44" t="s">
        <v>125</v>
      </c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 t="s">
        <v>221</v>
      </c>
      <c r="AR35" s="54" t="s">
        <v>221</v>
      </c>
      <c r="AS35" s="54">
        <v>2</v>
      </c>
      <c r="AT35" s="54">
        <v>-1</v>
      </c>
      <c r="AU35" s="54" t="s">
        <v>221</v>
      </c>
      <c r="AV35" s="54" t="s">
        <v>221</v>
      </c>
      <c r="AW35" s="54" t="s">
        <v>221</v>
      </c>
      <c r="AX35" s="54">
        <v>6</v>
      </c>
      <c r="AY35" s="54">
        <v>12</v>
      </c>
      <c r="AZ35" s="54">
        <v>8</v>
      </c>
      <c r="BA35" s="54" t="s">
        <v>221</v>
      </c>
      <c r="BB35" s="54" t="s">
        <v>221</v>
      </c>
      <c r="BC35" s="54" t="s">
        <v>221</v>
      </c>
      <c r="BD35" s="54">
        <v>16</v>
      </c>
      <c r="BE35" s="54">
        <v>3</v>
      </c>
      <c r="BF35" s="54" t="s">
        <v>221</v>
      </c>
      <c r="BG35" s="54">
        <v>17</v>
      </c>
      <c r="BH35" s="54">
        <v>14</v>
      </c>
      <c r="BI35" s="54">
        <v>17</v>
      </c>
      <c r="BJ35" s="54">
        <v>15</v>
      </c>
      <c r="BK35" s="54">
        <v>16</v>
      </c>
      <c r="BL35" s="54">
        <v>38</v>
      </c>
      <c r="BM35" s="54">
        <v>28</v>
      </c>
      <c r="BN35" s="54">
        <v>8</v>
      </c>
      <c r="BO35" s="54">
        <v>-2</v>
      </c>
      <c r="BP35" s="54">
        <v>-1</v>
      </c>
      <c r="BQ35" s="54">
        <v>4</v>
      </c>
      <c r="BR35" s="54">
        <v>11</v>
      </c>
      <c r="BS35" s="54">
        <v>12</v>
      </c>
      <c r="BT35" s="54">
        <v>25</v>
      </c>
      <c r="BU35" s="54"/>
      <c r="BV35" s="54"/>
      <c r="BW35" s="54"/>
      <c r="BX35" s="85">
        <f>VLOOKUP(F35,[1]SKU리스트!$H:$AH,27,FALSE)</f>
        <v>191156</v>
      </c>
      <c r="BY35" s="9"/>
      <c r="BZ35" s="90"/>
    </row>
    <row r="36" spans="1:78" ht="20.100000000000001" customHeight="1" x14ac:dyDescent="0.3">
      <c r="A36" s="13">
        <v>30</v>
      </c>
      <c r="B36" s="4" t="s">
        <v>393</v>
      </c>
      <c r="C36" s="69" t="s">
        <v>161</v>
      </c>
      <c r="D36" s="1"/>
      <c r="E36" s="1"/>
      <c r="F36" s="2" t="s">
        <v>403</v>
      </c>
      <c r="H36" s="3"/>
      <c r="M36" s="1">
        <v>30</v>
      </c>
      <c r="Q36" s="39" t="s">
        <v>282</v>
      </c>
      <c r="R36" s="5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50"/>
      <c r="AL36" s="50"/>
      <c r="AM36" s="50"/>
      <c r="AN36" s="50"/>
      <c r="AO36" s="53"/>
      <c r="AP36" s="51"/>
      <c r="AQ36" s="50"/>
      <c r="AR36" s="50"/>
      <c r="AS36" s="50"/>
      <c r="AT36" s="50"/>
      <c r="AU36" s="50"/>
      <c r="AV36" s="53">
        <f>SUM(AP35:AV35)</f>
        <v>1</v>
      </c>
      <c r="AW36" s="50">
        <v>0</v>
      </c>
      <c r="AX36" s="52"/>
      <c r="AY36" s="50"/>
      <c r="AZ36" s="50"/>
      <c r="BA36" s="50"/>
      <c r="BB36" s="50"/>
      <c r="BC36" s="53">
        <f>SUM(AW35:BC35)</f>
        <v>26</v>
      </c>
      <c r="BD36" s="50">
        <v>3</v>
      </c>
      <c r="BE36" s="50"/>
      <c r="BF36" s="50"/>
      <c r="BG36" s="50"/>
      <c r="BH36" s="50"/>
      <c r="BI36" s="50"/>
      <c r="BJ36" s="53">
        <f>SUM(BD35:BJ35)</f>
        <v>82</v>
      </c>
      <c r="BK36" s="50">
        <v>24</v>
      </c>
      <c r="BL36" s="50"/>
      <c r="BM36" s="50"/>
      <c r="BN36" s="50"/>
      <c r="BO36" s="50"/>
      <c r="BP36" s="50"/>
      <c r="BQ36" s="53">
        <f>SUM(BK35:BQ35)</f>
        <v>91</v>
      </c>
      <c r="BR36" s="50">
        <v>39</v>
      </c>
      <c r="BS36" s="50"/>
      <c r="BT36" s="50"/>
      <c r="BU36" s="50"/>
      <c r="BV36" s="50"/>
      <c r="BW36" s="50"/>
      <c r="BZ36" s="22"/>
    </row>
    <row r="37" spans="1:78" ht="20.100000000000001" customHeight="1" x14ac:dyDescent="0.3">
      <c r="A37" s="13">
        <v>31</v>
      </c>
      <c r="B37" s="91" t="s">
        <v>393</v>
      </c>
      <c r="C37" s="93" t="s">
        <v>161</v>
      </c>
      <c r="D37" s="98"/>
      <c r="E37" s="98"/>
      <c r="F37" s="96">
        <v>93991231959</v>
      </c>
      <c r="G37" s="97"/>
      <c r="H37" s="97"/>
      <c r="I37" s="97"/>
      <c r="J37" s="91"/>
      <c r="L37" s="98"/>
      <c r="M37" s="98">
        <v>29</v>
      </c>
      <c r="N37" s="98"/>
      <c r="O37" s="98"/>
      <c r="P37" s="98"/>
      <c r="Q37" s="41" t="s">
        <v>1</v>
      </c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>
        <f>IFERROR(VLOOKUP($F37,[2]원본!$D:$BX,AI$1,FALSE),"")</f>
        <v>0</v>
      </c>
      <c r="AJ37" s="40">
        <f>IFERROR(VLOOKUP($F37,[2]원본!$D:$BX,AJ$1,FALSE),"")</f>
        <v>0</v>
      </c>
      <c r="AK37" s="40">
        <f>IFERROR(VLOOKUP($F37,[2]원본!$D:$BX,AK$1,FALSE),"")</f>
        <v>0</v>
      </c>
      <c r="AL37" s="40">
        <f>IFERROR(VLOOKUP($F37,[2]원본!$D:$BX,AL$1,FALSE),"")</f>
        <v>0</v>
      </c>
      <c r="AM37" s="40">
        <f>IFERROR(VLOOKUP($F37,[2]원본!$D:$BX,AM$1,FALSE),"")</f>
        <v>0</v>
      </c>
      <c r="AN37" s="40">
        <f>IFERROR(VLOOKUP($F37,[2]원본!$D:$BX,AN$1,FALSE),"")</f>
        <v>0</v>
      </c>
      <c r="AO37" s="40">
        <f>IFERROR(VLOOKUP($F37,[2]원본!$D:$BX,AO$1,FALSE),"")</f>
        <v>0</v>
      </c>
      <c r="AP37" s="40">
        <f>IFERROR(VLOOKUP($F37,[2]원본!$D:$BX,AP$1,FALSE),"")</f>
        <v>0</v>
      </c>
      <c r="AQ37" s="40">
        <f>IFERROR(VLOOKUP($F37,[2]원본!$D:$BX,AQ$1,FALSE),"")</f>
        <v>0</v>
      </c>
      <c r="AR37" s="40">
        <f>IFERROR(VLOOKUP($F37,[2]원본!$D:$BX,AR$1,FALSE),"")</f>
        <v>0</v>
      </c>
      <c r="AS37" s="40">
        <f>IFERROR(VLOOKUP($F37,[2]원본!$D:$BX,AS$1,FALSE),"")</f>
        <v>1</v>
      </c>
      <c r="AT37" s="40">
        <f>IFERROR(VLOOKUP($F37,[2]원본!$D:$BX,AT$1,FALSE),"")</f>
        <v>0</v>
      </c>
      <c r="AU37" s="40">
        <f>IFERROR(VLOOKUP($F37,[2]원본!$D:$BX,AU$1,FALSE),"")</f>
        <v>0</v>
      </c>
      <c r="AV37" s="40">
        <f>IFERROR(VLOOKUP($F37,[2]원본!$D:$BX,AV$1,FALSE),"")</f>
        <v>0</v>
      </c>
      <c r="AW37" s="40">
        <f>IFERROR(VLOOKUP($F37,[2]원본!$D:$BX,AW$1,FALSE),"")</f>
        <v>0</v>
      </c>
      <c r="AX37" s="40">
        <f>IFERROR(VLOOKUP($F37,[2]원본!$D:$BX,AX$1,FALSE),"")</f>
        <v>6</v>
      </c>
      <c r="AY37" s="40">
        <f>IFERROR(VLOOKUP($F37,[2]원본!$D:$BX,AY$1,FALSE),"")</f>
        <v>13</v>
      </c>
      <c r="AZ37" s="40">
        <f>IFERROR(VLOOKUP($F37,[2]원본!$D:$BX,AZ$1,FALSE),"")</f>
        <v>8</v>
      </c>
      <c r="BA37" s="40">
        <f>IFERROR(VLOOKUP($F37,[2]원본!$D:$BX,BA$1,FALSE),"")</f>
        <v>0</v>
      </c>
      <c r="BB37" s="40">
        <f>IFERROR(VLOOKUP($F37,[2]원본!$D:$BX,BB$1,FALSE),"")</f>
        <v>0</v>
      </c>
      <c r="BC37" s="40">
        <f>IFERROR(VLOOKUP($F37,[2]원본!$D:$BX,BC$1,FALSE),"")</f>
        <v>0</v>
      </c>
      <c r="BD37" s="40">
        <f>IFERROR(VLOOKUP($F37,[2]원본!$D:$BX,BD$1,FALSE),"")</f>
        <v>16</v>
      </c>
      <c r="BE37" s="40">
        <f>IFERROR(VLOOKUP($F37,[2]원본!$D:$BX,BE$1,FALSE),"")</f>
        <v>1</v>
      </c>
      <c r="BF37" s="40">
        <f>IFERROR(VLOOKUP($F37,[2]원본!$D:$BX,BF$1,FALSE),"")</f>
        <v>0</v>
      </c>
      <c r="BG37" s="40">
        <f>IFERROR(VLOOKUP($F37,[2]원본!$D:$BX,BG$1,FALSE),"")</f>
        <v>15</v>
      </c>
      <c r="BH37" s="40">
        <f>IFERROR(VLOOKUP($F37,[2]원본!$D:$BX,BH$1,FALSE),"")</f>
        <v>10</v>
      </c>
      <c r="BI37" s="40">
        <f>IFERROR(VLOOKUP($F37,[2]원본!$D:$BX,BI$1,FALSE),"")</f>
        <v>10</v>
      </c>
      <c r="BJ37" s="40">
        <f>IFERROR(VLOOKUP($F37,[2]원본!$D:$BX,BJ$1,FALSE),"")</f>
        <v>10</v>
      </c>
      <c r="BK37" s="40">
        <f>IFERROR(VLOOKUP($F37,[2]원본!$D:$BX,BK$1,FALSE),"")</f>
        <v>10</v>
      </c>
      <c r="BL37" s="40">
        <f>IFERROR(VLOOKUP($F37,[2]원본!$D:$BX,BL$1,FALSE),"")</f>
        <v>10</v>
      </c>
      <c r="BM37" s="40">
        <f>IFERROR(VLOOKUP($F37,[2]원본!$D:$BX,BM$1,FALSE),"")</f>
        <v>0</v>
      </c>
      <c r="BN37" s="40">
        <f>IFERROR(VLOOKUP($F37,[2]원본!$D:$BX,BN$1,FALSE),"")</f>
        <v>0</v>
      </c>
      <c r="BO37" s="40">
        <f>IFERROR(VLOOKUP($F37,[2]원본!$D:$BX,BO$1,FALSE),"")</f>
        <v>0</v>
      </c>
      <c r="BP37" s="40">
        <f>IFERROR(VLOOKUP($F37,[2]원본!$D:$BX,BP$1,FALSE),"")</f>
        <v>0</v>
      </c>
      <c r="BQ37" s="40">
        <f>IFERROR(VLOOKUP($F37,[2]원본!$D:$BX,BQ$1,FALSE),"")</f>
        <v>0</v>
      </c>
      <c r="BR37" s="40">
        <f>IFERROR(VLOOKUP($F37,[2]원본!$D:$BX,BR$1,FALSE),"")</f>
        <v>0</v>
      </c>
      <c r="BS37" s="40">
        <f>IFERROR(VLOOKUP($F37,[2]원본!$D:$BX,BS$1,FALSE),"")</f>
        <v>0</v>
      </c>
      <c r="BT37" s="40">
        <f>IFERROR(VLOOKUP($F37,[2]원본!$D:$BX,BT$1,FALSE),"")</f>
        <v>0</v>
      </c>
      <c r="BU37" s="40">
        <f>IFERROR(VLOOKUP($F37,[2]원본!$D:$BX,BU$1,FALSE),"")</f>
        <v>0</v>
      </c>
      <c r="BV37" s="40" t="str">
        <f>IFERROR(VLOOKUP($F37,#REF!,BV$1,FALSE),"")</f>
        <v/>
      </c>
      <c r="BW37" s="40"/>
      <c r="BX37" s="26">
        <f>(SUM(R37:BW37)*D35)-(SUM(R37:BW37)*E35)</f>
        <v>934500</v>
      </c>
      <c r="BY37" s="91"/>
      <c r="BZ37" s="40" t="str">
        <f>IFERROR(VLOOKUP($F37,#REF!,BZ$1,FALSE),"")</f>
        <v/>
      </c>
    </row>
    <row r="38" spans="1:78" ht="20.100000000000001" customHeight="1" x14ac:dyDescent="0.3">
      <c r="A38" s="13">
        <v>32</v>
      </c>
      <c r="B38" s="4" t="s">
        <v>393</v>
      </c>
      <c r="C38" s="69" t="s">
        <v>161</v>
      </c>
      <c r="D38" s="82" t="s">
        <v>398</v>
      </c>
      <c r="F38" s="2">
        <v>93991231959</v>
      </c>
      <c r="G38" s="3" t="s">
        <v>399</v>
      </c>
      <c r="H38" s="3"/>
      <c r="J38" s="4" t="s">
        <v>389</v>
      </c>
      <c r="K38" s="62">
        <v>643200</v>
      </c>
      <c r="L38" s="1">
        <v>1</v>
      </c>
      <c r="M38" s="1">
        <v>31</v>
      </c>
      <c r="Q38" s="42" t="s">
        <v>404</v>
      </c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>
        <v>25</v>
      </c>
      <c r="BM38" s="7"/>
      <c r="BN38" s="7">
        <v>23</v>
      </c>
      <c r="BO38" s="7"/>
      <c r="BP38" s="7"/>
      <c r="BQ38" s="7"/>
      <c r="BR38" s="7"/>
      <c r="BS38" s="7">
        <v>23</v>
      </c>
      <c r="BT38" s="7">
        <v>23</v>
      </c>
      <c r="BU38" s="7">
        <v>23</v>
      </c>
      <c r="BV38" s="7"/>
      <c r="BW38" s="7"/>
      <c r="BZ38" s="22"/>
    </row>
    <row r="39" spans="1:78" s="14" customFormat="1" ht="20.100000000000001" customHeight="1" thickBot="1" x14ac:dyDescent="0.35">
      <c r="A39" s="13">
        <v>33</v>
      </c>
      <c r="B39" s="15" t="s">
        <v>393</v>
      </c>
      <c r="C39" s="71" t="s">
        <v>161</v>
      </c>
      <c r="D39" s="21"/>
      <c r="E39" s="21"/>
      <c r="F39" s="16">
        <v>93991231959</v>
      </c>
      <c r="G39" s="17"/>
      <c r="H39" s="17"/>
      <c r="I39" s="17"/>
      <c r="J39" s="15" t="s">
        <v>397</v>
      </c>
      <c r="K39" s="63">
        <v>66800</v>
      </c>
      <c r="L39" s="14">
        <v>1</v>
      </c>
      <c r="M39" s="14">
        <v>33</v>
      </c>
      <c r="Q39" s="45" t="s">
        <v>0</v>
      </c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19"/>
      <c r="BB39" s="19"/>
      <c r="BC39" s="19"/>
      <c r="BD39" s="19"/>
      <c r="BE39" s="19"/>
      <c r="BF39" s="19">
        <v>12</v>
      </c>
      <c r="BG39" s="19">
        <v>42</v>
      </c>
      <c r="BH39" s="19"/>
      <c r="BI39" s="19">
        <v>14</v>
      </c>
      <c r="BJ39" s="19"/>
      <c r="BK39" s="19"/>
      <c r="BL39" s="19">
        <v>7</v>
      </c>
      <c r="BM39" s="19"/>
      <c r="BN39" s="19">
        <v>7</v>
      </c>
      <c r="BO39" s="19"/>
      <c r="BP39" s="19"/>
      <c r="BQ39" s="19"/>
      <c r="BR39" s="19"/>
      <c r="BS39" s="19">
        <v>8</v>
      </c>
      <c r="BT39" s="19">
        <v>8</v>
      </c>
      <c r="BU39" s="19">
        <v>8</v>
      </c>
      <c r="BV39" s="19"/>
      <c r="BW39" s="19"/>
      <c r="BX39" s="18"/>
      <c r="BY39" s="15"/>
      <c r="BZ39" s="23"/>
    </row>
    <row r="40" spans="1:78" s="8" customFormat="1" ht="20.100000000000001" customHeight="1" x14ac:dyDescent="0.3">
      <c r="A40" s="13">
        <v>34</v>
      </c>
      <c r="B40" s="9" t="s">
        <v>341</v>
      </c>
      <c r="C40" s="70" t="s">
        <v>161</v>
      </c>
      <c r="D40" s="46">
        <f>VLOOKUP(F42,[1]SKU리스트!$H:$L,5,FALSE)</f>
        <v>6900</v>
      </c>
      <c r="E40" s="47">
        <f>VLOOKUP(F42,[1]SKU리스트!$H:$AK,30,FALSE)</f>
        <v>3205.454545454545</v>
      </c>
      <c r="F40" s="10" t="s">
        <v>187</v>
      </c>
      <c r="G40" s="11"/>
      <c r="H40" s="11"/>
      <c r="I40" s="11"/>
      <c r="K40" s="12"/>
      <c r="M40" s="8">
        <v>34</v>
      </c>
      <c r="Q40" s="44" t="s">
        <v>125</v>
      </c>
      <c r="R40" s="54">
        <v>1</v>
      </c>
      <c r="S40" s="54">
        <v>3</v>
      </c>
      <c r="T40" s="54">
        <v>4</v>
      </c>
      <c r="U40" s="54">
        <v>7</v>
      </c>
      <c r="V40" s="54">
        <v>5</v>
      </c>
      <c r="W40" s="54">
        <v>4</v>
      </c>
      <c r="X40" s="54">
        <v>3</v>
      </c>
      <c r="Y40" s="54">
        <v>5</v>
      </c>
      <c r="Z40" s="54">
        <v>6</v>
      </c>
      <c r="AA40" s="54">
        <v>1</v>
      </c>
      <c r="AB40" s="54">
        <v>4</v>
      </c>
      <c r="AC40" s="54">
        <v>12</v>
      </c>
      <c r="AD40" s="54">
        <v>8</v>
      </c>
      <c r="AE40" s="54">
        <v>6</v>
      </c>
      <c r="AF40" s="54">
        <v>9</v>
      </c>
      <c r="AG40" s="54">
        <v>9</v>
      </c>
      <c r="AH40" s="54">
        <v>8</v>
      </c>
      <c r="AI40" s="54" t="s">
        <v>221</v>
      </c>
      <c r="AJ40" s="54">
        <v>1</v>
      </c>
      <c r="AK40" s="54">
        <v>1</v>
      </c>
      <c r="AL40" s="54">
        <v>2</v>
      </c>
      <c r="AM40" s="54">
        <v>2</v>
      </c>
      <c r="AN40" s="54" t="s">
        <v>221</v>
      </c>
      <c r="AO40" s="54">
        <v>0</v>
      </c>
      <c r="AP40" s="54">
        <v>6</v>
      </c>
      <c r="AQ40" s="54">
        <v>4</v>
      </c>
      <c r="AR40" s="54">
        <v>5</v>
      </c>
      <c r="AS40" s="54">
        <v>5</v>
      </c>
      <c r="AT40" s="54">
        <v>4</v>
      </c>
      <c r="AU40" s="54">
        <v>4</v>
      </c>
      <c r="AV40" s="54">
        <v>4</v>
      </c>
      <c r="AW40" s="54">
        <v>10</v>
      </c>
      <c r="AX40" s="54">
        <v>8</v>
      </c>
      <c r="AY40" s="54">
        <v>4</v>
      </c>
      <c r="AZ40" s="54">
        <v>3</v>
      </c>
      <c r="BA40" s="54">
        <v>3</v>
      </c>
      <c r="BB40" s="54" t="s">
        <v>221</v>
      </c>
      <c r="BC40" s="54">
        <v>2</v>
      </c>
      <c r="BD40" s="54">
        <v>2</v>
      </c>
      <c r="BE40" s="54">
        <v>8</v>
      </c>
      <c r="BF40" s="54">
        <v>1</v>
      </c>
      <c r="BG40" s="54">
        <v>2</v>
      </c>
      <c r="BH40" s="54">
        <v>2</v>
      </c>
      <c r="BI40" s="54">
        <v>3</v>
      </c>
      <c r="BJ40" s="54">
        <v>2</v>
      </c>
      <c r="BK40" s="54">
        <v>2</v>
      </c>
      <c r="BL40" s="54">
        <v>5</v>
      </c>
      <c r="BM40" s="54">
        <v>1</v>
      </c>
      <c r="BN40" s="54">
        <v>3</v>
      </c>
      <c r="BO40" s="54">
        <v>2</v>
      </c>
      <c r="BP40" s="54">
        <v>1</v>
      </c>
      <c r="BQ40" s="54">
        <v>1</v>
      </c>
      <c r="BR40" s="54">
        <v>2</v>
      </c>
      <c r="BS40" s="54" t="s">
        <v>221</v>
      </c>
      <c r="BT40" s="54" t="s">
        <v>221</v>
      </c>
      <c r="BU40" s="54"/>
      <c r="BV40" s="54"/>
      <c r="BW40" s="54"/>
      <c r="BX40" s="85">
        <f>VLOOKUP(F40,[1]SKU리스트!$H:$AH,27,FALSE)</f>
        <v>30110</v>
      </c>
      <c r="BY40" s="9"/>
      <c r="BZ40" s="90"/>
    </row>
    <row r="41" spans="1:78" ht="20.100000000000001" customHeight="1" x14ac:dyDescent="0.3">
      <c r="A41" s="13">
        <v>35</v>
      </c>
      <c r="B41" s="4" t="s">
        <v>341</v>
      </c>
      <c r="C41" s="69" t="s">
        <v>161</v>
      </c>
      <c r="D41" s="1"/>
      <c r="E41" s="1"/>
      <c r="F41" s="2" t="s">
        <v>284</v>
      </c>
      <c r="H41" s="3"/>
      <c r="M41" s="1">
        <v>35</v>
      </c>
      <c r="Q41" s="39" t="s">
        <v>282</v>
      </c>
      <c r="R41" s="5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50"/>
      <c r="AL41" s="50"/>
      <c r="AM41" s="50"/>
      <c r="AN41" s="50"/>
      <c r="AO41" s="53">
        <f>SUM(AI40:AO40)</f>
        <v>6</v>
      </c>
      <c r="AP41" s="51">
        <v>3</v>
      </c>
      <c r="AQ41" s="50"/>
      <c r="AR41" s="50"/>
      <c r="AS41" s="50"/>
      <c r="AT41" s="50"/>
      <c r="AU41" s="50"/>
      <c r="AV41" s="53">
        <f>SUM(AP40:AV40)</f>
        <v>32</v>
      </c>
      <c r="AW41" s="50">
        <v>16</v>
      </c>
      <c r="AX41" s="50"/>
      <c r="AY41" s="50"/>
      <c r="AZ41" s="50"/>
      <c r="BA41" s="50"/>
      <c r="BB41" s="50"/>
      <c r="BC41" s="53">
        <f>SUM(AW40:BC40)</f>
        <v>30</v>
      </c>
      <c r="BD41" s="50">
        <v>17</v>
      </c>
      <c r="BE41" s="50"/>
      <c r="BF41" s="50"/>
      <c r="BG41" s="50"/>
      <c r="BH41" s="50"/>
      <c r="BI41" s="50"/>
      <c r="BJ41" s="53">
        <f>SUM(BD40:BJ40)</f>
        <v>20</v>
      </c>
      <c r="BK41" s="50">
        <v>11</v>
      </c>
      <c r="BL41" s="50"/>
      <c r="BM41" s="50"/>
      <c r="BN41" s="50"/>
      <c r="BO41" s="50"/>
      <c r="BP41" s="50"/>
      <c r="BQ41" s="53">
        <f>SUM(BK40:BQ40)</f>
        <v>15</v>
      </c>
      <c r="BR41" s="50">
        <v>8</v>
      </c>
      <c r="BS41" s="50"/>
      <c r="BT41" s="50"/>
      <c r="BU41" s="50"/>
      <c r="BV41" s="50"/>
      <c r="BW41" s="50"/>
      <c r="BZ41" s="22"/>
    </row>
    <row r="42" spans="1:78" ht="20.100000000000001" customHeight="1" x14ac:dyDescent="0.3">
      <c r="A42" s="13">
        <v>36</v>
      </c>
      <c r="B42" s="4" t="s">
        <v>341</v>
      </c>
      <c r="C42" s="69" t="s">
        <v>161</v>
      </c>
      <c r="D42" s="1"/>
      <c r="E42" s="1"/>
      <c r="F42" s="2">
        <v>93484384970</v>
      </c>
      <c r="H42" s="3"/>
      <c r="M42" s="1">
        <v>41</v>
      </c>
      <c r="Q42" s="41" t="s">
        <v>1</v>
      </c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>
        <f>IFERROR(VLOOKUP($F42,[2]원본!$D:$BX,AI$1,FALSE),"")</f>
        <v>0</v>
      </c>
      <c r="AJ42" s="40">
        <f>IFERROR(VLOOKUP($F42,[2]원본!$D:$BX,AJ$1,FALSE),"")</f>
        <v>0</v>
      </c>
      <c r="AK42" s="40">
        <f>IFERROR(VLOOKUP($F42,[2]원본!$D:$BX,AK$1,FALSE),"")</f>
        <v>0</v>
      </c>
      <c r="AL42" s="40">
        <f>IFERROR(VLOOKUP($F42,[2]원본!$D:$BX,AL$1,FALSE),"")</f>
        <v>0</v>
      </c>
      <c r="AM42" s="40">
        <f>IFERROR(VLOOKUP($F42,[2]원본!$D:$BX,AM$1,FALSE),"")</f>
        <v>0</v>
      </c>
      <c r="AN42" s="40">
        <f>IFERROR(VLOOKUP($F42,[2]원본!$D:$BX,AN$1,FALSE),"")</f>
        <v>0</v>
      </c>
      <c r="AO42" s="40">
        <f>IFERROR(VLOOKUP($F42,[2]원본!$D:$BX,AO$1,FALSE),"")</f>
        <v>0</v>
      </c>
      <c r="AP42" s="40">
        <f>IFERROR(VLOOKUP($F42,[2]원본!$D:$BX,AP$1,FALSE),"")</f>
        <v>0</v>
      </c>
      <c r="AQ42" s="40">
        <f>IFERROR(VLOOKUP($F42,[2]원본!$D:$BX,AQ$1,FALSE),"")</f>
        <v>0</v>
      </c>
      <c r="AR42" s="40">
        <f>IFERROR(VLOOKUP($F42,[2]원본!$D:$BX,AR$1,FALSE),"")</f>
        <v>0</v>
      </c>
      <c r="AS42" s="40">
        <f>IFERROR(VLOOKUP($F42,[2]원본!$D:$BX,AS$1,FALSE),"")</f>
        <v>0</v>
      </c>
      <c r="AT42" s="40">
        <f>IFERROR(VLOOKUP($F42,[2]원본!$D:$BX,AT$1,FALSE),"")</f>
        <v>0</v>
      </c>
      <c r="AU42" s="40">
        <f>IFERROR(VLOOKUP($F42,[2]원본!$D:$BX,AU$1,FALSE),"")</f>
        <v>0</v>
      </c>
      <c r="AV42" s="40">
        <f>IFERROR(VLOOKUP($F42,[2]원본!$D:$BX,AV$1,FALSE),"")</f>
        <v>0</v>
      </c>
      <c r="AW42" s="40">
        <f>IFERROR(VLOOKUP($F42,[2]원본!$D:$BX,AW$1,FALSE),"")</f>
        <v>0</v>
      </c>
      <c r="AX42" s="40">
        <f>IFERROR(VLOOKUP($F42,[2]원본!$D:$BX,AX$1,FALSE),"")</f>
        <v>0</v>
      </c>
      <c r="AY42" s="40">
        <f>IFERROR(VLOOKUP($F42,[2]원본!$D:$BX,AY$1,FALSE),"")</f>
        <v>0</v>
      </c>
      <c r="AZ42" s="40">
        <f>IFERROR(VLOOKUP($F42,[2]원본!$D:$BX,AZ$1,FALSE),"")</f>
        <v>0</v>
      </c>
      <c r="BA42" s="40">
        <f>IFERROR(VLOOKUP($F42,[2]원본!$D:$BX,BA$1,FALSE),"")</f>
        <v>0</v>
      </c>
      <c r="BB42" s="40">
        <f>IFERROR(VLOOKUP($F42,[2]원본!$D:$BX,BB$1,FALSE),"")</f>
        <v>0</v>
      </c>
      <c r="BC42" s="40">
        <f>IFERROR(VLOOKUP($F42,[2]원본!$D:$BX,BC$1,FALSE),"")</f>
        <v>0</v>
      </c>
      <c r="BD42" s="40">
        <f>IFERROR(VLOOKUP($F42,[2]원본!$D:$BX,BD$1,FALSE),"")</f>
        <v>0</v>
      </c>
      <c r="BE42" s="40">
        <f>IFERROR(VLOOKUP($F42,[2]원본!$D:$BX,BE$1,FALSE),"")</f>
        <v>0</v>
      </c>
      <c r="BF42" s="40">
        <f>IFERROR(VLOOKUP($F42,[2]원본!$D:$BX,BF$1,FALSE),"")</f>
        <v>0</v>
      </c>
      <c r="BG42" s="40">
        <f>IFERROR(VLOOKUP($F42,[2]원본!$D:$BX,BG$1,FALSE),"")</f>
        <v>0</v>
      </c>
      <c r="BH42" s="40">
        <f>IFERROR(VLOOKUP($F42,[2]원본!$D:$BX,BH$1,FALSE),"")</f>
        <v>0</v>
      </c>
      <c r="BI42" s="40">
        <f>IFERROR(VLOOKUP($F42,[2]원본!$D:$BX,BI$1,FALSE),"")</f>
        <v>0</v>
      </c>
      <c r="BJ42" s="40">
        <f>IFERROR(VLOOKUP($F42,[2]원본!$D:$BX,BJ$1,FALSE),"")</f>
        <v>0</v>
      </c>
      <c r="BK42" s="40">
        <f>IFERROR(VLOOKUP($F42,[2]원본!$D:$BX,BK$1,FALSE),"")</f>
        <v>0</v>
      </c>
      <c r="BL42" s="40">
        <f>IFERROR(VLOOKUP($F42,[2]원본!$D:$BX,BL$1,FALSE),"")</f>
        <v>0</v>
      </c>
      <c r="BM42" s="40">
        <f>IFERROR(VLOOKUP($F42,[2]원본!$D:$BX,BM$1,FALSE),"")</f>
        <v>0</v>
      </c>
      <c r="BN42" s="40">
        <f>IFERROR(VLOOKUP($F42,[2]원본!$D:$BX,BN$1,FALSE),"")</f>
        <v>0</v>
      </c>
      <c r="BO42" s="40">
        <f>IFERROR(VLOOKUP($F42,[2]원본!$D:$BX,BO$1,FALSE),"")</f>
        <v>0</v>
      </c>
      <c r="BP42" s="40">
        <f>IFERROR(VLOOKUP($F42,[2]원본!$D:$BX,BP$1,FALSE),"")</f>
        <v>0</v>
      </c>
      <c r="BQ42" s="40">
        <f>IFERROR(VLOOKUP($F42,[2]원본!$D:$BX,BQ$1,FALSE),"")</f>
        <v>0</v>
      </c>
      <c r="BR42" s="40">
        <f>IFERROR(VLOOKUP($F42,[2]원본!$D:$BX,BR$1,FALSE),"")</f>
        <v>0</v>
      </c>
      <c r="BS42" s="40">
        <f>IFERROR(VLOOKUP($F42,[2]원본!$D:$BX,BS$1,FALSE),"")</f>
        <v>0</v>
      </c>
      <c r="BT42" s="40">
        <f>IFERROR(VLOOKUP($F42,[2]원본!$D:$BX,BT$1,FALSE),"")</f>
        <v>0</v>
      </c>
      <c r="BU42" s="40">
        <f>IFERROR(VLOOKUP($F42,[2]원본!$D:$BX,BU$1,FALSE),"")</f>
        <v>0</v>
      </c>
      <c r="BV42" s="40" t="str">
        <f>IFERROR(VLOOKUP($F42,#REF!,BV$1,FALSE),"")</f>
        <v/>
      </c>
      <c r="BW42" s="40"/>
      <c r="BX42" s="26">
        <f>(SUM(R42:BW42)*D40)-(SUM(R42:BW42)*E40)</f>
        <v>0</v>
      </c>
      <c r="BZ42" s="40" t="str">
        <f>IFERROR(VLOOKUP($F42,#REF!,BZ$1,FALSE),"")</f>
        <v/>
      </c>
    </row>
    <row r="43" spans="1:78" ht="20.100000000000001" customHeight="1" x14ac:dyDescent="0.3">
      <c r="A43" s="13">
        <v>37</v>
      </c>
      <c r="B43" s="4" t="s">
        <v>341</v>
      </c>
      <c r="C43" s="69" t="s">
        <v>161</v>
      </c>
      <c r="D43" s="82" t="s">
        <v>163</v>
      </c>
      <c r="F43" s="2">
        <v>93484384970</v>
      </c>
      <c r="G43" s="3" t="s">
        <v>158</v>
      </c>
      <c r="H43" s="3"/>
      <c r="J43" s="4" t="s">
        <v>35</v>
      </c>
      <c r="K43" s="62">
        <v>99500</v>
      </c>
      <c r="L43" s="1">
        <v>1</v>
      </c>
      <c r="M43" s="1">
        <v>40</v>
      </c>
      <c r="Q43" s="42" t="s">
        <v>0</v>
      </c>
      <c r="R43" s="7"/>
      <c r="S43" s="7"/>
      <c r="T43" s="7"/>
      <c r="U43" s="7"/>
      <c r="V43" s="7"/>
      <c r="W43" s="7"/>
      <c r="X43" s="7"/>
      <c r="Y43" s="7" t="s">
        <v>36</v>
      </c>
      <c r="Z43" s="7">
        <v>93</v>
      </c>
      <c r="AA43" s="7">
        <v>93</v>
      </c>
      <c r="AB43" s="7"/>
      <c r="AC43" s="7">
        <v>15</v>
      </c>
      <c r="AD43" s="7"/>
      <c r="AE43" s="7">
        <v>10</v>
      </c>
      <c r="AF43" s="7">
        <v>9</v>
      </c>
      <c r="AG43" s="7"/>
      <c r="AH43" s="7"/>
      <c r="AI43" s="7"/>
      <c r="AJ43" s="7"/>
      <c r="AK43" s="7">
        <v>30</v>
      </c>
      <c r="AL43" s="7"/>
      <c r="AM43" s="7"/>
      <c r="AN43" s="7"/>
      <c r="AO43" s="7"/>
      <c r="AP43" s="7"/>
      <c r="AQ43" s="7"/>
      <c r="AR43" s="7"/>
      <c r="AS43" s="7"/>
      <c r="AT43" s="7">
        <v>35</v>
      </c>
      <c r="AU43" s="7">
        <v>35</v>
      </c>
      <c r="AV43" s="7"/>
      <c r="AW43" s="7"/>
      <c r="AX43" s="7">
        <v>14</v>
      </c>
      <c r="AY43" s="7"/>
      <c r="AZ43" s="7">
        <v>14</v>
      </c>
      <c r="BA43" s="7">
        <v>62</v>
      </c>
      <c r="BB43" s="7">
        <v>382</v>
      </c>
      <c r="BC43" s="7"/>
      <c r="BD43" s="7"/>
      <c r="BE43" s="7">
        <v>48</v>
      </c>
      <c r="BF43" s="7">
        <v>132</v>
      </c>
      <c r="BG43" s="7"/>
      <c r="BH43" s="7">
        <v>62</v>
      </c>
      <c r="BI43" s="7">
        <v>532</v>
      </c>
      <c r="BJ43" s="7"/>
      <c r="BK43" s="7"/>
      <c r="BL43" s="7"/>
      <c r="BM43" s="7"/>
      <c r="BN43" s="7">
        <v>50</v>
      </c>
      <c r="BO43" s="7"/>
      <c r="BP43" s="7"/>
      <c r="BQ43" s="7"/>
      <c r="BR43" s="7"/>
      <c r="BS43" s="7">
        <v>43</v>
      </c>
      <c r="BT43" s="7"/>
      <c r="BU43" s="7">
        <v>35</v>
      </c>
      <c r="BV43" s="7"/>
      <c r="BW43" s="7"/>
      <c r="BZ43" s="22"/>
    </row>
    <row r="44" spans="1:78" ht="20.100000000000001" customHeight="1" x14ac:dyDescent="0.3">
      <c r="A44" s="13">
        <v>38</v>
      </c>
      <c r="B44" s="4" t="s">
        <v>341</v>
      </c>
      <c r="C44" s="69" t="s">
        <v>161</v>
      </c>
      <c r="D44" s="20"/>
      <c r="E44" s="20"/>
      <c r="F44" s="2">
        <v>93484384970</v>
      </c>
      <c r="H44" s="3"/>
      <c r="J44" s="4" t="s">
        <v>37</v>
      </c>
      <c r="K44" s="62">
        <v>75500</v>
      </c>
      <c r="L44" s="1">
        <v>1</v>
      </c>
      <c r="M44" s="1">
        <v>39</v>
      </c>
      <c r="Q44" s="42" t="s">
        <v>0</v>
      </c>
      <c r="R44" s="7"/>
      <c r="S44" s="7"/>
      <c r="T44" s="7"/>
      <c r="U44" s="7"/>
      <c r="V44" s="7"/>
      <c r="W44" s="7"/>
      <c r="X44" s="7"/>
      <c r="Y44" s="7">
        <v>124</v>
      </c>
      <c r="Z44" s="7">
        <v>124</v>
      </c>
      <c r="AA44" s="7">
        <v>127</v>
      </c>
      <c r="AB44" s="7"/>
      <c r="AC44" s="7">
        <v>20</v>
      </c>
      <c r="AD44" s="7"/>
      <c r="AE44" s="7">
        <v>14</v>
      </c>
      <c r="AF44" s="7">
        <v>9</v>
      </c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>
        <v>17</v>
      </c>
      <c r="AU44" s="7">
        <v>17</v>
      </c>
      <c r="AV44" s="7"/>
      <c r="AW44" s="7"/>
      <c r="AX44" s="7">
        <v>14</v>
      </c>
      <c r="AY44" s="7"/>
      <c r="AZ44" s="7">
        <v>14</v>
      </c>
      <c r="BA44" s="7">
        <v>40</v>
      </c>
      <c r="BB44" s="7">
        <v>322</v>
      </c>
      <c r="BC44" s="7"/>
      <c r="BD44" s="7"/>
      <c r="BE44" s="7">
        <v>381</v>
      </c>
      <c r="BF44" s="7">
        <v>1</v>
      </c>
      <c r="BG44" s="7">
        <v>125</v>
      </c>
      <c r="BH44" s="7">
        <v>40</v>
      </c>
      <c r="BI44" s="7">
        <v>482</v>
      </c>
      <c r="BJ44" s="7"/>
      <c r="BK44" s="7"/>
      <c r="BL44" s="7">
        <v>1</v>
      </c>
      <c r="BM44" s="7"/>
      <c r="BN44" s="7">
        <v>407</v>
      </c>
      <c r="BO44" s="7">
        <v>391</v>
      </c>
      <c r="BP44" s="7"/>
      <c r="BQ44" s="7"/>
      <c r="BR44" s="7"/>
      <c r="BS44" s="7">
        <v>392</v>
      </c>
      <c r="BT44" s="7">
        <v>316</v>
      </c>
      <c r="BU44" s="7">
        <v>316</v>
      </c>
      <c r="BV44" s="7"/>
      <c r="BW44" s="7"/>
      <c r="BZ44" s="22"/>
    </row>
    <row r="45" spans="1:78" ht="20.100000000000001" customHeight="1" x14ac:dyDescent="0.3">
      <c r="A45" s="13">
        <v>39</v>
      </c>
      <c r="B45" s="4" t="s">
        <v>341</v>
      </c>
      <c r="C45" s="69" t="s">
        <v>161</v>
      </c>
      <c r="D45" s="20"/>
      <c r="E45" s="20"/>
      <c r="F45" s="2">
        <v>93484384970</v>
      </c>
      <c r="H45" s="3"/>
      <c r="J45" s="4" t="s">
        <v>39</v>
      </c>
      <c r="K45" s="62">
        <v>28400</v>
      </c>
      <c r="L45" s="1">
        <v>1</v>
      </c>
      <c r="M45" s="1">
        <v>37</v>
      </c>
      <c r="Q45" s="42" t="s">
        <v>0</v>
      </c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>
        <v>12</v>
      </c>
      <c r="AL45" s="7"/>
      <c r="AM45" s="7"/>
      <c r="AN45" s="7"/>
      <c r="AO45" s="7"/>
      <c r="AP45" s="7"/>
      <c r="AQ45" s="7"/>
      <c r="AR45" s="7"/>
      <c r="AS45" s="7"/>
      <c r="AT45" s="7">
        <v>20</v>
      </c>
      <c r="AU45" s="7">
        <v>19</v>
      </c>
      <c r="AV45" s="7"/>
      <c r="AW45" s="7"/>
      <c r="AX45" s="7">
        <v>18</v>
      </c>
      <c r="AY45" s="7"/>
      <c r="AZ45" s="7">
        <v>17</v>
      </c>
      <c r="BA45" s="7">
        <v>17</v>
      </c>
      <c r="BB45" s="7">
        <v>35</v>
      </c>
      <c r="BC45" s="7"/>
      <c r="BD45" s="7"/>
      <c r="BE45" s="7">
        <v>32</v>
      </c>
      <c r="BF45" s="7">
        <v>29</v>
      </c>
      <c r="BG45" s="7">
        <v>31</v>
      </c>
      <c r="BH45" s="7">
        <v>17</v>
      </c>
      <c r="BI45" s="7">
        <v>25</v>
      </c>
      <c r="BJ45" s="7"/>
      <c r="BK45" s="7"/>
      <c r="BL45" s="7">
        <v>11</v>
      </c>
      <c r="BM45" s="7"/>
      <c r="BN45" s="7">
        <v>9</v>
      </c>
      <c r="BO45" s="7">
        <v>8</v>
      </c>
      <c r="BP45" s="7"/>
      <c r="BQ45" s="7"/>
      <c r="BR45" s="7"/>
      <c r="BS45" s="7">
        <v>8</v>
      </c>
      <c r="BT45" s="7">
        <v>8</v>
      </c>
      <c r="BU45" s="7">
        <v>8</v>
      </c>
      <c r="BV45" s="7"/>
      <c r="BW45" s="7"/>
      <c r="BZ45" s="22"/>
    </row>
    <row r="46" spans="1:78" ht="20.100000000000001" customHeight="1" x14ac:dyDescent="0.3">
      <c r="A46" s="13">
        <v>40</v>
      </c>
      <c r="B46" s="4" t="s">
        <v>341</v>
      </c>
      <c r="C46" s="69" t="s">
        <v>161</v>
      </c>
      <c r="D46" s="20"/>
      <c r="E46" s="20"/>
      <c r="F46" s="2">
        <v>93484384970</v>
      </c>
      <c r="H46" s="3"/>
      <c r="J46" s="4" t="s">
        <v>40</v>
      </c>
      <c r="K46" s="62">
        <v>15700</v>
      </c>
      <c r="L46" s="1">
        <v>1</v>
      </c>
      <c r="M46" s="1">
        <v>36</v>
      </c>
      <c r="Q46" s="42" t="s">
        <v>0</v>
      </c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>
        <v>18</v>
      </c>
      <c r="AL46" s="7"/>
      <c r="AM46" s="7"/>
      <c r="AN46" s="7"/>
      <c r="AO46" s="7"/>
      <c r="AP46" s="7"/>
      <c r="AQ46" s="7"/>
      <c r="AR46" s="7"/>
      <c r="AS46" s="7"/>
      <c r="AT46" s="7">
        <v>20</v>
      </c>
      <c r="AU46" s="7">
        <v>20</v>
      </c>
      <c r="AV46" s="7"/>
      <c r="AW46" s="7"/>
      <c r="AX46" s="7">
        <v>16</v>
      </c>
      <c r="AY46" s="7"/>
      <c r="AZ46" s="7">
        <v>15</v>
      </c>
      <c r="BA46" s="7">
        <v>56</v>
      </c>
      <c r="BB46" s="7">
        <v>386</v>
      </c>
      <c r="BC46" s="7"/>
      <c r="BD46" s="7"/>
      <c r="BE46" s="7">
        <v>54</v>
      </c>
      <c r="BF46" s="7">
        <v>59</v>
      </c>
      <c r="BG46" s="7">
        <v>63</v>
      </c>
      <c r="BH46" s="7">
        <v>56</v>
      </c>
      <c r="BI46" s="7">
        <v>62</v>
      </c>
      <c r="BJ46" s="7"/>
      <c r="BK46" s="7"/>
      <c r="BL46" s="7">
        <v>321</v>
      </c>
      <c r="BM46" s="7"/>
      <c r="BN46" s="7">
        <v>19</v>
      </c>
      <c r="BO46" s="7">
        <v>21</v>
      </c>
      <c r="BP46" s="7"/>
      <c r="BQ46" s="7"/>
      <c r="BR46" s="7"/>
      <c r="BS46" s="7">
        <v>51</v>
      </c>
      <c r="BT46" s="7"/>
      <c r="BU46" s="7">
        <v>31</v>
      </c>
      <c r="BV46" s="7"/>
      <c r="BW46" s="7"/>
      <c r="BZ46" s="22"/>
    </row>
    <row r="47" spans="1:78" ht="20.100000000000001" customHeight="1" thickBot="1" x14ac:dyDescent="0.35">
      <c r="A47" s="13">
        <v>41</v>
      </c>
      <c r="B47" s="91" t="s">
        <v>341</v>
      </c>
      <c r="C47" s="93" t="s">
        <v>161</v>
      </c>
      <c r="D47" s="94"/>
      <c r="E47" s="94"/>
      <c r="F47" s="96">
        <v>93484384970</v>
      </c>
      <c r="G47" s="97"/>
      <c r="H47" s="97"/>
      <c r="I47" s="97"/>
      <c r="J47" s="91" t="s">
        <v>38</v>
      </c>
      <c r="K47" s="62">
        <v>5762</v>
      </c>
      <c r="L47" s="98">
        <v>1</v>
      </c>
      <c r="M47" s="98">
        <v>38</v>
      </c>
      <c r="N47" s="98"/>
      <c r="O47" s="98"/>
      <c r="P47" s="98"/>
      <c r="Q47" s="42" t="s">
        <v>0</v>
      </c>
      <c r="R47" s="7">
        <v>3</v>
      </c>
      <c r="S47" s="7">
        <v>1</v>
      </c>
      <c r="T47" s="7">
        <v>1</v>
      </c>
      <c r="U47" s="7"/>
      <c r="V47" s="7" t="s">
        <v>36</v>
      </c>
      <c r="W47" s="7">
        <v>50</v>
      </c>
      <c r="X47" s="7">
        <v>41</v>
      </c>
      <c r="Y47" s="7">
        <v>103</v>
      </c>
      <c r="Z47" s="7">
        <v>103</v>
      </c>
      <c r="AA47" s="7">
        <v>41</v>
      </c>
      <c r="AB47" s="7"/>
      <c r="AC47" s="7"/>
      <c r="AD47" s="7"/>
      <c r="AE47" s="7">
        <v>11</v>
      </c>
      <c r="AF47" s="7">
        <v>8</v>
      </c>
      <c r="AG47" s="7"/>
      <c r="AH47" s="7"/>
      <c r="AI47" s="7"/>
      <c r="AJ47" s="7"/>
      <c r="AK47" s="7">
        <v>14</v>
      </c>
      <c r="AL47" s="7"/>
      <c r="AM47" s="7"/>
      <c r="AN47" s="7"/>
      <c r="AO47" s="7"/>
      <c r="AP47" s="7"/>
      <c r="AQ47" s="7"/>
      <c r="AR47" s="7"/>
      <c r="AS47" s="7"/>
      <c r="AT47" s="7">
        <v>20</v>
      </c>
      <c r="AU47" s="7">
        <v>20</v>
      </c>
      <c r="AV47" s="7"/>
      <c r="AW47" s="7"/>
      <c r="AX47" s="7">
        <v>20</v>
      </c>
      <c r="AY47" s="7"/>
      <c r="AZ47" s="7">
        <v>18</v>
      </c>
      <c r="BA47" s="7">
        <v>27</v>
      </c>
      <c r="BB47" s="7">
        <v>57</v>
      </c>
      <c r="BC47" s="7"/>
      <c r="BD47" s="7"/>
      <c r="BE47" s="7">
        <v>37</v>
      </c>
      <c r="BF47" s="7">
        <v>37</v>
      </c>
      <c r="BG47" s="7">
        <v>22</v>
      </c>
      <c r="BH47" s="7">
        <v>27</v>
      </c>
      <c r="BI47" s="7">
        <v>26</v>
      </c>
      <c r="BJ47" s="7"/>
      <c r="BK47" s="7"/>
      <c r="BL47" s="7">
        <v>26</v>
      </c>
      <c r="BM47" s="7"/>
      <c r="BN47" s="7">
        <v>20</v>
      </c>
      <c r="BO47" s="7">
        <v>20</v>
      </c>
      <c r="BP47" s="7"/>
      <c r="BQ47" s="7"/>
      <c r="BR47" s="7"/>
      <c r="BS47" s="7">
        <v>20</v>
      </c>
      <c r="BT47" s="7">
        <v>20</v>
      </c>
      <c r="BU47" s="7">
        <v>20</v>
      </c>
      <c r="BV47" s="7"/>
      <c r="BW47" s="7"/>
      <c r="BY47" s="91"/>
      <c r="BZ47" s="98"/>
    </row>
    <row r="48" spans="1:78" s="8" customFormat="1" ht="20.100000000000001" customHeight="1" x14ac:dyDescent="0.3">
      <c r="A48" s="13">
        <v>42</v>
      </c>
      <c r="B48" s="9" t="s">
        <v>341</v>
      </c>
      <c r="C48" s="70" t="s">
        <v>161</v>
      </c>
      <c r="D48" s="46">
        <f>VLOOKUP(F50,[1]SKU리스트!$H:$L,5,FALSE)</f>
        <v>6900</v>
      </c>
      <c r="E48" s="47">
        <f>VLOOKUP(F50,[1]SKU리스트!$H:$AK,30,FALSE)</f>
        <v>3205.454545454545</v>
      </c>
      <c r="F48" s="10" t="s">
        <v>188</v>
      </c>
      <c r="G48" s="11"/>
      <c r="H48" s="11"/>
      <c r="I48" s="11"/>
      <c r="J48" s="9"/>
      <c r="K48" s="12"/>
      <c r="M48" s="8">
        <v>42</v>
      </c>
      <c r="Q48" s="44" t="s">
        <v>125</v>
      </c>
      <c r="R48" s="54">
        <v>1</v>
      </c>
      <c r="S48" s="54">
        <v>1</v>
      </c>
      <c r="T48" s="54">
        <v>1</v>
      </c>
      <c r="U48" s="54">
        <v>2</v>
      </c>
      <c r="V48" s="55" t="s">
        <v>221</v>
      </c>
      <c r="W48" s="54">
        <v>1</v>
      </c>
      <c r="X48" s="54">
        <v>1</v>
      </c>
      <c r="Y48" s="54">
        <v>4</v>
      </c>
      <c r="Z48" s="54" t="s">
        <v>221</v>
      </c>
      <c r="AA48" s="54">
        <v>2</v>
      </c>
      <c r="AB48" s="54" t="s">
        <v>221</v>
      </c>
      <c r="AC48" s="54">
        <v>4</v>
      </c>
      <c r="AD48" s="54">
        <v>3</v>
      </c>
      <c r="AE48" s="54">
        <v>1</v>
      </c>
      <c r="AF48" s="54">
        <v>1</v>
      </c>
      <c r="AG48" s="54">
        <v>3</v>
      </c>
      <c r="AH48" s="54">
        <v>3</v>
      </c>
      <c r="AI48" s="54" t="s">
        <v>221</v>
      </c>
      <c r="AJ48" s="54" t="s">
        <v>221</v>
      </c>
      <c r="AK48" s="54">
        <v>2</v>
      </c>
      <c r="AL48" s="54" t="s">
        <v>221</v>
      </c>
      <c r="AM48" s="54" t="s">
        <v>221</v>
      </c>
      <c r="AN48" s="54" t="s">
        <v>221</v>
      </c>
      <c r="AO48" s="54">
        <v>-1</v>
      </c>
      <c r="AP48" s="54" t="s">
        <v>221</v>
      </c>
      <c r="AQ48" s="54">
        <v>3</v>
      </c>
      <c r="AR48" s="54">
        <v>1</v>
      </c>
      <c r="AS48" s="54" t="s">
        <v>221</v>
      </c>
      <c r="AT48" s="54">
        <v>2</v>
      </c>
      <c r="AU48" s="54">
        <v>1</v>
      </c>
      <c r="AV48" s="54">
        <v>1</v>
      </c>
      <c r="AW48" s="54">
        <v>3</v>
      </c>
      <c r="AX48" s="54">
        <v>1</v>
      </c>
      <c r="AY48" s="54">
        <v>3</v>
      </c>
      <c r="AZ48" s="54">
        <v>2</v>
      </c>
      <c r="BA48" s="54">
        <v>2</v>
      </c>
      <c r="BB48" s="54">
        <v>1</v>
      </c>
      <c r="BC48" s="54" t="s">
        <v>221</v>
      </c>
      <c r="BD48" s="54">
        <v>2</v>
      </c>
      <c r="BE48" s="54">
        <v>1</v>
      </c>
      <c r="BF48" s="54">
        <v>3</v>
      </c>
      <c r="BG48" s="54">
        <v>1</v>
      </c>
      <c r="BH48" s="54">
        <v>2</v>
      </c>
      <c r="BI48" s="54" t="s">
        <v>221</v>
      </c>
      <c r="BJ48" s="54" t="s">
        <v>221</v>
      </c>
      <c r="BK48" s="54" t="s">
        <v>221</v>
      </c>
      <c r="BL48" s="54" t="s">
        <v>221</v>
      </c>
      <c r="BM48" s="54" t="s">
        <v>221</v>
      </c>
      <c r="BN48" s="54" t="s">
        <v>221</v>
      </c>
      <c r="BO48" s="54" t="s">
        <v>221</v>
      </c>
      <c r="BP48" s="54">
        <v>1</v>
      </c>
      <c r="BQ48" s="54" t="s">
        <v>221</v>
      </c>
      <c r="BR48" s="54">
        <v>1</v>
      </c>
      <c r="BS48" s="54">
        <v>2</v>
      </c>
      <c r="BT48" s="54" t="s">
        <v>221</v>
      </c>
      <c r="BU48" s="54"/>
      <c r="BV48" s="54"/>
      <c r="BW48" s="54"/>
      <c r="BX48" s="85">
        <f>VLOOKUP(F48,[1]SKU리스트!$H:$AH,27,FALSE)</f>
        <v>9853</v>
      </c>
      <c r="BY48" s="9"/>
    </row>
    <row r="49" spans="1:78" ht="20.100000000000001" customHeight="1" x14ac:dyDescent="0.3">
      <c r="A49" s="13">
        <v>43</v>
      </c>
      <c r="B49" s="4" t="s">
        <v>341</v>
      </c>
      <c r="C49" s="69" t="s">
        <v>161</v>
      </c>
      <c r="D49" s="1"/>
      <c r="E49" s="1"/>
      <c r="F49" s="2" t="s">
        <v>285</v>
      </c>
      <c r="H49" s="3"/>
      <c r="M49" s="1">
        <v>44</v>
      </c>
      <c r="Q49" s="39" t="s">
        <v>282</v>
      </c>
      <c r="R49" s="5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50"/>
      <c r="AL49" s="50"/>
      <c r="AM49" s="50"/>
      <c r="AN49" s="50"/>
      <c r="AO49" s="53">
        <f>SUM(AI48:AO48)</f>
        <v>1</v>
      </c>
      <c r="AP49" s="51">
        <v>1</v>
      </c>
      <c r="AQ49" s="50"/>
      <c r="AR49" s="50"/>
      <c r="AS49" s="50"/>
      <c r="AT49" s="50"/>
      <c r="AU49" s="50"/>
      <c r="AV49" s="53">
        <f>SUM(AP48:AV48)</f>
        <v>8</v>
      </c>
      <c r="AW49" s="50">
        <v>6</v>
      </c>
      <c r="AX49" s="50"/>
      <c r="AY49" s="50"/>
      <c r="AZ49" s="50"/>
      <c r="BA49" s="50"/>
      <c r="BB49" s="50"/>
      <c r="BC49" s="53">
        <f>SUM(AW48:BC48)</f>
        <v>12</v>
      </c>
      <c r="BD49" s="50">
        <v>8</v>
      </c>
      <c r="BE49" s="50"/>
      <c r="BF49" s="50"/>
      <c r="BG49" s="50"/>
      <c r="BH49" s="50"/>
      <c r="BI49" s="50"/>
      <c r="BJ49" s="53">
        <f>SUM(BD48:BJ48)</f>
        <v>9</v>
      </c>
      <c r="BK49" s="50">
        <v>8</v>
      </c>
      <c r="BL49" s="50"/>
      <c r="BM49" s="50"/>
      <c r="BN49" s="50"/>
      <c r="BO49" s="50"/>
      <c r="BP49" s="50"/>
      <c r="BQ49" s="53">
        <f>SUM(BK48:BQ48)</f>
        <v>1</v>
      </c>
      <c r="BR49" s="50">
        <v>2</v>
      </c>
      <c r="BS49" s="50"/>
      <c r="BT49" s="50"/>
      <c r="BU49" s="50"/>
      <c r="BV49" s="50"/>
      <c r="BW49" s="50"/>
    </row>
    <row r="50" spans="1:78" ht="20.100000000000001" customHeight="1" x14ac:dyDescent="0.3">
      <c r="A50" s="13">
        <v>44</v>
      </c>
      <c r="B50" s="4" t="s">
        <v>341</v>
      </c>
      <c r="C50" s="69" t="s">
        <v>161</v>
      </c>
      <c r="F50" s="2">
        <v>93484384971</v>
      </c>
      <c r="H50" s="3"/>
      <c r="M50" s="1">
        <v>43</v>
      </c>
      <c r="Q50" s="41" t="s">
        <v>1</v>
      </c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>
        <f>IFERROR(VLOOKUP($F50,[2]원본!$D:$BX,AI$1,FALSE),"")</f>
        <v>0</v>
      </c>
      <c r="AJ50" s="40">
        <f>IFERROR(VLOOKUP($F50,[2]원본!$D:$BX,AJ$1,FALSE),"")</f>
        <v>0</v>
      </c>
      <c r="AK50" s="40">
        <f>IFERROR(VLOOKUP($F50,[2]원본!$D:$BX,AK$1,FALSE),"")</f>
        <v>0</v>
      </c>
      <c r="AL50" s="40">
        <f>IFERROR(VLOOKUP($F50,[2]원본!$D:$BX,AL$1,FALSE),"")</f>
        <v>0</v>
      </c>
      <c r="AM50" s="40">
        <f>IFERROR(VLOOKUP($F50,[2]원본!$D:$BX,AM$1,FALSE),"")</f>
        <v>0</v>
      </c>
      <c r="AN50" s="40">
        <f>IFERROR(VLOOKUP($F50,[2]원본!$D:$BX,AN$1,FALSE),"")</f>
        <v>0</v>
      </c>
      <c r="AO50" s="40">
        <f>IFERROR(VLOOKUP($F50,[2]원본!$D:$BX,AO$1,FALSE),"")</f>
        <v>0</v>
      </c>
      <c r="AP50" s="40">
        <f>IFERROR(VLOOKUP($F50,[2]원본!$D:$BX,AP$1,FALSE),"")</f>
        <v>0</v>
      </c>
      <c r="AQ50" s="40">
        <f>IFERROR(VLOOKUP($F50,[2]원본!$D:$BX,AQ$1,FALSE),"")</f>
        <v>0</v>
      </c>
      <c r="AR50" s="40">
        <f>IFERROR(VLOOKUP($F50,[2]원본!$D:$BX,AR$1,FALSE),"")</f>
        <v>0</v>
      </c>
      <c r="AS50" s="40">
        <f>IFERROR(VLOOKUP($F50,[2]원본!$D:$BX,AS$1,FALSE),"")</f>
        <v>0</v>
      </c>
      <c r="AT50" s="40">
        <f>IFERROR(VLOOKUP($F50,[2]원본!$D:$BX,AT$1,FALSE),"")</f>
        <v>0</v>
      </c>
      <c r="AU50" s="40">
        <f>IFERROR(VLOOKUP($F50,[2]원본!$D:$BX,AU$1,FALSE),"")</f>
        <v>0</v>
      </c>
      <c r="AV50" s="40">
        <f>IFERROR(VLOOKUP($F50,[2]원본!$D:$BX,AV$1,FALSE),"")</f>
        <v>0</v>
      </c>
      <c r="AW50" s="40">
        <f>IFERROR(VLOOKUP($F50,[2]원본!$D:$BX,AW$1,FALSE),"")</f>
        <v>0</v>
      </c>
      <c r="AX50" s="40">
        <f>IFERROR(VLOOKUP($F50,[2]원본!$D:$BX,AX$1,FALSE),"")</f>
        <v>0</v>
      </c>
      <c r="AY50" s="40">
        <f>IFERROR(VLOOKUP($F50,[2]원본!$D:$BX,AY$1,FALSE),"")</f>
        <v>0</v>
      </c>
      <c r="AZ50" s="40">
        <f>IFERROR(VLOOKUP($F50,[2]원본!$D:$BX,AZ$1,FALSE),"")</f>
        <v>0</v>
      </c>
      <c r="BA50" s="40">
        <f>IFERROR(VLOOKUP($F50,[2]원본!$D:$BX,BA$1,FALSE),"")</f>
        <v>0</v>
      </c>
      <c r="BB50" s="40">
        <f>IFERROR(VLOOKUP($F50,[2]원본!$D:$BX,BB$1,FALSE),"")</f>
        <v>0</v>
      </c>
      <c r="BC50" s="40">
        <f>IFERROR(VLOOKUP($F50,[2]원본!$D:$BX,BC$1,FALSE),"")</f>
        <v>0</v>
      </c>
      <c r="BD50" s="40">
        <f>IFERROR(VLOOKUP($F50,[2]원본!$D:$BX,BD$1,FALSE),"")</f>
        <v>0</v>
      </c>
      <c r="BE50" s="40">
        <f>IFERROR(VLOOKUP($F50,[2]원본!$D:$BX,BE$1,FALSE),"")</f>
        <v>0</v>
      </c>
      <c r="BF50" s="40">
        <f>IFERROR(VLOOKUP($F50,[2]원본!$D:$BX,BF$1,FALSE),"")</f>
        <v>0</v>
      </c>
      <c r="BG50" s="40">
        <f>IFERROR(VLOOKUP($F50,[2]원본!$D:$BX,BG$1,FALSE),"")</f>
        <v>0</v>
      </c>
      <c r="BH50" s="40">
        <f>IFERROR(VLOOKUP($F50,[2]원본!$D:$BX,BH$1,FALSE),"")</f>
        <v>0</v>
      </c>
      <c r="BI50" s="40">
        <f>IFERROR(VLOOKUP($F50,[2]원본!$D:$BX,BI$1,FALSE),"")</f>
        <v>0</v>
      </c>
      <c r="BJ50" s="40">
        <f>IFERROR(VLOOKUP($F50,[2]원본!$D:$BX,BJ$1,FALSE),"")</f>
        <v>0</v>
      </c>
      <c r="BK50" s="40">
        <f>IFERROR(VLOOKUP($F50,[2]원본!$D:$BX,BK$1,FALSE),"")</f>
        <v>0</v>
      </c>
      <c r="BL50" s="40">
        <f>IFERROR(VLOOKUP($F50,[2]원본!$D:$BX,BL$1,FALSE),"")</f>
        <v>0</v>
      </c>
      <c r="BM50" s="40">
        <f>IFERROR(VLOOKUP($F50,[2]원본!$D:$BX,BM$1,FALSE),"")</f>
        <v>0</v>
      </c>
      <c r="BN50" s="40">
        <f>IFERROR(VLOOKUP($F50,[2]원본!$D:$BX,BN$1,FALSE),"")</f>
        <v>0</v>
      </c>
      <c r="BO50" s="40">
        <f>IFERROR(VLOOKUP($F50,[2]원본!$D:$BX,BO$1,FALSE),"")</f>
        <v>0</v>
      </c>
      <c r="BP50" s="40">
        <f>IFERROR(VLOOKUP($F50,[2]원본!$D:$BX,BP$1,FALSE),"")</f>
        <v>0</v>
      </c>
      <c r="BQ50" s="40">
        <f>IFERROR(VLOOKUP($F50,[2]원본!$D:$BX,BQ$1,FALSE),"")</f>
        <v>0</v>
      </c>
      <c r="BR50" s="40">
        <f>IFERROR(VLOOKUP($F50,[2]원본!$D:$BX,BR$1,FALSE),"")</f>
        <v>0</v>
      </c>
      <c r="BS50" s="40">
        <f>IFERROR(VLOOKUP($F50,[2]원본!$D:$BX,BS$1,FALSE),"")</f>
        <v>0</v>
      </c>
      <c r="BT50" s="40">
        <f>IFERROR(VLOOKUP($F50,[2]원본!$D:$BX,BT$1,FALSE),"")</f>
        <v>0</v>
      </c>
      <c r="BU50" s="40">
        <f>IFERROR(VLOOKUP($F50,[2]원본!$D:$BX,BU$1,FALSE),"")</f>
        <v>0</v>
      </c>
      <c r="BV50" s="40" t="str">
        <f>IFERROR(VLOOKUP($F50,#REF!,BV$1,FALSE),"")</f>
        <v/>
      </c>
      <c r="BW50" s="40"/>
      <c r="BX50" s="26">
        <f>(SUM(R50:BW50)*D48)-(SUM(R50:BW50)*E48)</f>
        <v>0</v>
      </c>
      <c r="BZ50" s="100" t="str">
        <f>IFERROR(VLOOKUP($F50,#REF!,BZ$1,FALSE),"")</f>
        <v/>
      </c>
    </row>
    <row r="51" spans="1:78" ht="20.100000000000001" customHeight="1" x14ac:dyDescent="0.3">
      <c r="A51" s="13">
        <v>45</v>
      </c>
      <c r="B51" s="4" t="s">
        <v>341</v>
      </c>
      <c r="C51" s="69" t="s">
        <v>161</v>
      </c>
      <c r="D51" s="82" t="s">
        <v>164</v>
      </c>
      <c r="F51" s="2">
        <v>93484384971</v>
      </c>
      <c r="G51" s="3" t="s">
        <v>127</v>
      </c>
      <c r="H51" s="3"/>
      <c r="J51" s="4" t="s">
        <v>35</v>
      </c>
      <c r="K51" s="62">
        <v>99500</v>
      </c>
      <c r="L51" s="1">
        <v>1</v>
      </c>
      <c r="M51" s="1">
        <v>45</v>
      </c>
      <c r="Q51" s="42" t="s">
        <v>0</v>
      </c>
      <c r="R51" s="7"/>
      <c r="S51" s="7"/>
      <c r="T51" s="7"/>
      <c r="U51" s="7"/>
      <c r="V51" s="7"/>
      <c r="W51" s="7"/>
      <c r="X51" s="7"/>
      <c r="Y51" s="7" t="s">
        <v>36</v>
      </c>
      <c r="Z51" s="7">
        <v>114</v>
      </c>
      <c r="AA51" s="7">
        <v>114</v>
      </c>
      <c r="AB51" s="7"/>
      <c r="AC51" s="7">
        <v>15</v>
      </c>
      <c r="AD51" s="7"/>
      <c r="AE51" s="7">
        <v>14</v>
      </c>
      <c r="AF51" s="7">
        <v>14</v>
      </c>
      <c r="AG51" s="7"/>
      <c r="AH51" s="7"/>
      <c r="AI51" s="7"/>
      <c r="AJ51" s="7"/>
      <c r="AK51" s="7">
        <v>40</v>
      </c>
      <c r="AL51" s="7"/>
      <c r="AM51" s="7"/>
      <c r="AN51" s="7"/>
      <c r="AO51" s="7"/>
      <c r="AP51" s="7"/>
      <c r="AQ51" s="7"/>
      <c r="AR51" s="7"/>
      <c r="AS51" s="7"/>
      <c r="AT51" s="7">
        <v>38</v>
      </c>
      <c r="AU51" s="7">
        <v>37</v>
      </c>
      <c r="AV51" s="7"/>
      <c r="AW51" s="7"/>
      <c r="AX51" s="7">
        <v>22</v>
      </c>
      <c r="AY51" s="7"/>
      <c r="AZ51" s="7">
        <v>22</v>
      </c>
      <c r="BA51" s="7">
        <v>62</v>
      </c>
      <c r="BB51" s="7">
        <v>0</v>
      </c>
      <c r="BC51" s="7"/>
      <c r="BD51" s="7"/>
      <c r="BE51" s="7">
        <v>380</v>
      </c>
      <c r="BF51" s="7">
        <v>362</v>
      </c>
      <c r="BG51" s="7"/>
      <c r="BH51" s="7">
        <v>62</v>
      </c>
      <c r="BI51" s="7">
        <v>316</v>
      </c>
      <c r="BJ51" s="7"/>
      <c r="BK51" s="7"/>
      <c r="BL51" s="7"/>
      <c r="BM51" s="7"/>
      <c r="BN51" s="7">
        <v>411</v>
      </c>
      <c r="BO51" s="7">
        <v>35</v>
      </c>
      <c r="BP51" s="7"/>
      <c r="BQ51" s="7"/>
      <c r="BR51" s="7"/>
      <c r="BS51" s="7"/>
      <c r="BT51" s="7"/>
      <c r="BU51" s="7"/>
      <c r="BV51" s="7"/>
      <c r="BW51" s="7"/>
    </row>
    <row r="52" spans="1:78" ht="20.100000000000001" customHeight="1" x14ac:dyDescent="0.3">
      <c r="A52" s="13">
        <v>46</v>
      </c>
      <c r="B52" s="91" t="s">
        <v>341</v>
      </c>
      <c r="C52" s="93" t="s">
        <v>161</v>
      </c>
      <c r="D52" s="94"/>
      <c r="E52" s="94"/>
      <c r="F52" s="96">
        <v>93484384971</v>
      </c>
      <c r="G52" s="97"/>
      <c r="H52" s="97"/>
      <c r="I52" s="97"/>
      <c r="J52" s="91" t="s">
        <v>37</v>
      </c>
      <c r="K52" s="62">
        <v>75500</v>
      </c>
      <c r="L52" s="98">
        <v>1</v>
      </c>
      <c r="M52" s="98">
        <v>49</v>
      </c>
      <c r="N52" s="98"/>
      <c r="O52" s="98"/>
      <c r="P52" s="98"/>
      <c r="Q52" s="42" t="s">
        <v>0</v>
      </c>
      <c r="R52" s="7"/>
      <c r="S52" s="7"/>
      <c r="T52" s="7"/>
      <c r="U52" s="7"/>
      <c r="V52" s="7"/>
      <c r="W52" s="7"/>
      <c r="X52" s="7"/>
      <c r="Y52" s="7">
        <v>124</v>
      </c>
      <c r="Z52" s="7">
        <v>124</v>
      </c>
      <c r="AA52" s="7">
        <v>124</v>
      </c>
      <c r="AB52" s="7"/>
      <c r="AC52" s="7">
        <v>20</v>
      </c>
      <c r="AD52" s="7"/>
      <c r="AE52" s="7">
        <v>3</v>
      </c>
      <c r="AF52" s="7">
        <v>14</v>
      </c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>
        <v>20</v>
      </c>
      <c r="AU52" s="7">
        <v>21</v>
      </c>
      <c r="AV52" s="7"/>
      <c r="AW52" s="7"/>
      <c r="AX52" s="7">
        <v>16</v>
      </c>
      <c r="AY52" s="7"/>
      <c r="AZ52" s="7">
        <v>16</v>
      </c>
      <c r="BA52" s="7">
        <v>50</v>
      </c>
      <c r="BB52" s="7">
        <v>380</v>
      </c>
      <c r="BC52" s="7"/>
      <c r="BD52" s="7"/>
      <c r="BE52" s="7"/>
      <c r="BF52" s="7">
        <v>315</v>
      </c>
      <c r="BG52" s="7">
        <v>318</v>
      </c>
      <c r="BH52" s="7">
        <v>50</v>
      </c>
      <c r="BI52" s="7">
        <v>482</v>
      </c>
      <c r="BJ52" s="7"/>
      <c r="BK52" s="7"/>
      <c r="BL52" s="7">
        <v>318</v>
      </c>
      <c r="BM52" s="7"/>
      <c r="BN52" s="7">
        <v>478</v>
      </c>
      <c r="BO52" s="7">
        <v>472</v>
      </c>
      <c r="BP52" s="7"/>
      <c r="BQ52" s="7"/>
      <c r="BR52" s="7"/>
      <c r="BS52" s="7">
        <v>317</v>
      </c>
      <c r="BT52" s="7">
        <v>415</v>
      </c>
      <c r="BU52" s="7">
        <v>415</v>
      </c>
      <c r="BV52" s="7"/>
      <c r="BW52" s="7"/>
      <c r="BY52" s="91"/>
      <c r="BZ52" s="98"/>
    </row>
    <row r="53" spans="1:78" ht="20.100000000000001" customHeight="1" x14ac:dyDescent="0.3">
      <c r="A53" s="13">
        <v>47</v>
      </c>
      <c r="B53" s="4" t="s">
        <v>341</v>
      </c>
      <c r="C53" s="69" t="s">
        <v>161</v>
      </c>
      <c r="D53" s="20"/>
      <c r="E53" s="20"/>
      <c r="F53" s="2">
        <v>93484384971</v>
      </c>
      <c r="H53" s="3"/>
      <c r="J53" s="4" t="s">
        <v>39</v>
      </c>
      <c r="K53" s="62">
        <v>28400</v>
      </c>
      <c r="L53" s="1">
        <v>1</v>
      </c>
      <c r="M53" s="1">
        <v>47</v>
      </c>
      <c r="Q53" s="42" t="s">
        <v>0</v>
      </c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>
        <v>15</v>
      </c>
      <c r="AL53" s="7"/>
      <c r="AM53" s="7"/>
      <c r="AN53" s="7"/>
      <c r="AO53" s="7"/>
      <c r="AP53" s="7"/>
      <c r="AQ53" s="7"/>
      <c r="AR53" s="7"/>
      <c r="AS53" s="7"/>
      <c r="AT53" s="7">
        <v>17</v>
      </c>
      <c r="AU53" s="7">
        <v>16</v>
      </c>
      <c r="AV53" s="7"/>
      <c r="AW53" s="7"/>
      <c r="AX53" s="7">
        <v>15</v>
      </c>
      <c r="AY53" s="7"/>
      <c r="AZ53" s="7">
        <v>15</v>
      </c>
      <c r="BA53" s="7">
        <v>17</v>
      </c>
      <c r="BB53" s="7">
        <v>42</v>
      </c>
      <c r="BC53" s="7"/>
      <c r="BD53" s="7"/>
      <c r="BE53" s="7">
        <v>37</v>
      </c>
      <c r="BF53" s="7">
        <v>33</v>
      </c>
      <c r="BG53" s="7">
        <v>30</v>
      </c>
      <c r="BH53" s="7">
        <v>17</v>
      </c>
      <c r="BI53" s="7">
        <v>22</v>
      </c>
      <c r="BJ53" s="7"/>
      <c r="BK53" s="7"/>
      <c r="BL53" s="7">
        <v>22</v>
      </c>
      <c r="BM53" s="7"/>
      <c r="BN53" s="7">
        <v>8</v>
      </c>
      <c r="BO53" s="7">
        <v>8</v>
      </c>
      <c r="BP53" s="7"/>
      <c r="BQ53" s="7"/>
      <c r="BR53" s="7"/>
      <c r="BS53" s="7">
        <v>7</v>
      </c>
      <c r="BT53" s="7">
        <v>7</v>
      </c>
      <c r="BU53" s="7">
        <v>7</v>
      </c>
      <c r="BV53" s="7"/>
      <c r="BW53" s="7"/>
    </row>
    <row r="54" spans="1:78" ht="20.100000000000001" customHeight="1" x14ac:dyDescent="0.3">
      <c r="A54" s="13">
        <v>48</v>
      </c>
      <c r="B54" s="4" t="s">
        <v>341</v>
      </c>
      <c r="C54" s="69" t="s">
        <v>161</v>
      </c>
      <c r="D54" s="20"/>
      <c r="E54" s="20"/>
      <c r="F54" s="2">
        <v>93484384971</v>
      </c>
      <c r="H54" s="3"/>
      <c r="J54" s="4" t="s">
        <v>40</v>
      </c>
      <c r="K54" s="62">
        <v>15700</v>
      </c>
      <c r="L54" s="1">
        <v>1</v>
      </c>
      <c r="M54" s="1">
        <v>46</v>
      </c>
      <c r="Q54" s="42" t="s">
        <v>0</v>
      </c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>
        <v>17</v>
      </c>
      <c r="AL54" s="7"/>
      <c r="AM54" s="7"/>
      <c r="AN54" s="7"/>
      <c r="AO54" s="7"/>
      <c r="AP54" s="7"/>
      <c r="AQ54" s="7"/>
      <c r="AR54" s="7"/>
      <c r="AS54" s="7"/>
      <c r="AT54" s="7">
        <v>28</v>
      </c>
      <c r="AU54" s="7">
        <v>27</v>
      </c>
      <c r="AV54" s="7"/>
      <c r="AW54" s="7"/>
      <c r="AX54" s="7">
        <v>19</v>
      </c>
      <c r="AY54" s="7"/>
      <c r="AZ54" s="7">
        <v>19</v>
      </c>
      <c r="BA54" s="7">
        <v>29</v>
      </c>
      <c r="BB54" s="7">
        <v>477</v>
      </c>
      <c r="BC54" s="7"/>
      <c r="BD54" s="7"/>
      <c r="BE54" s="7">
        <v>57</v>
      </c>
      <c r="BF54" s="7">
        <v>320</v>
      </c>
      <c r="BG54" s="7">
        <v>338</v>
      </c>
      <c r="BH54" s="7">
        <v>29</v>
      </c>
      <c r="BI54" s="7">
        <v>318</v>
      </c>
      <c r="BJ54" s="7"/>
      <c r="BK54" s="7"/>
      <c r="BL54" s="7">
        <v>322</v>
      </c>
      <c r="BM54" s="7"/>
      <c r="BN54" s="7">
        <v>390</v>
      </c>
      <c r="BO54" s="7"/>
      <c r="BP54" s="7"/>
      <c r="BQ54" s="7"/>
      <c r="BR54" s="7"/>
      <c r="BS54" s="7">
        <v>61</v>
      </c>
      <c r="BT54" s="7"/>
      <c r="BU54" s="7">
        <v>299</v>
      </c>
      <c r="BV54" s="7"/>
      <c r="BW54" s="7"/>
    </row>
    <row r="55" spans="1:78" ht="20.100000000000001" customHeight="1" thickBot="1" x14ac:dyDescent="0.35">
      <c r="A55" s="13">
        <v>49</v>
      </c>
      <c r="B55" s="4" t="s">
        <v>341</v>
      </c>
      <c r="C55" s="69" t="s">
        <v>161</v>
      </c>
      <c r="D55" s="20"/>
      <c r="E55" s="20"/>
      <c r="F55" s="2">
        <v>93484384971</v>
      </c>
      <c r="H55" s="3"/>
      <c r="J55" s="4" t="s">
        <v>38</v>
      </c>
      <c r="K55" s="62">
        <v>5762</v>
      </c>
      <c r="L55" s="1">
        <v>1</v>
      </c>
      <c r="M55" s="1">
        <v>48</v>
      </c>
      <c r="Q55" s="42" t="s">
        <v>0</v>
      </c>
      <c r="R55" s="7">
        <v>3</v>
      </c>
      <c r="S55" s="7">
        <v>2</v>
      </c>
      <c r="T55" s="7">
        <v>24</v>
      </c>
      <c r="U55" s="7"/>
      <c r="V55" s="7" t="s">
        <v>36</v>
      </c>
      <c r="W55" s="7">
        <v>36</v>
      </c>
      <c r="X55" s="7">
        <v>49</v>
      </c>
      <c r="Y55" s="7" t="s">
        <v>41</v>
      </c>
      <c r="Z55" s="7">
        <v>55</v>
      </c>
      <c r="AA55" s="7">
        <v>49</v>
      </c>
      <c r="AB55" s="7"/>
      <c r="AC55" s="7">
        <v>15</v>
      </c>
      <c r="AD55" s="7"/>
      <c r="AE55" s="7">
        <v>15</v>
      </c>
      <c r="AF55" s="7">
        <v>14</v>
      </c>
      <c r="AG55" s="7"/>
      <c r="AH55" s="7"/>
      <c r="AI55" s="7"/>
      <c r="AJ55" s="7"/>
      <c r="AK55" s="7">
        <v>24</v>
      </c>
      <c r="AL55" s="7"/>
      <c r="AM55" s="7"/>
      <c r="AN55" s="7"/>
      <c r="AO55" s="7"/>
      <c r="AP55" s="7"/>
      <c r="AQ55" s="7"/>
      <c r="AR55" s="7"/>
      <c r="AS55" s="7"/>
      <c r="AT55" s="7">
        <v>2</v>
      </c>
      <c r="AU55" s="7">
        <v>16</v>
      </c>
      <c r="AV55" s="7"/>
      <c r="AW55" s="7"/>
      <c r="AX55" s="7">
        <v>16</v>
      </c>
      <c r="AY55" s="7"/>
      <c r="AZ55" s="7">
        <v>15</v>
      </c>
      <c r="BA55" s="7">
        <v>43</v>
      </c>
      <c r="BB55" s="7">
        <v>38</v>
      </c>
      <c r="BC55" s="7"/>
      <c r="BD55" s="7"/>
      <c r="BE55" s="7">
        <v>37</v>
      </c>
      <c r="BF55" s="7">
        <v>2</v>
      </c>
      <c r="BG55" s="7">
        <v>22</v>
      </c>
      <c r="BH55" s="7">
        <v>43</v>
      </c>
      <c r="BI55" s="7">
        <v>31</v>
      </c>
      <c r="BJ55" s="7"/>
      <c r="BK55" s="7"/>
      <c r="BL55" s="7">
        <v>26</v>
      </c>
      <c r="BM55" s="7"/>
      <c r="BN55" s="7">
        <v>22</v>
      </c>
      <c r="BO55" s="7">
        <v>22</v>
      </c>
      <c r="BP55" s="7"/>
      <c r="BQ55" s="7"/>
      <c r="BR55" s="7"/>
      <c r="BS55" s="7">
        <v>2</v>
      </c>
      <c r="BT55" s="7">
        <v>2</v>
      </c>
      <c r="BU55" s="7">
        <v>2</v>
      </c>
      <c r="BV55" s="7"/>
      <c r="BW55" s="7"/>
    </row>
    <row r="56" spans="1:78" s="8" customFormat="1" ht="20.100000000000001" customHeight="1" x14ac:dyDescent="0.3">
      <c r="A56" s="13">
        <v>50</v>
      </c>
      <c r="B56" s="9" t="s">
        <v>342</v>
      </c>
      <c r="C56" s="70" t="s">
        <v>161</v>
      </c>
      <c r="D56" s="46">
        <f>VLOOKUP(F58,[1]SKU리스트!$H:$L,5,FALSE)</f>
        <v>13900</v>
      </c>
      <c r="E56" s="47">
        <f>VLOOKUP(F58,[1]SKU리스트!$H:$AK,30,FALSE)</f>
        <v>7985.454545454546</v>
      </c>
      <c r="F56" s="10" t="s">
        <v>189</v>
      </c>
      <c r="G56" s="11"/>
      <c r="H56" s="11"/>
      <c r="I56" s="11"/>
      <c r="J56" s="9"/>
      <c r="K56" s="12"/>
      <c r="M56" s="8">
        <v>50</v>
      </c>
      <c r="Q56" s="44" t="s">
        <v>125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 t="s">
        <v>221</v>
      </c>
      <c r="AG56" s="54">
        <v>6</v>
      </c>
      <c r="AH56" s="54" t="s">
        <v>221</v>
      </c>
      <c r="AI56" s="54">
        <v>7</v>
      </c>
      <c r="AJ56" s="54">
        <v>8</v>
      </c>
      <c r="AK56" s="54">
        <v>9</v>
      </c>
      <c r="AL56" s="54">
        <v>9</v>
      </c>
      <c r="AM56" s="54">
        <v>5</v>
      </c>
      <c r="AN56" s="54" t="s">
        <v>221</v>
      </c>
      <c r="AO56" s="54">
        <v>1</v>
      </c>
      <c r="AP56" s="54">
        <v>6</v>
      </c>
      <c r="AQ56" s="54">
        <v>6</v>
      </c>
      <c r="AR56" s="54">
        <v>3</v>
      </c>
      <c r="AS56" s="54">
        <v>2</v>
      </c>
      <c r="AT56" s="54">
        <v>1</v>
      </c>
      <c r="AU56" s="54">
        <v>2</v>
      </c>
      <c r="AV56" s="54">
        <v>6</v>
      </c>
      <c r="AW56" s="54">
        <v>4</v>
      </c>
      <c r="AX56" s="54">
        <v>13</v>
      </c>
      <c r="AY56" s="54">
        <v>18</v>
      </c>
      <c r="AZ56" s="54">
        <v>15</v>
      </c>
      <c r="BA56" s="54">
        <v>15</v>
      </c>
      <c r="BB56" s="54">
        <v>22</v>
      </c>
      <c r="BC56" s="54">
        <v>21</v>
      </c>
      <c r="BD56" s="54">
        <v>25</v>
      </c>
      <c r="BE56" s="54">
        <v>15</v>
      </c>
      <c r="BF56" s="54">
        <v>3</v>
      </c>
      <c r="BG56" s="54">
        <v>-2</v>
      </c>
      <c r="BH56" s="54" t="s">
        <v>221</v>
      </c>
      <c r="BI56" s="54" t="s">
        <v>221</v>
      </c>
      <c r="BJ56" s="54" t="s">
        <v>221</v>
      </c>
      <c r="BK56" s="54" t="s">
        <v>221</v>
      </c>
      <c r="BL56" s="54" t="s">
        <v>221</v>
      </c>
      <c r="BM56" s="54">
        <v>5</v>
      </c>
      <c r="BN56" s="54">
        <v>4</v>
      </c>
      <c r="BO56" s="54">
        <v>10</v>
      </c>
      <c r="BP56" s="54">
        <v>8</v>
      </c>
      <c r="BQ56" s="54">
        <v>4</v>
      </c>
      <c r="BR56" s="54">
        <v>5</v>
      </c>
      <c r="BS56" s="54">
        <v>6</v>
      </c>
      <c r="BT56" s="54">
        <v>3</v>
      </c>
      <c r="BU56" s="54"/>
      <c r="BV56" s="54"/>
      <c r="BW56" s="54"/>
      <c r="BX56" s="85">
        <f>VLOOKUP(F56,[1]SKU리스트!$H:$AH,27,FALSE)</f>
        <v>100103</v>
      </c>
      <c r="BY56" s="9"/>
    </row>
    <row r="57" spans="1:78" ht="20.100000000000001" customHeight="1" x14ac:dyDescent="0.3">
      <c r="A57" s="13">
        <v>51</v>
      </c>
      <c r="B57" s="91" t="s">
        <v>342</v>
      </c>
      <c r="C57" s="93" t="s">
        <v>161</v>
      </c>
      <c r="D57" s="98"/>
      <c r="E57" s="98"/>
      <c r="F57" s="96" t="s">
        <v>286</v>
      </c>
      <c r="G57" s="97"/>
      <c r="H57" s="97"/>
      <c r="I57" s="97"/>
      <c r="J57" s="91"/>
      <c r="L57" s="98"/>
      <c r="M57" s="98">
        <v>52</v>
      </c>
      <c r="N57" s="98"/>
      <c r="O57" s="98"/>
      <c r="P57" s="98"/>
      <c r="Q57" s="39" t="s">
        <v>282</v>
      </c>
      <c r="R57" s="5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50"/>
      <c r="AL57" s="50"/>
      <c r="AM57" s="50"/>
      <c r="AN57" s="50"/>
      <c r="AO57" s="53">
        <f>SUM(AI56:AO56)</f>
        <v>39</v>
      </c>
      <c r="AP57" s="51">
        <v>38</v>
      </c>
      <c r="AQ57" s="50"/>
      <c r="AR57" s="50"/>
      <c r="AS57" s="50"/>
      <c r="AT57" s="50"/>
      <c r="AU57" s="50"/>
      <c r="AV57" s="53">
        <f>SUM(AP56:AV56)</f>
        <v>26</v>
      </c>
      <c r="AW57" s="50">
        <v>12</v>
      </c>
      <c r="AX57" s="50"/>
      <c r="AY57" s="50"/>
      <c r="AZ57" s="50"/>
      <c r="BA57" s="50"/>
      <c r="BB57" s="50"/>
      <c r="BC57" s="53">
        <f>SUM(AW56:BC56)</f>
        <v>108</v>
      </c>
      <c r="BD57" s="50">
        <v>27</v>
      </c>
      <c r="BE57" s="50"/>
      <c r="BF57" s="50"/>
      <c r="BG57" s="50"/>
      <c r="BH57" s="50"/>
      <c r="BI57" s="50"/>
      <c r="BJ57" s="53">
        <f>SUM(BD56:BJ56)</f>
        <v>41</v>
      </c>
      <c r="BK57" s="50">
        <v>13</v>
      </c>
      <c r="BL57" s="50"/>
      <c r="BM57" s="50"/>
      <c r="BN57" s="50"/>
      <c r="BO57" s="50"/>
      <c r="BP57" s="50"/>
      <c r="BQ57" s="53">
        <f>SUM(BK56:BQ56)</f>
        <v>31</v>
      </c>
      <c r="BR57" s="50">
        <v>12</v>
      </c>
      <c r="BS57" s="50"/>
      <c r="BT57" s="50"/>
      <c r="BU57" s="50"/>
      <c r="BV57" s="50"/>
      <c r="BW57" s="50"/>
      <c r="BY57" s="91"/>
      <c r="BZ57" s="98"/>
    </row>
    <row r="58" spans="1:78" ht="20.100000000000001" customHeight="1" x14ac:dyDescent="0.3">
      <c r="A58" s="13">
        <v>52</v>
      </c>
      <c r="B58" s="91" t="s">
        <v>342</v>
      </c>
      <c r="C58" s="93" t="s">
        <v>161</v>
      </c>
      <c r="D58" s="91"/>
      <c r="E58" s="91"/>
      <c r="F58" s="96">
        <v>93958083412</v>
      </c>
      <c r="G58" s="97"/>
      <c r="H58" s="97"/>
      <c r="I58" s="97"/>
      <c r="J58" s="91"/>
      <c r="L58" s="98"/>
      <c r="M58" s="98">
        <v>51</v>
      </c>
      <c r="N58" s="98"/>
      <c r="O58" s="98"/>
      <c r="P58" s="98"/>
      <c r="Q58" s="41" t="s">
        <v>1</v>
      </c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>
        <f>IFERROR(VLOOKUP($F58,[2]원본!$D:$BX,AI$1,FALSE),"")</f>
        <v>0</v>
      </c>
      <c r="AJ58" s="40">
        <f>IFERROR(VLOOKUP($F58,[2]원본!$D:$BX,AJ$1,FALSE),"")</f>
        <v>0</v>
      </c>
      <c r="AK58" s="40">
        <f>IFERROR(VLOOKUP($F58,[2]원본!$D:$BX,AK$1,FALSE),"")</f>
        <v>0</v>
      </c>
      <c r="AL58" s="40">
        <f>IFERROR(VLOOKUP($F58,[2]원본!$D:$BX,AL$1,FALSE),"")</f>
        <v>0</v>
      </c>
      <c r="AM58" s="40">
        <f>IFERROR(VLOOKUP($F58,[2]원본!$D:$BX,AM$1,FALSE),"")</f>
        <v>0</v>
      </c>
      <c r="AN58" s="40">
        <f>IFERROR(VLOOKUP($F58,[2]원본!$D:$BX,AN$1,FALSE),"")</f>
        <v>0</v>
      </c>
      <c r="AO58" s="40">
        <f>IFERROR(VLOOKUP($F58,[2]원본!$D:$BX,AO$1,FALSE),"")</f>
        <v>0</v>
      </c>
      <c r="AP58" s="40">
        <f>IFERROR(VLOOKUP($F58,[2]원본!$D:$BX,AP$1,FALSE),"")</f>
        <v>0</v>
      </c>
      <c r="AQ58" s="40">
        <f>IFERROR(VLOOKUP($F58,[2]원본!$D:$BX,AQ$1,FALSE),"")</f>
        <v>0</v>
      </c>
      <c r="AR58" s="40">
        <f>IFERROR(VLOOKUP($F58,[2]원본!$D:$BX,AR$1,FALSE),"")</f>
        <v>0</v>
      </c>
      <c r="AS58" s="40">
        <f>IFERROR(VLOOKUP($F58,[2]원본!$D:$BX,AS$1,FALSE),"")</f>
        <v>0</v>
      </c>
      <c r="AT58" s="40">
        <f>IFERROR(VLOOKUP($F58,[2]원본!$D:$BX,AT$1,FALSE),"")</f>
        <v>0</v>
      </c>
      <c r="AU58" s="40">
        <f>IFERROR(VLOOKUP($F58,[2]원본!$D:$BX,AU$1,FALSE),"")</f>
        <v>0</v>
      </c>
      <c r="AV58" s="40">
        <f>IFERROR(VLOOKUP($F58,[2]원본!$D:$BX,AV$1,FALSE),"")</f>
        <v>0</v>
      </c>
      <c r="AW58" s="40">
        <f>IFERROR(VLOOKUP($F58,[2]원본!$D:$BX,AW$1,FALSE),"")</f>
        <v>0</v>
      </c>
      <c r="AX58" s="40">
        <f>IFERROR(VLOOKUP($F58,[2]원본!$D:$BX,AX$1,FALSE),"")</f>
        <v>10</v>
      </c>
      <c r="AY58" s="40">
        <f>IFERROR(VLOOKUP($F58,[2]원본!$D:$BX,AY$1,FALSE),"")</f>
        <v>10</v>
      </c>
      <c r="AZ58" s="40">
        <f>IFERROR(VLOOKUP($F58,[2]원본!$D:$BX,AZ$1,FALSE),"")</f>
        <v>10</v>
      </c>
      <c r="BA58" s="40">
        <f>IFERROR(VLOOKUP($F58,[2]원본!$D:$BX,BA$1,FALSE),"")</f>
        <v>10</v>
      </c>
      <c r="BB58" s="40">
        <f>IFERROR(VLOOKUP($F58,[2]원본!$D:$BX,BB$1,FALSE),"")</f>
        <v>15</v>
      </c>
      <c r="BC58" s="40">
        <f>IFERROR(VLOOKUP($F58,[2]원본!$D:$BX,BC$1,FALSE),"")</f>
        <v>15</v>
      </c>
      <c r="BD58" s="40">
        <f>IFERROR(VLOOKUP($F58,[2]원본!$D:$BX,BD$1,FALSE),"")</f>
        <v>15</v>
      </c>
      <c r="BE58" s="40">
        <f>IFERROR(VLOOKUP($F58,[2]원본!$D:$BX,BE$1,FALSE),"")</f>
        <v>9</v>
      </c>
      <c r="BF58" s="40">
        <f>IFERROR(VLOOKUP($F58,[2]원본!$D:$BX,BF$1,FALSE),"")</f>
        <v>0</v>
      </c>
      <c r="BG58" s="40">
        <f>IFERROR(VLOOKUP($F58,[2]원본!$D:$BX,BG$1,FALSE),"")</f>
        <v>0</v>
      </c>
      <c r="BH58" s="40">
        <f>IFERROR(VLOOKUP($F58,[2]원본!$D:$BX,BH$1,FALSE),"")</f>
        <v>0</v>
      </c>
      <c r="BI58" s="40">
        <f>IFERROR(VLOOKUP($F58,[2]원본!$D:$BX,BI$1,FALSE),"")</f>
        <v>0</v>
      </c>
      <c r="BJ58" s="40">
        <f>IFERROR(VLOOKUP($F58,[2]원본!$D:$BX,BJ$1,FALSE),"")</f>
        <v>0</v>
      </c>
      <c r="BK58" s="40">
        <f>IFERROR(VLOOKUP($F58,[2]원본!$D:$BX,BK$1,FALSE),"")</f>
        <v>0</v>
      </c>
      <c r="BL58" s="40">
        <f>IFERROR(VLOOKUP($F58,[2]원본!$D:$BX,BL$1,FALSE),"")</f>
        <v>0</v>
      </c>
      <c r="BM58" s="40">
        <f>IFERROR(VLOOKUP($F58,[2]원본!$D:$BX,BM$1,FALSE),"")</f>
        <v>0</v>
      </c>
      <c r="BN58" s="40">
        <f>IFERROR(VLOOKUP($F58,[2]원본!$D:$BX,BN$1,FALSE),"")</f>
        <v>0</v>
      </c>
      <c r="BO58" s="40">
        <f>IFERROR(VLOOKUP($F58,[2]원본!$D:$BX,BO$1,FALSE),"")</f>
        <v>0</v>
      </c>
      <c r="BP58" s="40">
        <f>IFERROR(VLOOKUP($F58,[2]원본!$D:$BX,BP$1,FALSE),"")</f>
        <v>0</v>
      </c>
      <c r="BQ58" s="40">
        <f>IFERROR(VLOOKUP($F58,[2]원본!$D:$BX,BQ$1,FALSE),"")</f>
        <v>0</v>
      </c>
      <c r="BR58" s="40">
        <f>IFERROR(VLOOKUP($F58,[2]원본!$D:$BX,BR$1,FALSE),"")</f>
        <v>0</v>
      </c>
      <c r="BS58" s="40">
        <f>IFERROR(VLOOKUP($F58,[2]원본!$D:$BX,BS$1,FALSE),"")</f>
        <v>0</v>
      </c>
      <c r="BT58" s="40">
        <f>IFERROR(VLOOKUP($F58,[2]원본!$D:$BX,BT$1,FALSE),"")</f>
        <v>0</v>
      </c>
      <c r="BU58" s="40">
        <f>IFERROR(VLOOKUP($F58,[2]원본!$D:$BX,BU$1,FALSE),"")</f>
        <v>0</v>
      </c>
      <c r="BV58" s="40" t="str">
        <f>IFERROR(VLOOKUP($F58,#REF!,BV$1,FALSE),"")</f>
        <v/>
      </c>
      <c r="BW58" s="40"/>
      <c r="BX58" s="26">
        <f>(SUM(R58:BW58)*D56)-(SUM(R58:BW58)*E56)</f>
        <v>555967.27272727271</v>
      </c>
      <c r="BY58" s="91"/>
      <c r="BZ58" s="100" t="str">
        <f>IFERROR(VLOOKUP($F58,#REF!,BZ$1,FALSE),"")</f>
        <v/>
      </c>
    </row>
    <row r="59" spans="1:78" ht="20.100000000000001" customHeight="1" x14ac:dyDescent="0.3">
      <c r="A59" s="13">
        <v>53</v>
      </c>
      <c r="B59" s="4" t="s">
        <v>342</v>
      </c>
      <c r="C59" s="69" t="s">
        <v>161</v>
      </c>
      <c r="D59" s="82" t="s">
        <v>9</v>
      </c>
      <c r="F59" s="2">
        <v>93958083412</v>
      </c>
      <c r="G59" s="3" t="s">
        <v>42</v>
      </c>
      <c r="H59" s="3"/>
      <c r="J59" s="4" t="s">
        <v>44</v>
      </c>
      <c r="K59" s="62">
        <v>90000</v>
      </c>
      <c r="L59" s="1">
        <v>1</v>
      </c>
      <c r="M59" s="1">
        <v>54</v>
      </c>
      <c r="Q59" s="42" t="s">
        <v>0</v>
      </c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>
        <v>19</v>
      </c>
      <c r="AU59" s="7">
        <v>18</v>
      </c>
      <c r="AV59" s="7"/>
      <c r="AW59" s="7"/>
      <c r="AX59" s="7">
        <v>19</v>
      </c>
      <c r="AY59" s="7"/>
      <c r="AZ59" s="7">
        <v>19</v>
      </c>
      <c r="BA59" s="7">
        <v>409</v>
      </c>
      <c r="BB59" s="7">
        <v>40</v>
      </c>
      <c r="BC59" s="7"/>
      <c r="BD59" s="7"/>
      <c r="BE59" s="7">
        <v>34</v>
      </c>
      <c r="BF59" s="7">
        <v>30</v>
      </c>
      <c r="BG59" s="7"/>
      <c r="BH59" s="7">
        <v>409</v>
      </c>
      <c r="BI59" s="7"/>
      <c r="BJ59" s="7"/>
      <c r="BK59" s="7"/>
      <c r="BL59" s="7"/>
      <c r="BM59" s="7"/>
      <c r="BN59" s="7">
        <v>24</v>
      </c>
      <c r="BO59" s="7">
        <v>20</v>
      </c>
      <c r="BP59" s="7"/>
      <c r="BQ59" s="7"/>
      <c r="BR59" s="7"/>
      <c r="BS59" s="7">
        <v>10</v>
      </c>
      <c r="BT59" s="7">
        <v>10</v>
      </c>
      <c r="BU59" s="7">
        <v>10</v>
      </c>
      <c r="BV59" s="7"/>
      <c r="BW59" s="7"/>
    </row>
    <row r="60" spans="1:78" ht="20.100000000000001" customHeight="1" x14ac:dyDescent="0.3">
      <c r="A60" s="13">
        <v>54</v>
      </c>
      <c r="B60" s="4" t="s">
        <v>342</v>
      </c>
      <c r="C60" s="69" t="s">
        <v>161</v>
      </c>
      <c r="F60" s="2">
        <v>93958083412</v>
      </c>
      <c r="H60" s="3"/>
      <c r="J60" s="4" t="s">
        <v>45</v>
      </c>
      <c r="K60" s="62">
        <v>77800</v>
      </c>
      <c r="L60" s="1">
        <v>1</v>
      </c>
      <c r="M60" s="1">
        <v>53</v>
      </c>
      <c r="Q60" s="42" t="s">
        <v>0</v>
      </c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>
        <v>19</v>
      </c>
      <c r="AU60" s="7">
        <v>20</v>
      </c>
      <c r="AV60" s="7"/>
      <c r="AW60" s="7"/>
      <c r="AX60" s="7">
        <v>20</v>
      </c>
      <c r="AY60" s="7"/>
      <c r="AZ60" s="7">
        <v>20</v>
      </c>
      <c r="BA60" s="7">
        <v>494</v>
      </c>
      <c r="BB60" s="7">
        <v>0</v>
      </c>
      <c r="BC60" s="7"/>
      <c r="BD60" s="7"/>
      <c r="BE60" s="7">
        <v>39</v>
      </c>
      <c r="BF60" s="7"/>
      <c r="BG60" s="7"/>
      <c r="BH60" s="7">
        <v>494</v>
      </c>
      <c r="BI60" s="7"/>
      <c r="BJ60" s="7"/>
      <c r="BK60" s="7"/>
      <c r="BL60" s="7"/>
      <c r="BM60" s="7"/>
      <c r="BN60" s="7">
        <v>15</v>
      </c>
      <c r="BO60" s="7">
        <v>15</v>
      </c>
      <c r="BP60" s="7"/>
      <c r="BQ60" s="7"/>
      <c r="BR60" s="7"/>
      <c r="BS60" s="7">
        <v>15</v>
      </c>
      <c r="BT60" s="7">
        <v>15</v>
      </c>
      <c r="BU60" s="7">
        <v>15</v>
      </c>
      <c r="BV60" s="7"/>
      <c r="BW60" s="7"/>
    </row>
    <row r="61" spans="1:78" s="14" customFormat="1" ht="20.100000000000001" customHeight="1" thickBot="1" x14ac:dyDescent="0.35">
      <c r="A61" s="13">
        <v>55</v>
      </c>
      <c r="B61" s="15" t="s">
        <v>342</v>
      </c>
      <c r="C61" s="71" t="s">
        <v>161</v>
      </c>
      <c r="D61" s="21"/>
      <c r="E61" s="21"/>
      <c r="F61" s="16">
        <v>93958083412</v>
      </c>
      <c r="G61" s="17"/>
      <c r="H61" s="17"/>
      <c r="I61" s="17"/>
      <c r="J61" s="15" t="s">
        <v>43</v>
      </c>
      <c r="K61" s="18">
        <v>69100</v>
      </c>
      <c r="M61" s="14">
        <v>55</v>
      </c>
      <c r="Q61" s="19" t="s">
        <v>185</v>
      </c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18"/>
      <c r="BY61" s="15"/>
    </row>
    <row r="62" spans="1:78" s="8" customFormat="1" ht="20.100000000000001" customHeight="1" x14ac:dyDescent="0.3">
      <c r="A62" s="13">
        <v>56</v>
      </c>
      <c r="B62" s="9" t="s">
        <v>343</v>
      </c>
      <c r="C62" s="70" t="s">
        <v>161</v>
      </c>
      <c r="D62" s="46">
        <f>VLOOKUP(F64,[1]SKU리스트!$H:$L,5,FALSE)</f>
        <v>6500</v>
      </c>
      <c r="E62" s="47">
        <f>VLOOKUP(F64,[1]SKU리스트!$H:$AK,30,FALSE)</f>
        <v>3462.7272727272725</v>
      </c>
      <c r="F62" s="10" t="s">
        <v>199</v>
      </c>
      <c r="G62" s="11"/>
      <c r="H62" s="11"/>
      <c r="I62" s="11"/>
      <c r="J62" s="9"/>
      <c r="K62" s="12"/>
      <c r="M62" s="8">
        <v>56</v>
      </c>
      <c r="Q62" s="44" t="s">
        <v>125</v>
      </c>
      <c r="R62" s="54">
        <v>76</v>
      </c>
      <c r="S62" s="54">
        <v>42</v>
      </c>
      <c r="T62" s="54">
        <v>52</v>
      </c>
      <c r="U62" s="54">
        <v>45</v>
      </c>
      <c r="V62" s="54">
        <v>36</v>
      </c>
      <c r="W62" s="54">
        <v>40</v>
      </c>
      <c r="X62" s="54">
        <v>51</v>
      </c>
      <c r="Y62" s="54">
        <v>40</v>
      </c>
      <c r="Z62" s="54">
        <v>32</v>
      </c>
      <c r="AA62" s="54">
        <v>54</v>
      </c>
      <c r="AB62" s="54">
        <v>50</v>
      </c>
      <c r="AC62" s="54">
        <v>47</v>
      </c>
      <c r="AD62" s="54">
        <v>56</v>
      </c>
      <c r="AE62" s="54">
        <v>57</v>
      </c>
      <c r="AF62" s="54">
        <v>35</v>
      </c>
      <c r="AG62" s="54">
        <v>39</v>
      </c>
      <c r="AH62" s="54">
        <v>37</v>
      </c>
      <c r="AI62" s="54">
        <v>55</v>
      </c>
      <c r="AJ62" s="54">
        <v>50</v>
      </c>
      <c r="AK62" s="54">
        <v>39</v>
      </c>
      <c r="AL62" s="54">
        <v>43</v>
      </c>
      <c r="AM62" s="54">
        <v>55</v>
      </c>
      <c r="AN62" s="54">
        <v>37</v>
      </c>
      <c r="AO62" s="54">
        <v>56</v>
      </c>
      <c r="AP62" s="54">
        <v>45</v>
      </c>
      <c r="AQ62" s="54">
        <v>42</v>
      </c>
      <c r="AR62" s="54">
        <v>40</v>
      </c>
      <c r="AS62" s="54">
        <v>38</v>
      </c>
      <c r="AT62" s="54">
        <v>40</v>
      </c>
      <c r="AU62" s="54">
        <v>71</v>
      </c>
      <c r="AV62" s="54">
        <v>73</v>
      </c>
      <c r="AW62" s="54">
        <v>76</v>
      </c>
      <c r="AX62" s="54">
        <v>40</v>
      </c>
      <c r="AY62" s="54">
        <v>25</v>
      </c>
      <c r="AZ62" s="54">
        <v>41</v>
      </c>
      <c r="BA62" s="54">
        <v>50</v>
      </c>
      <c r="BB62" s="54">
        <v>53</v>
      </c>
      <c r="BC62" s="54">
        <v>67</v>
      </c>
      <c r="BD62" s="54">
        <v>59</v>
      </c>
      <c r="BE62" s="54">
        <v>48</v>
      </c>
      <c r="BF62" s="54">
        <v>51</v>
      </c>
      <c r="BG62" s="54">
        <v>50</v>
      </c>
      <c r="BH62" s="54">
        <v>47</v>
      </c>
      <c r="BI62" s="54">
        <v>57</v>
      </c>
      <c r="BJ62" s="54">
        <v>71</v>
      </c>
      <c r="BK62" s="54">
        <v>69</v>
      </c>
      <c r="BL62" s="54">
        <v>60</v>
      </c>
      <c r="BM62" s="54">
        <v>73</v>
      </c>
      <c r="BN62" s="54">
        <v>59</v>
      </c>
      <c r="BO62" s="54">
        <v>93</v>
      </c>
      <c r="BP62" s="54">
        <v>102</v>
      </c>
      <c r="BQ62" s="54">
        <v>97</v>
      </c>
      <c r="BR62" s="54">
        <v>169</v>
      </c>
      <c r="BS62" s="54">
        <v>72</v>
      </c>
      <c r="BT62" s="54">
        <v>51</v>
      </c>
      <c r="BU62" s="54"/>
      <c r="BV62" s="54"/>
      <c r="BW62" s="54"/>
      <c r="BX62" s="85">
        <f>VLOOKUP(F62,[1]SKU리스트!$H:$AH,27,FALSE)</f>
        <v>859265</v>
      </c>
      <c r="BY62" s="9"/>
    </row>
    <row r="63" spans="1:78" ht="20.100000000000001" customHeight="1" x14ac:dyDescent="0.3">
      <c r="A63" s="13">
        <v>57</v>
      </c>
      <c r="B63" s="4" t="s">
        <v>343</v>
      </c>
      <c r="C63" s="69" t="s">
        <v>161</v>
      </c>
      <c r="D63" s="1"/>
      <c r="E63" s="1"/>
      <c r="F63" s="2" t="s">
        <v>287</v>
      </c>
      <c r="H63" s="3"/>
      <c r="M63" s="1">
        <v>57</v>
      </c>
      <c r="Q63" s="39" t="s">
        <v>282</v>
      </c>
      <c r="R63" s="5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50"/>
      <c r="AL63" s="50"/>
      <c r="AM63" s="50"/>
      <c r="AN63" s="50"/>
      <c r="AO63" s="53">
        <f>SUM(AI62:AO62)</f>
        <v>335</v>
      </c>
      <c r="AP63" s="51">
        <v>202</v>
      </c>
      <c r="AQ63" s="50"/>
      <c r="AR63" s="50"/>
      <c r="AS63" s="50"/>
      <c r="AT63" s="50"/>
      <c r="AU63" s="50"/>
      <c r="AV63" s="53">
        <f>SUM(AP62:AV62)</f>
        <v>349</v>
      </c>
      <c r="AW63" s="50">
        <v>238</v>
      </c>
      <c r="AX63" s="50"/>
      <c r="AY63" s="50"/>
      <c r="AZ63" s="50"/>
      <c r="BA63" s="50"/>
      <c r="BB63" s="50"/>
      <c r="BC63" s="53">
        <f>SUM(AW62:BC62)</f>
        <v>352</v>
      </c>
      <c r="BD63" s="50">
        <v>268</v>
      </c>
      <c r="BE63" s="50"/>
      <c r="BF63" s="50"/>
      <c r="BG63" s="50"/>
      <c r="BH63" s="50"/>
      <c r="BI63" s="50"/>
      <c r="BJ63" s="53">
        <f>SUM(BD62:BJ62)</f>
        <v>383</v>
      </c>
      <c r="BK63" s="50">
        <v>272</v>
      </c>
      <c r="BL63" s="50"/>
      <c r="BM63" s="50"/>
      <c r="BN63" s="50"/>
      <c r="BO63" s="50"/>
      <c r="BP63" s="50"/>
      <c r="BQ63" s="53">
        <f>SUM(BK62:BQ62)</f>
        <v>553</v>
      </c>
      <c r="BR63" s="50">
        <v>418</v>
      </c>
      <c r="BS63" s="50"/>
      <c r="BT63" s="50"/>
      <c r="BU63" s="50"/>
      <c r="BV63" s="50"/>
      <c r="BW63" s="50"/>
    </row>
    <row r="64" spans="1:78" ht="20.100000000000001" customHeight="1" x14ac:dyDescent="0.3">
      <c r="A64" s="13">
        <v>58</v>
      </c>
      <c r="B64" s="91" t="s">
        <v>343</v>
      </c>
      <c r="C64" s="93" t="s">
        <v>161</v>
      </c>
      <c r="D64" s="91"/>
      <c r="E64" s="91"/>
      <c r="F64" s="96">
        <v>89642957370</v>
      </c>
      <c r="G64" s="97"/>
      <c r="H64" s="97"/>
      <c r="I64" s="97"/>
      <c r="J64" s="91"/>
      <c r="L64" s="98"/>
      <c r="M64" s="98">
        <v>58</v>
      </c>
      <c r="N64" s="98"/>
      <c r="O64" s="98"/>
      <c r="P64" s="98"/>
      <c r="Q64" s="41" t="s">
        <v>1</v>
      </c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 t="str">
        <f>IFERROR(VLOOKUP($F64,[2]원본!$D:$BX,AI$1,FALSE),"")</f>
        <v/>
      </c>
      <c r="AJ64" s="40" t="str">
        <f>IFERROR(VLOOKUP($F64,[2]원본!$D:$BX,AJ$1,FALSE),"")</f>
        <v/>
      </c>
      <c r="AK64" s="40" t="str">
        <f>IFERROR(VLOOKUP($F64,[2]원본!$D:$BX,AK$1,FALSE),"")</f>
        <v/>
      </c>
      <c r="AL64" s="40" t="str">
        <f>IFERROR(VLOOKUP($F64,[2]원본!$D:$BX,AL$1,FALSE),"")</f>
        <v/>
      </c>
      <c r="AM64" s="40" t="str">
        <f>IFERROR(VLOOKUP($F64,[2]원본!$D:$BX,AM$1,FALSE),"")</f>
        <v/>
      </c>
      <c r="AN64" s="40" t="str">
        <f>IFERROR(VLOOKUP($F64,[2]원본!$D:$BX,AN$1,FALSE),"")</f>
        <v/>
      </c>
      <c r="AO64" s="40" t="str">
        <f>IFERROR(VLOOKUP($F64,[2]원본!$D:$BX,AO$1,FALSE),"")</f>
        <v/>
      </c>
      <c r="AP64" s="40" t="str">
        <f>IFERROR(VLOOKUP($F64,[2]원본!$D:$BX,AP$1,FALSE),"")</f>
        <v/>
      </c>
      <c r="AQ64" s="40" t="str">
        <f>IFERROR(VLOOKUP($F64,[2]원본!$D:$BX,AQ$1,FALSE),"")</f>
        <v/>
      </c>
      <c r="AR64" s="40" t="str">
        <f>IFERROR(VLOOKUP($F64,[2]원본!$D:$BX,AR$1,FALSE),"")</f>
        <v/>
      </c>
      <c r="AS64" s="40" t="str">
        <f>IFERROR(VLOOKUP($F64,[2]원본!$D:$BX,AS$1,FALSE),"")</f>
        <v/>
      </c>
      <c r="AT64" s="40" t="str">
        <f>IFERROR(VLOOKUP($F64,[2]원본!$D:$BX,AT$1,FALSE),"")</f>
        <v/>
      </c>
      <c r="AU64" s="40" t="str">
        <f>IFERROR(VLOOKUP($F64,[2]원본!$D:$BX,AU$1,FALSE),"")</f>
        <v/>
      </c>
      <c r="AV64" s="40" t="str">
        <f>IFERROR(VLOOKUP($F64,[2]원본!$D:$BX,AV$1,FALSE),"")</f>
        <v/>
      </c>
      <c r="AW64" s="40" t="str">
        <f>IFERROR(VLOOKUP($F64,[2]원본!$D:$BX,AW$1,FALSE),"")</f>
        <v/>
      </c>
      <c r="AX64" s="40" t="str">
        <f>IFERROR(VLOOKUP($F64,[2]원본!$D:$BX,AX$1,FALSE),"")</f>
        <v/>
      </c>
      <c r="AY64" s="40" t="str">
        <f>IFERROR(VLOOKUP($F64,[2]원본!$D:$BX,AY$1,FALSE),"")</f>
        <v/>
      </c>
      <c r="AZ64" s="40" t="str">
        <f>IFERROR(VLOOKUP($F64,[2]원본!$D:$BX,AZ$1,FALSE),"")</f>
        <v/>
      </c>
      <c r="BA64" s="40" t="str">
        <f>IFERROR(VLOOKUP($F64,[2]원본!$D:$BX,BA$1,FALSE),"")</f>
        <v/>
      </c>
      <c r="BB64" s="40" t="str">
        <f>IFERROR(VLOOKUP($F64,[2]원본!$D:$BX,BB$1,FALSE),"")</f>
        <v/>
      </c>
      <c r="BC64" s="40" t="str">
        <f>IFERROR(VLOOKUP($F64,[2]원본!$D:$BX,BC$1,FALSE),"")</f>
        <v/>
      </c>
      <c r="BD64" s="40" t="str">
        <f>IFERROR(VLOOKUP($F64,[2]원본!$D:$BX,BD$1,FALSE),"")</f>
        <v/>
      </c>
      <c r="BE64" s="40" t="str">
        <f>IFERROR(VLOOKUP($F64,[2]원본!$D:$BX,BE$1,FALSE),"")</f>
        <v/>
      </c>
      <c r="BF64" s="40" t="str">
        <f>IFERROR(VLOOKUP($F64,[2]원본!$D:$BX,BF$1,FALSE),"")</f>
        <v/>
      </c>
      <c r="BG64" s="40" t="str">
        <f>IFERROR(VLOOKUP($F64,[2]원본!$D:$BX,BG$1,FALSE),"")</f>
        <v/>
      </c>
      <c r="BH64" s="40" t="str">
        <f>IFERROR(VLOOKUP($F64,[2]원본!$D:$BX,BH$1,FALSE),"")</f>
        <v/>
      </c>
      <c r="BI64" s="40" t="str">
        <f>IFERROR(VLOOKUP($F64,[2]원본!$D:$BX,BI$1,FALSE),"")</f>
        <v/>
      </c>
      <c r="BJ64" s="40" t="str">
        <f>IFERROR(VLOOKUP($F64,[2]원본!$D:$BX,BJ$1,FALSE),"")</f>
        <v/>
      </c>
      <c r="BK64" s="40" t="str">
        <f>IFERROR(VLOOKUP($F64,[2]원본!$D:$BX,BK$1,FALSE),"")</f>
        <v/>
      </c>
      <c r="BL64" s="40" t="str">
        <f>IFERROR(VLOOKUP($F64,[2]원본!$D:$BX,BL$1,FALSE),"")</f>
        <v/>
      </c>
      <c r="BM64" s="40" t="str">
        <f>IFERROR(VLOOKUP($F64,[2]원본!$D:$BX,BM$1,FALSE),"")</f>
        <v/>
      </c>
      <c r="BN64" s="40" t="str">
        <f>IFERROR(VLOOKUP($F64,[2]원본!$D:$BX,BN$1,FALSE),"")</f>
        <v/>
      </c>
      <c r="BO64" s="40" t="str">
        <f>IFERROR(VLOOKUP($F64,[2]원본!$D:$BX,BO$1,FALSE),"")</f>
        <v/>
      </c>
      <c r="BP64" s="40" t="str">
        <f>IFERROR(VLOOKUP($F64,[2]원본!$D:$BX,BP$1,FALSE),"")</f>
        <v/>
      </c>
      <c r="BQ64" s="40" t="str">
        <f>IFERROR(VLOOKUP($F64,[2]원본!$D:$BX,BQ$1,FALSE),"")</f>
        <v/>
      </c>
      <c r="BR64" s="40" t="str">
        <f>IFERROR(VLOOKUP($F64,[2]원본!$D:$BX,BR$1,FALSE),"")</f>
        <v/>
      </c>
      <c r="BS64" s="40" t="str">
        <f>IFERROR(VLOOKUP($F64,[2]원본!$D:$BX,BS$1,FALSE),"")</f>
        <v/>
      </c>
      <c r="BT64" s="40" t="str">
        <f>IFERROR(VLOOKUP($F64,[2]원본!$D:$BX,BT$1,FALSE),"")</f>
        <v/>
      </c>
      <c r="BU64" s="40" t="str">
        <f>IFERROR(VLOOKUP($F64,[2]원본!$D:$BX,BU$1,FALSE),"")</f>
        <v/>
      </c>
      <c r="BV64" s="40" t="str">
        <f>IFERROR(VLOOKUP($F64,#REF!,BV$1,FALSE),"")</f>
        <v/>
      </c>
      <c r="BW64" s="40"/>
      <c r="BX64" s="26">
        <f>(SUM(R64:BW64)*D62)-(SUM(R64:BW64)*E62)</f>
        <v>0</v>
      </c>
      <c r="BY64" s="91"/>
      <c r="BZ64" s="100" t="str">
        <f>IFERROR(VLOOKUP($F64,#REF!,BZ$1,FALSE),"")</f>
        <v/>
      </c>
    </row>
    <row r="65" spans="1:78" ht="20.100000000000001" customHeight="1" x14ac:dyDescent="0.3">
      <c r="A65" s="13">
        <v>59</v>
      </c>
      <c r="B65" s="4" t="s">
        <v>343</v>
      </c>
      <c r="C65" s="69" t="s">
        <v>161</v>
      </c>
      <c r="D65" s="82" t="s">
        <v>169</v>
      </c>
      <c r="F65" s="2">
        <v>89642957370</v>
      </c>
      <c r="G65" s="3" t="s">
        <v>137</v>
      </c>
      <c r="H65" s="3"/>
      <c r="J65" s="4" t="s">
        <v>77</v>
      </c>
      <c r="K65" s="5">
        <v>20000</v>
      </c>
      <c r="L65" s="1">
        <v>1</v>
      </c>
      <c r="M65" s="1">
        <v>59</v>
      </c>
      <c r="Q65" s="42" t="s">
        <v>0</v>
      </c>
      <c r="R65" s="7">
        <v>6</v>
      </c>
      <c r="S65" s="7">
        <v>7</v>
      </c>
      <c r="T65" s="7">
        <v>6</v>
      </c>
      <c r="U65" s="7">
        <v>6</v>
      </c>
      <c r="V65" s="7">
        <v>8</v>
      </c>
      <c r="W65" s="7">
        <v>8</v>
      </c>
      <c r="X65" s="7">
        <v>13</v>
      </c>
      <c r="Y65" s="7"/>
      <c r="Z65" s="7">
        <v>12</v>
      </c>
      <c r="AA65" s="7">
        <v>12</v>
      </c>
      <c r="AB65" s="7"/>
      <c r="AC65" s="7">
        <v>7</v>
      </c>
      <c r="AD65" s="7">
        <v>7</v>
      </c>
      <c r="AE65" s="7">
        <v>7</v>
      </c>
      <c r="AF65" s="7">
        <v>7</v>
      </c>
      <c r="AG65" s="7"/>
      <c r="AH65" s="7"/>
      <c r="AI65" s="7"/>
      <c r="AJ65" s="7"/>
      <c r="AK65" s="7">
        <v>3</v>
      </c>
      <c r="AL65" s="7"/>
      <c r="AM65" s="7"/>
      <c r="AN65" s="7"/>
      <c r="AO65" s="7"/>
      <c r="AP65" s="7"/>
      <c r="AQ65" s="7"/>
      <c r="AR65" s="7"/>
      <c r="AS65" s="7"/>
      <c r="AT65" s="7">
        <v>30</v>
      </c>
      <c r="AU65" s="7">
        <v>28</v>
      </c>
      <c r="AV65" s="7"/>
      <c r="AW65" s="7"/>
      <c r="AX65" s="7">
        <v>28</v>
      </c>
      <c r="AY65" s="7"/>
      <c r="AZ65" s="7">
        <v>24</v>
      </c>
      <c r="BA65" s="7">
        <v>14</v>
      </c>
      <c r="BB65" s="7">
        <v>26</v>
      </c>
      <c r="BC65" s="7"/>
      <c r="BD65" s="7"/>
      <c r="BE65" s="7">
        <v>25</v>
      </c>
      <c r="BF65" s="7">
        <v>22</v>
      </c>
      <c r="BG65" s="7">
        <v>19</v>
      </c>
      <c r="BH65" s="7">
        <v>14</v>
      </c>
      <c r="BI65" s="7">
        <v>14</v>
      </c>
      <c r="BJ65" s="7"/>
      <c r="BK65" s="7"/>
      <c r="BL65" s="7">
        <v>14</v>
      </c>
      <c r="BM65" s="7"/>
      <c r="BN65" s="7">
        <v>14</v>
      </c>
      <c r="BO65" s="7">
        <v>14</v>
      </c>
      <c r="BP65" s="7"/>
      <c r="BQ65" s="7"/>
      <c r="BR65" s="7"/>
      <c r="BS65" s="7">
        <v>14</v>
      </c>
      <c r="BT65" s="7">
        <v>13</v>
      </c>
      <c r="BU65" s="7">
        <v>13</v>
      </c>
      <c r="BV65" s="7"/>
      <c r="BW65" s="7"/>
    </row>
    <row r="66" spans="1:78" ht="20.100000000000001" customHeight="1" x14ac:dyDescent="0.3">
      <c r="A66" s="13">
        <v>60</v>
      </c>
      <c r="B66" s="4" t="s">
        <v>343</v>
      </c>
      <c r="C66" s="69" t="s">
        <v>161</v>
      </c>
      <c r="D66" s="20"/>
      <c r="E66" s="20"/>
      <c r="F66" s="2">
        <v>89642957370</v>
      </c>
      <c r="H66" s="3"/>
      <c r="J66" s="4" t="s">
        <v>79</v>
      </c>
      <c r="K66" s="62">
        <v>10100</v>
      </c>
      <c r="L66" s="1">
        <v>1</v>
      </c>
      <c r="M66" s="1">
        <v>61</v>
      </c>
      <c r="Q66" s="42" t="s">
        <v>0</v>
      </c>
      <c r="R66" s="7">
        <v>23</v>
      </c>
      <c r="S66" s="7">
        <v>23</v>
      </c>
      <c r="T66" s="7">
        <v>19</v>
      </c>
      <c r="U66" s="7">
        <v>14</v>
      </c>
      <c r="V66" s="7">
        <v>6</v>
      </c>
      <c r="W66" s="7">
        <v>6</v>
      </c>
      <c r="X66" s="7">
        <v>5</v>
      </c>
      <c r="Y66" s="7">
        <v>11</v>
      </c>
      <c r="Z66" s="7">
        <v>11</v>
      </c>
      <c r="AA66" s="7">
        <v>9</v>
      </c>
      <c r="AB66" s="7"/>
      <c r="AC66" s="7">
        <v>5</v>
      </c>
      <c r="AD66" s="7">
        <v>3</v>
      </c>
      <c r="AE66" s="7">
        <v>3</v>
      </c>
      <c r="AF66" s="7">
        <v>2</v>
      </c>
      <c r="AG66" s="7"/>
      <c r="AH66" s="7"/>
      <c r="AI66" s="7"/>
      <c r="AJ66" s="7"/>
      <c r="AK66" s="7">
        <v>9</v>
      </c>
      <c r="AL66" s="7"/>
      <c r="AM66" s="7"/>
      <c r="AN66" s="7"/>
      <c r="AO66" s="7"/>
      <c r="AP66" s="7"/>
      <c r="AQ66" s="7"/>
      <c r="AR66" s="7"/>
      <c r="AS66" s="7"/>
      <c r="AT66" s="7">
        <v>10</v>
      </c>
      <c r="AU66" s="7">
        <v>10</v>
      </c>
      <c r="AV66" s="7"/>
      <c r="AW66" s="7"/>
      <c r="AX66" s="7">
        <v>8</v>
      </c>
      <c r="AY66" s="7"/>
      <c r="AZ66" s="7">
        <v>7</v>
      </c>
      <c r="BA66" s="7">
        <v>9</v>
      </c>
      <c r="BB66" s="7">
        <v>7</v>
      </c>
      <c r="BC66" s="7"/>
      <c r="BD66" s="7"/>
      <c r="BE66" s="7">
        <v>8</v>
      </c>
      <c r="BF66" s="7">
        <v>7</v>
      </c>
      <c r="BG66" s="7">
        <v>6</v>
      </c>
      <c r="BH66" s="7">
        <v>9</v>
      </c>
      <c r="BI66" s="7">
        <v>6</v>
      </c>
      <c r="BJ66" s="7"/>
      <c r="BK66" s="7"/>
      <c r="BL66" s="7">
        <v>6</v>
      </c>
      <c r="BM66" s="7"/>
      <c r="BN66" s="7">
        <v>4</v>
      </c>
      <c r="BO66" s="7">
        <v>4</v>
      </c>
      <c r="BP66" s="7"/>
      <c r="BQ66" s="7"/>
      <c r="BR66" s="7"/>
      <c r="BS66" s="7">
        <v>4</v>
      </c>
      <c r="BT66" s="7">
        <v>4</v>
      </c>
      <c r="BU66" s="7">
        <v>4</v>
      </c>
      <c r="BV66" s="7"/>
      <c r="BW66" s="7"/>
    </row>
    <row r="67" spans="1:78" ht="20.100000000000001" customHeight="1" x14ac:dyDescent="0.3">
      <c r="A67" s="13">
        <v>61</v>
      </c>
      <c r="B67" s="4" t="s">
        <v>343</v>
      </c>
      <c r="C67" s="69" t="s">
        <v>161</v>
      </c>
      <c r="D67" s="20"/>
      <c r="E67" s="20"/>
      <c r="F67" s="2">
        <v>89642957370</v>
      </c>
      <c r="H67" s="3"/>
      <c r="J67" s="4" t="s">
        <v>78</v>
      </c>
      <c r="K67" s="5">
        <v>2200</v>
      </c>
      <c r="L67" s="1">
        <v>1</v>
      </c>
      <c r="M67" s="1">
        <v>60</v>
      </c>
      <c r="Q67" s="42" t="s">
        <v>0</v>
      </c>
      <c r="R67" s="7">
        <v>3</v>
      </c>
      <c r="S67" s="7">
        <v>3</v>
      </c>
      <c r="T67" s="7">
        <v>3</v>
      </c>
      <c r="U67" s="7">
        <v>3</v>
      </c>
      <c r="V67" s="7">
        <v>7</v>
      </c>
      <c r="W67" s="7">
        <v>4</v>
      </c>
      <c r="X67" s="7">
        <v>7</v>
      </c>
      <c r="Y67" s="7"/>
      <c r="Z67" s="7">
        <v>9</v>
      </c>
      <c r="AA67" s="7">
        <v>8</v>
      </c>
      <c r="AB67" s="7"/>
      <c r="AC67" s="7">
        <v>3</v>
      </c>
      <c r="AD67" s="7">
        <v>3</v>
      </c>
      <c r="AE67" s="7">
        <v>3</v>
      </c>
      <c r="AF67" s="7">
        <v>3</v>
      </c>
      <c r="AG67" s="7"/>
      <c r="AH67" s="7"/>
      <c r="AI67" s="7"/>
      <c r="AJ67" s="7"/>
      <c r="AK67" s="7">
        <v>5</v>
      </c>
      <c r="AL67" s="7"/>
      <c r="AM67" s="7"/>
      <c r="AN67" s="7"/>
      <c r="AO67" s="7"/>
      <c r="AP67" s="7"/>
      <c r="AQ67" s="7"/>
      <c r="AR67" s="7"/>
      <c r="AS67" s="7"/>
      <c r="AT67" s="7">
        <v>9</v>
      </c>
      <c r="AU67" s="7">
        <v>11</v>
      </c>
      <c r="AV67" s="7"/>
      <c r="AW67" s="7"/>
      <c r="AX67" s="7">
        <v>9</v>
      </c>
      <c r="AY67" s="7"/>
      <c r="AZ67" s="7">
        <v>8</v>
      </c>
      <c r="BA67" s="7">
        <v>5</v>
      </c>
      <c r="BB67" s="7">
        <v>13</v>
      </c>
      <c r="BC67" s="7"/>
      <c r="BD67" s="7"/>
      <c r="BE67" s="7">
        <v>8</v>
      </c>
      <c r="BF67" s="7">
        <v>8</v>
      </c>
      <c r="BG67" s="7">
        <v>6</v>
      </c>
      <c r="BH67" s="7">
        <v>5</v>
      </c>
      <c r="BI67" s="7">
        <v>8</v>
      </c>
      <c r="BJ67" s="7"/>
      <c r="BK67" s="7"/>
      <c r="BL67" s="7">
        <v>7</v>
      </c>
      <c r="BM67" s="7"/>
      <c r="BN67" s="7">
        <v>5</v>
      </c>
      <c r="BO67" s="7">
        <v>5</v>
      </c>
      <c r="BP67" s="7"/>
      <c r="BQ67" s="7"/>
      <c r="BR67" s="7"/>
      <c r="BS67" s="7">
        <v>5</v>
      </c>
      <c r="BT67" s="7">
        <v>5</v>
      </c>
      <c r="BU67" s="7">
        <v>5</v>
      </c>
      <c r="BV67" s="7"/>
      <c r="BW67" s="7"/>
    </row>
    <row r="68" spans="1:78" s="14" customFormat="1" ht="20.100000000000001" customHeight="1" thickBot="1" x14ac:dyDescent="0.35">
      <c r="A68" s="13">
        <v>62</v>
      </c>
      <c r="B68" s="15" t="s">
        <v>343</v>
      </c>
      <c r="C68" s="71" t="s">
        <v>161</v>
      </c>
      <c r="D68" s="21"/>
      <c r="E68" s="21"/>
      <c r="F68" s="16">
        <v>89642957370</v>
      </c>
      <c r="G68" s="17"/>
      <c r="H68" s="17"/>
      <c r="I68" s="17"/>
      <c r="J68" s="15" t="s">
        <v>80</v>
      </c>
      <c r="K68" s="18">
        <v>300</v>
      </c>
      <c r="L68" s="14">
        <v>1</v>
      </c>
      <c r="M68" s="14">
        <v>62</v>
      </c>
      <c r="Q68" s="45" t="s">
        <v>0</v>
      </c>
      <c r="R68" s="19">
        <v>28</v>
      </c>
      <c r="S68" s="19">
        <v>28</v>
      </c>
      <c r="T68" s="19">
        <v>18</v>
      </c>
      <c r="U68" s="19">
        <v>26</v>
      </c>
      <c r="V68" s="19">
        <v>6</v>
      </c>
      <c r="W68" s="19">
        <v>4</v>
      </c>
      <c r="X68" s="19">
        <v>2</v>
      </c>
      <c r="Y68" s="19">
        <v>2</v>
      </c>
      <c r="Z68" s="19">
        <v>2</v>
      </c>
      <c r="AA68" s="19">
        <v>2</v>
      </c>
      <c r="AB68" s="19"/>
      <c r="AC68" s="19">
        <v>3</v>
      </c>
      <c r="AD68" s="19">
        <v>2</v>
      </c>
      <c r="AE68" s="19">
        <v>2</v>
      </c>
      <c r="AF68" s="19">
        <v>2</v>
      </c>
      <c r="AG68" s="19"/>
      <c r="AH68" s="19"/>
      <c r="AI68" s="19"/>
      <c r="AJ68" s="19"/>
      <c r="AK68" s="19">
        <v>2</v>
      </c>
      <c r="AL68" s="19"/>
      <c r="AM68" s="19"/>
      <c r="AN68" s="19"/>
      <c r="AO68" s="19"/>
      <c r="AP68" s="19"/>
      <c r="AQ68" s="19"/>
      <c r="AR68" s="19"/>
      <c r="AS68" s="19"/>
      <c r="AT68" s="19">
        <v>2</v>
      </c>
      <c r="AU68" s="19">
        <v>1</v>
      </c>
      <c r="AV68" s="19"/>
      <c r="AW68" s="19"/>
      <c r="AX68" s="19">
        <v>2</v>
      </c>
      <c r="AY68" s="19"/>
      <c r="AZ68" s="19">
        <v>2</v>
      </c>
      <c r="BA68" s="19">
        <v>3</v>
      </c>
      <c r="BB68" s="19">
        <v>2</v>
      </c>
      <c r="BC68" s="19"/>
      <c r="BD68" s="19"/>
      <c r="BE68" s="19">
        <v>2</v>
      </c>
      <c r="BF68" s="19">
        <v>2</v>
      </c>
      <c r="BG68" s="19">
        <v>2</v>
      </c>
      <c r="BH68" s="19">
        <v>3</v>
      </c>
      <c r="BI68" s="19">
        <v>1</v>
      </c>
      <c r="BJ68" s="19"/>
      <c r="BK68" s="19"/>
      <c r="BL68" s="19">
        <v>1</v>
      </c>
      <c r="BM68" s="19"/>
      <c r="BN68" s="19">
        <v>1</v>
      </c>
      <c r="BO68" s="19">
        <v>1</v>
      </c>
      <c r="BP68" s="19"/>
      <c r="BQ68" s="19"/>
      <c r="BR68" s="19"/>
      <c r="BS68" s="19">
        <v>1</v>
      </c>
      <c r="BT68" s="19">
        <v>1</v>
      </c>
      <c r="BU68" s="19">
        <v>1</v>
      </c>
      <c r="BV68" s="19"/>
      <c r="BW68" s="19"/>
      <c r="BX68" s="18"/>
      <c r="BY68" s="15"/>
    </row>
    <row r="69" spans="1:78" s="8" customFormat="1" ht="20.100000000000001" customHeight="1" x14ac:dyDescent="0.3">
      <c r="A69" s="13">
        <v>63</v>
      </c>
      <c r="B69" s="9" t="s">
        <v>344</v>
      </c>
      <c r="C69" s="70" t="s">
        <v>161</v>
      </c>
      <c r="D69" s="46">
        <f>VLOOKUP(F71,[1]SKU리스트!$H:$L,5,FALSE)</f>
        <v>6900</v>
      </c>
      <c r="E69" s="47">
        <f>VLOOKUP(F71,[1]SKU리스트!$H:$AK,30,FALSE)</f>
        <v>2305.4545454545455</v>
      </c>
      <c r="F69" s="10" t="s">
        <v>200</v>
      </c>
      <c r="G69" s="11"/>
      <c r="H69" s="11"/>
      <c r="I69" s="11"/>
      <c r="J69" s="9"/>
      <c r="K69" s="12"/>
      <c r="M69" s="8">
        <v>63</v>
      </c>
      <c r="Q69" s="44" t="s">
        <v>125</v>
      </c>
      <c r="R69" s="54">
        <v>1</v>
      </c>
      <c r="S69" s="54">
        <v>4</v>
      </c>
      <c r="T69" s="54">
        <v>3</v>
      </c>
      <c r="U69" s="54">
        <v>7</v>
      </c>
      <c r="V69" s="54">
        <v>21</v>
      </c>
      <c r="W69" s="54">
        <v>9</v>
      </c>
      <c r="X69" s="54">
        <v>20</v>
      </c>
      <c r="Y69" s="54">
        <v>11</v>
      </c>
      <c r="Z69" s="54">
        <v>8</v>
      </c>
      <c r="AA69" s="54">
        <v>6</v>
      </c>
      <c r="AB69" s="54">
        <v>11</v>
      </c>
      <c r="AC69" s="54">
        <v>29</v>
      </c>
      <c r="AD69" s="54">
        <v>10</v>
      </c>
      <c r="AE69" s="54">
        <v>14</v>
      </c>
      <c r="AF69" s="54">
        <v>14</v>
      </c>
      <c r="AG69" s="54">
        <v>10</v>
      </c>
      <c r="AH69" s="54">
        <v>11</v>
      </c>
      <c r="AI69" s="54">
        <v>5</v>
      </c>
      <c r="AJ69" s="54">
        <v>5</v>
      </c>
      <c r="AK69" s="54">
        <v>2</v>
      </c>
      <c r="AL69" s="54">
        <v>0</v>
      </c>
      <c r="AM69" s="54">
        <v>2</v>
      </c>
      <c r="AN69" s="54">
        <v>6</v>
      </c>
      <c r="AO69" s="54">
        <v>2</v>
      </c>
      <c r="AP69" s="54">
        <v>4</v>
      </c>
      <c r="AQ69" s="54">
        <v>3</v>
      </c>
      <c r="AR69" s="54">
        <v>12</v>
      </c>
      <c r="AS69" s="54">
        <v>4</v>
      </c>
      <c r="AT69" s="54">
        <v>3</v>
      </c>
      <c r="AU69" s="54">
        <v>7</v>
      </c>
      <c r="AV69" s="54">
        <v>4</v>
      </c>
      <c r="AW69" s="54">
        <v>8</v>
      </c>
      <c r="AX69" s="54">
        <v>1</v>
      </c>
      <c r="AY69" s="54">
        <v>3</v>
      </c>
      <c r="AZ69" s="54">
        <v>6</v>
      </c>
      <c r="BA69" s="54">
        <v>7</v>
      </c>
      <c r="BB69" s="54">
        <v>4</v>
      </c>
      <c r="BC69" s="54">
        <v>3</v>
      </c>
      <c r="BD69" s="54">
        <v>4</v>
      </c>
      <c r="BE69" s="54">
        <v>3</v>
      </c>
      <c r="BF69" s="54">
        <v>5</v>
      </c>
      <c r="BG69" s="54">
        <v>8</v>
      </c>
      <c r="BH69" s="54">
        <v>2</v>
      </c>
      <c r="BI69" s="54">
        <v>9</v>
      </c>
      <c r="BJ69" s="54">
        <v>7</v>
      </c>
      <c r="BK69" s="54">
        <v>0</v>
      </c>
      <c r="BL69" s="54">
        <v>11</v>
      </c>
      <c r="BM69" s="54">
        <v>9</v>
      </c>
      <c r="BN69" s="54">
        <v>6</v>
      </c>
      <c r="BO69" s="54">
        <v>15</v>
      </c>
      <c r="BP69" s="54">
        <v>11</v>
      </c>
      <c r="BQ69" s="54">
        <v>13</v>
      </c>
      <c r="BR69" s="54">
        <v>25</v>
      </c>
      <c r="BS69" s="54">
        <v>16</v>
      </c>
      <c r="BT69" s="54">
        <v>10</v>
      </c>
      <c r="BU69" s="54"/>
      <c r="BV69" s="54"/>
      <c r="BW69" s="54"/>
      <c r="BX69" s="85">
        <f>VLOOKUP(F69,[1]SKU리스트!$H:$AH,27,FALSE)</f>
        <v>8400</v>
      </c>
      <c r="BY69" s="9"/>
    </row>
    <row r="70" spans="1:78" ht="20.100000000000001" customHeight="1" x14ac:dyDescent="0.3">
      <c r="A70" s="13">
        <v>64</v>
      </c>
      <c r="B70" s="91" t="s">
        <v>344</v>
      </c>
      <c r="C70" s="93" t="s">
        <v>161</v>
      </c>
      <c r="D70" s="98"/>
      <c r="E70" s="98"/>
      <c r="F70" s="96" t="s">
        <v>288</v>
      </c>
      <c r="G70" s="97"/>
      <c r="H70" s="97"/>
      <c r="I70" s="97"/>
      <c r="J70" s="91"/>
      <c r="L70" s="98"/>
      <c r="M70" s="98">
        <v>64</v>
      </c>
      <c r="N70" s="98"/>
      <c r="O70" s="98"/>
      <c r="P70" s="98"/>
      <c r="Q70" s="39" t="s">
        <v>282</v>
      </c>
      <c r="R70" s="5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50"/>
      <c r="AL70" s="50"/>
      <c r="AM70" s="50"/>
      <c r="AN70" s="50"/>
      <c r="AO70" s="53">
        <f>SUM(AI69:AO69)</f>
        <v>22</v>
      </c>
      <c r="AP70" s="51">
        <v>8</v>
      </c>
      <c r="AQ70" s="50"/>
      <c r="AR70" s="50"/>
      <c r="AS70" s="50"/>
      <c r="AT70" s="50"/>
      <c r="AU70" s="50"/>
      <c r="AV70" s="53">
        <f>SUM(AP69:AV69)</f>
        <v>37</v>
      </c>
      <c r="AW70" s="50">
        <v>13</v>
      </c>
      <c r="AX70" s="50"/>
      <c r="AY70" s="50"/>
      <c r="AZ70" s="50"/>
      <c r="BA70" s="50"/>
      <c r="BB70" s="50"/>
      <c r="BC70" s="53">
        <f>SUM(AW69:BC69)</f>
        <v>32</v>
      </c>
      <c r="BD70" s="50">
        <v>6</v>
      </c>
      <c r="BE70" s="50"/>
      <c r="BF70" s="50"/>
      <c r="BG70" s="50"/>
      <c r="BH70" s="50"/>
      <c r="BI70" s="50"/>
      <c r="BJ70" s="53">
        <f>SUM(BD69:BJ69)</f>
        <v>38</v>
      </c>
      <c r="BK70" s="50">
        <v>11</v>
      </c>
      <c r="BL70" s="50"/>
      <c r="BM70" s="50"/>
      <c r="BN70" s="50"/>
      <c r="BO70" s="50"/>
      <c r="BP70" s="50"/>
      <c r="BQ70" s="53">
        <f>SUM(BK69:BQ69)</f>
        <v>65</v>
      </c>
      <c r="BR70" s="50">
        <v>8</v>
      </c>
      <c r="BS70" s="50"/>
      <c r="BT70" s="50"/>
      <c r="BU70" s="50"/>
      <c r="BV70" s="50"/>
      <c r="BW70" s="50"/>
      <c r="BY70" s="91"/>
      <c r="BZ70" s="98"/>
    </row>
    <row r="71" spans="1:78" ht="20.100000000000001" customHeight="1" x14ac:dyDescent="0.3">
      <c r="A71" s="13">
        <v>65</v>
      </c>
      <c r="B71" s="4" t="s">
        <v>344</v>
      </c>
      <c r="C71" s="69" t="s">
        <v>161</v>
      </c>
      <c r="F71" s="2">
        <v>89626202953</v>
      </c>
      <c r="H71" s="3"/>
      <c r="M71" s="1">
        <v>65</v>
      </c>
      <c r="Q71" s="41" t="s">
        <v>1</v>
      </c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 t="str">
        <f>IFERROR(VLOOKUP($F71,[2]원본!$D:$BX,AI$1,FALSE),"")</f>
        <v/>
      </c>
      <c r="AJ71" s="40" t="str">
        <f>IFERROR(VLOOKUP($F71,[2]원본!$D:$BX,AJ$1,FALSE),"")</f>
        <v/>
      </c>
      <c r="AK71" s="40" t="str">
        <f>IFERROR(VLOOKUP($F71,[2]원본!$D:$BX,AK$1,FALSE),"")</f>
        <v/>
      </c>
      <c r="AL71" s="40" t="str">
        <f>IFERROR(VLOOKUP($F71,[2]원본!$D:$BX,AL$1,FALSE),"")</f>
        <v/>
      </c>
      <c r="AM71" s="40" t="str">
        <f>IFERROR(VLOOKUP($F71,[2]원본!$D:$BX,AM$1,FALSE),"")</f>
        <v/>
      </c>
      <c r="AN71" s="40" t="str">
        <f>IFERROR(VLOOKUP($F71,[2]원본!$D:$BX,AN$1,FALSE),"")</f>
        <v/>
      </c>
      <c r="AO71" s="40" t="str">
        <f>IFERROR(VLOOKUP($F71,[2]원본!$D:$BX,AO$1,FALSE),"")</f>
        <v/>
      </c>
      <c r="AP71" s="40" t="str">
        <f>IFERROR(VLOOKUP($F71,[2]원본!$D:$BX,AP$1,FALSE),"")</f>
        <v/>
      </c>
      <c r="AQ71" s="40" t="str">
        <f>IFERROR(VLOOKUP($F71,[2]원본!$D:$BX,AQ$1,FALSE),"")</f>
        <v/>
      </c>
      <c r="AR71" s="40" t="str">
        <f>IFERROR(VLOOKUP($F71,[2]원본!$D:$BX,AR$1,FALSE),"")</f>
        <v/>
      </c>
      <c r="AS71" s="40" t="str">
        <f>IFERROR(VLOOKUP($F71,[2]원본!$D:$BX,AS$1,FALSE),"")</f>
        <v/>
      </c>
      <c r="AT71" s="40" t="str">
        <f>IFERROR(VLOOKUP($F71,[2]원본!$D:$BX,AT$1,FALSE),"")</f>
        <v/>
      </c>
      <c r="AU71" s="40" t="str">
        <f>IFERROR(VLOOKUP($F71,[2]원본!$D:$BX,AU$1,FALSE),"")</f>
        <v/>
      </c>
      <c r="AV71" s="40" t="str">
        <f>IFERROR(VLOOKUP($F71,[2]원본!$D:$BX,AV$1,FALSE),"")</f>
        <v/>
      </c>
      <c r="AW71" s="40" t="str">
        <f>IFERROR(VLOOKUP($F71,[2]원본!$D:$BX,AW$1,FALSE),"")</f>
        <v/>
      </c>
      <c r="AX71" s="40" t="str">
        <f>IFERROR(VLOOKUP($F71,[2]원본!$D:$BX,AX$1,FALSE),"")</f>
        <v/>
      </c>
      <c r="AY71" s="40" t="str">
        <f>IFERROR(VLOOKUP($F71,[2]원본!$D:$BX,AY$1,FALSE),"")</f>
        <v/>
      </c>
      <c r="AZ71" s="40" t="str">
        <f>IFERROR(VLOOKUP($F71,[2]원본!$D:$BX,AZ$1,FALSE),"")</f>
        <v/>
      </c>
      <c r="BA71" s="40" t="str">
        <f>IFERROR(VLOOKUP($F71,[2]원본!$D:$BX,BA$1,FALSE),"")</f>
        <v/>
      </c>
      <c r="BB71" s="40" t="str">
        <f>IFERROR(VLOOKUP($F71,[2]원본!$D:$BX,BB$1,FALSE),"")</f>
        <v/>
      </c>
      <c r="BC71" s="40" t="str">
        <f>IFERROR(VLOOKUP($F71,[2]원본!$D:$BX,BC$1,FALSE),"")</f>
        <v/>
      </c>
      <c r="BD71" s="40" t="str">
        <f>IFERROR(VLOOKUP($F71,[2]원본!$D:$BX,BD$1,FALSE),"")</f>
        <v/>
      </c>
      <c r="BE71" s="40" t="str">
        <f>IFERROR(VLOOKUP($F71,[2]원본!$D:$BX,BE$1,FALSE),"")</f>
        <v/>
      </c>
      <c r="BF71" s="40" t="str">
        <f>IFERROR(VLOOKUP($F71,[2]원본!$D:$BX,BF$1,FALSE),"")</f>
        <v/>
      </c>
      <c r="BG71" s="40" t="str">
        <f>IFERROR(VLOOKUP($F71,[2]원본!$D:$BX,BG$1,FALSE),"")</f>
        <v/>
      </c>
      <c r="BH71" s="40" t="str">
        <f>IFERROR(VLOOKUP($F71,[2]원본!$D:$BX,BH$1,FALSE),"")</f>
        <v/>
      </c>
      <c r="BI71" s="40" t="str">
        <f>IFERROR(VLOOKUP($F71,[2]원본!$D:$BX,BI$1,FALSE),"")</f>
        <v/>
      </c>
      <c r="BJ71" s="40" t="str">
        <f>IFERROR(VLOOKUP($F71,[2]원본!$D:$BX,BJ$1,FALSE),"")</f>
        <v/>
      </c>
      <c r="BK71" s="40" t="str">
        <f>IFERROR(VLOOKUP($F71,[2]원본!$D:$BX,BK$1,FALSE),"")</f>
        <v/>
      </c>
      <c r="BL71" s="40" t="str">
        <f>IFERROR(VLOOKUP($F71,[2]원본!$D:$BX,BL$1,FALSE),"")</f>
        <v/>
      </c>
      <c r="BM71" s="40" t="str">
        <f>IFERROR(VLOOKUP($F71,[2]원본!$D:$BX,BM$1,FALSE),"")</f>
        <v/>
      </c>
      <c r="BN71" s="40" t="str">
        <f>IFERROR(VLOOKUP($F71,[2]원본!$D:$BX,BN$1,FALSE),"")</f>
        <v/>
      </c>
      <c r="BO71" s="40" t="str">
        <f>IFERROR(VLOOKUP($F71,[2]원본!$D:$BX,BO$1,FALSE),"")</f>
        <v/>
      </c>
      <c r="BP71" s="40" t="str">
        <f>IFERROR(VLOOKUP($F71,[2]원본!$D:$BX,BP$1,FALSE),"")</f>
        <v/>
      </c>
      <c r="BQ71" s="40" t="str">
        <f>IFERROR(VLOOKUP($F71,[2]원본!$D:$BX,BQ$1,FALSE),"")</f>
        <v/>
      </c>
      <c r="BR71" s="40" t="str">
        <f>IFERROR(VLOOKUP($F71,[2]원본!$D:$BX,BR$1,FALSE),"")</f>
        <v/>
      </c>
      <c r="BS71" s="40" t="str">
        <f>IFERROR(VLOOKUP($F71,[2]원본!$D:$BX,BS$1,FALSE),"")</f>
        <v/>
      </c>
      <c r="BT71" s="40" t="str">
        <f>IFERROR(VLOOKUP($F71,[2]원본!$D:$BX,BT$1,FALSE),"")</f>
        <v/>
      </c>
      <c r="BU71" s="40" t="str">
        <f>IFERROR(VLOOKUP($F71,[2]원본!$D:$BX,BU$1,FALSE),"")</f>
        <v/>
      </c>
      <c r="BV71" s="40" t="str">
        <f>IFERROR(VLOOKUP($F71,#REF!,BV$1,FALSE),"")</f>
        <v/>
      </c>
      <c r="BW71" s="40"/>
      <c r="BX71" s="26">
        <f>(SUM(R71:BW71)*D69)-(SUM(R71:BW71)*E69)</f>
        <v>0</v>
      </c>
      <c r="BZ71" s="100" t="str">
        <f>IFERROR(VLOOKUP($F71,#REF!,BZ$1,FALSE),"")</f>
        <v/>
      </c>
    </row>
    <row r="72" spans="1:78" ht="20.100000000000001" customHeight="1" x14ac:dyDescent="0.3">
      <c r="A72" s="13">
        <v>66</v>
      </c>
      <c r="B72" s="4" t="s">
        <v>344</v>
      </c>
      <c r="C72" s="69" t="s">
        <v>161</v>
      </c>
      <c r="D72" s="82" t="s">
        <v>170</v>
      </c>
      <c r="F72" s="2">
        <v>89626202953</v>
      </c>
      <c r="G72" s="3" t="s">
        <v>138</v>
      </c>
      <c r="H72" s="3"/>
      <c r="J72" s="4" t="s">
        <v>66</v>
      </c>
      <c r="K72" s="62">
        <v>690900</v>
      </c>
      <c r="L72" s="1">
        <v>1</v>
      </c>
      <c r="M72" s="1">
        <v>68</v>
      </c>
      <c r="Q72" s="42" t="s">
        <v>0</v>
      </c>
      <c r="R72" s="7" t="s">
        <v>36</v>
      </c>
      <c r="S72" s="7"/>
      <c r="T72" s="7" t="s">
        <v>36</v>
      </c>
      <c r="U72" s="7"/>
      <c r="V72" s="7"/>
      <c r="W72" s="7"/>
      <c r="X72" s="7"/>
      <c r="Y72" s="7" t="s">
        <v>54</v>
      </c>
      <c r="Z72" s="7">
        <v>317</v>
      </c>
      <c r="AA72" s="7">
        <v>317</v>
      </c>
      <c r="AB72" s="7"/>
      <c r="AC72" s="7">
        <v>168</v>
      </c>
      <c r="AD72" s="7">
        <v>108</v>
      </c>
      <c r="AE72" s="7">
        <v>52</v>
      </c>
      <c r="AF72" s="7" t="s">
        <v>36</v>
      </c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>
        <v>3</v>
      </c>
      <c r="AU72" s="7">
        <v>30</v>
      </c>
      <c r="AV72" s="7"/>
      <c r="AW72" s="7"/>
      <c r="AX72" s="7"/>
      <c r="AY72" s="7"/>
      <c r="AZ72" s="7"/>
      <c r="BA72" s="7">
        <v>51</v>
      </c>
      <c r="BB72" s="7"/>
      <c r="BC72" s="7"/>
      <c r="BD72" s="7"/>
      <c r="BE72" s="7"/>
      <c r="BF72" s="7"/>
      <c r="BG72" s="7"/>
      <c r="BH72" s="7">
        <v>51</v>
      </c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</row>
    <row r="73" spans="1:78" ht="20.100000000000001" customHeight="1" x14ac:dyDescent="0.3">
      <c r="A73" s="13">
        <v>67</v>
      </c>
      <c r="B73" s="4" t="s">
        <v>344</v>
      </c>
      <c r="C73" s="69" t="s">
        <v>161</v>
      </c>
      <c r="F73" s="2">
        <v>89626202953</v>
      </c>
      <c r="H73" s="3"/>
      <c r="J73" s="4" t="s">
        <v>81</v>
      </c>
      <c r="K73" s="62">
        <v>36300</v>
      </c>
      <c r="L73" s="1">
        <v>1</v>
      </c>
      <c r="M73" s="1">
        <v>66</v>
      </c>
      <c r="Q73" s="42" t="s">
        <v>0</v>
      </c>
      <c r="R73" s="7">
        <v>103</v>
      </c>
      <c r="S73" s="7">
        <v>103</v>
      </c>
      <c r="T73" s="7">
        <v>59</v>
      </c>
      <c r="U73" s="7">
        <v>71</v>
      </c>
      <c r="V73" s="7">
        <v>41</v>
      </c>
      <c r="W73" s="7">
        <v>39</v>
      </c>
      <c r="X73" s="7">
        <v>17</v>
      </c>
      <c r="Y73" s="7">
        <v>43</v>
      </c>
      <c r="Z73" s="7">
        <v>43</v>
      </c>
      <c r="AA73" s="7">
        <v>17</v>
      </c>
      <c r="AB73" s="7"/>
      <c r="AC73" s="7">
        <v>6</v>
      </c>
      <c r="AD73" s="7">
        <v>6</v>
      </c>
      <c r="AE73" s="7">
        <v>6</v>
      </c>
      <c r="AF73" s="7">
        <v>3</v>
      </c>
      <c r="AG73" s="7"/>
      <c r="AH73" s="7"/>
      <c r="AI73" s="7"/>
      <c r="AJ73" s="7"/>
      <c r="AK73" s="7">
        <v>16</v>
      </c>
      <c r="AL73" s="7"/>
      <c r="AM73" s="7"/>
      <c r="AN73" s="7"/>
      <c r="AO73" s="7"/>
      <c r="AP73" s="7"/>
      <c r="AQ73" s="7"/>
      <c r="AR73" s="7"/>
      <c r="AS73" s="7"/>
      <c r="AT73" s="7">
        <v>28</v>
      </c>
      <c r="AU73" s="7">
        <v>27</v>
      </c>
      <c r="AV73" s="7"/>
      <c r="AW73" s="7"/>
      <c r="AX73" s="7">
        <v>28</v>
      </c>
      <c r="AY73" s="7"/>
      <c r="AZ73" s="7">
        <v>28</v>
      </c>
      <c r="BA73" s="7">
        <v>59</v>
      </c>
      <c r="BB73" s="7">
        <v>48</v>
      </c>
      <c r="BC73" s="7"/>
      <c r="BD73" s="7"/>
      <c r="BE73" s="7">
        <v>40</v>
      </c>
      <c r="BF73" s="7">
        <v>46</v>
      </c>
      <c r="BG73" s="7">
        <v>46</v>
      </c>
      <c r="BH73" s="7">
        <v>59</v>
      </c>
      <c r="BI73" s="7">
        <v>44</v>
      </c>
      <c r="BJ73" s="7"/>
      <c r="BK73" s="7"/>
      <c r="BL73" s="7">
        <v>39</v>
      </c>
      <c r="BM73" s="7"/>
      <c r="BN73" s="7"/>
      <c r="BO73" s="7">
        <v>42</v>
      </c>
      <c r="BP73" s="7"/>
      <c r="BQ73" s="7"/>
      <c r="BR73" s="7"/>
      <c r="BS73" s="7">
        <v>39</v>
      </c>
      <c r="BT73" s="7">
        <v>39</v>
      </c>
      <c r="BU73" s="7">
        <v>39</v>
      </c>
      <c r="BV73" s="7"/>
      <c r="BW73" s="7"/>
    </row>
    <row r="74" spans="1:78" ht="20.100000000000001" customHeight="1" x14ac:dyDescent="0.3">
      <c r="A74" s="13">
        <v>68</v>
      </c>
      <c r="B74" s="91" t="s">
        <v>344</v>
      </c>
      <c r="C74" s="93" t="s">
        <v>161</v>
      </c>
      <c r="D74" s="94"/>
      <c r="E74" s="94"/>
      <c r="F74" s="96">
        <v>89626202953</v>
      </c>
      <c r="G74" s="97"/>
      <c r="H74" s="97"/>
      <c r="I74" s="97"/>
      <c r="J74" s="91" t="s">
        <v>11</v>
      </c>
      <c r="K74" s="62">
        <v>13700</v>
      </c>
      <c r="L74" s="98">
        <v>1</v>
      </c>
      <c r="M74" s="98">
        <v>69</v>
      </c>
      <c r="N74" s="98"/>
      <c r="O74" s="98"/>
      <c r="P74" s="98"/>
      <c r="Q74" s="42" t="s">
        <v>0</v>
      </c>
      <c r="R74" s="7" t="s">
        <v>36</v>
      </c>
      <c r="S74" s="7"/>
      <c r="T74" s="7" t="s">
        <v>36</v>
      </c>
      <c r="U74" s="7"/>
      <c r="V74" s="7"/>
      <c r="W74" s="7"/>
      <c r="X74" s="7"/>
      <c r="Y74" s="7" t="s">
        <v>54</v>
      </c>
      <c r="Z74" s="7">
        <v>63</v>
      </c>
      <c r="AA74" s="7">
        <v>29</v>
      </c>
      <c r="AB74" s="7"/>
      <c r="AC74" s="7">
        <v>35</v>
      </c>
      <c r="AD74" s="7">
        <v>18</v>
      </c>
      <c r="AE74" s="7">
        <v>12</v>
      </c>
      <c r="AF74" s="7">
        <v>8</v>
      </c>
      <c r="AG74" s="7"/>
      <c r="AH74" s="7"/>
      <c r="AI74" s="7"/>
      <c r="AJ74" s="7"/>
      <c r="AK74" s="7">
        <v>27</v>
      </c>
      <c r="AL74" s="7"/>
      <c r="AM74" s="7"/>
      <c r="AN74" s="7"/>
      <c r="AO74" s="7"/>
      <c r="AP74" s="7"/>
      <c r="AQ74" s="7"/>
      <c r="AR74" s="7"/>
      <c r="AS74" s="7"/>
      <c r="AT74" s="7">
        <v>61</v>
      </c>
      <c r="AU74" s="7">
        <v>63</v>
      </c>
      <c r="AV74" s="7"/>
      <c r="AW74" s="7"/>
      <c r="AX74" s="7"/>
      <c r="AY74" s="7"/>
      <c r="AZ74" s="7">
        <v>39</v>
      </c>
      <c r="BA74" s="7">
        <v>62</v>
      </c>
      <c r="BB74" s="7"/>
      <c r="BC74" s="7"/>
      <c r="BD74" s="7"/>
      <c r="BE74" s="7">
        <v>52</v>
      </c>
      <c r="BF74" s="7">
        <v>47</v>
      </c>
      <c r="BG74" s="7">
        <v>41</v>
      </c>
      <c r="BH74" s="7">
        <v>62</v>
      </c>
      <c r="BI74" s="7">
        <v>39</v>
      </c>
      <c r="BJ74" s="7"/>
      <c r="BK74" s="7"/>
      <c r="BL74" s="7">
        <v>38</v>
      </c>
      <c r="BM74" s="7"/>
      <c r="BN74" s="7">
        <v>38</v>
      </c>
      <c r="BO74" s="7">
        <v>38</v>
      </c>
      <c r="BP74" s="7"/>
      <c r="BQ74" s="7"/>
      <c r="BR74" s="7"/>
      <c r="BS74" s="7">
        <v>33</v>
      </c>
      <c r="BT74" s="7">
        <v>30</v>
      </c>
      <c r="BU74" s="7">
        <v>30</v>
      </c>
      <c r="BV74" s="7"/>
      <c r="BW74" s="7"/>
      <c r="BY74" s="91"/>
      <c r="BZ74" s="98"/>
    </row>
    <row r="75" spans="1:78" ht="20.100000000000001" customHeight="1" x14ac:dyDescent="0.3">
      <c r="A75" s="13">
        <v>69</v>
      </c>
      <c r="B75" s="4" t="s">
        <v>344</v>
      </c>
      <c r="C75" s="69" t="s">
        <v>161</v>
      </c>
      <c r="D75" s="20"/>
      <c r="E75" s="20"/>
      <c r="F75" s="2">
        <v>89626202953</v>
      </c>
      <c r="H75" s="3"/>
      <c r="J75" s="4" t="s">
        <v>82</v>
      </c>
      <c r="K75" s="62">
        <v>4793</v>
      </c>
      <c r="L75" s="1">
        <v>1</v>
      </c>
      <c r="M75" s="1">
        <v>67</v>
      </c>
      <c r="Q75" s="42" t="s">
        <v>0</v>
      </c>
      <c r="R75" s="7">
        <v>63</v>
      </c>
      <c r="S75" s="7">
        <v>63</v>
      </c>
      <c r="T75" s="7">
        <v>62</v>
      </c>
      <c r="U75" s="7">
        <v>63</v>
      </c>
      <c r="V75" s="7">
        <v>23</v>
      </c>
      <c r="W75" s="7">
        <v>26</v>
      </c>
      <c r="X75" s="7">
        <v>39</v>
      </c>
      <c r="Y75" s="7" t="s">
        <v>54</v>
      </c>
      <c r="Z75" s="7">
        <v>33</v>
      </c>
      <c r="AA75" s="7">
        <v>31</v>
      </c>
      <c r="AB75" s="7"/>
      <c r="AC75" s="7">
        <v>10</v>
      </c>
      <c r="AD75" s="7">
        <v>9</v>
      </c>
      <c r="AE75" s="7">
        <v>10</v>
      </c>
      <c r="AF75" s="7">
        <v>3</v>
      </c>
      <c r="AG75" s="7"/>
      <c r="AH75" s="7"/>
      <c r="AI75" s="7"/>
      <c r="AJ75" s="7"/>
      <c r="AK75" s="7">
        <v>8</v>
      </c>
      <c r="AL75" s="7"/>
      <c r="AM75" s="7"/>
      <c r="AN75" s="7"/>
      <c r="AO75" s="7"/>
      <c r="AP75" s="7"/>
      <c r="AQ75" s="7"/>
      <c r="AR75" s="7"/>
      <c r="AS75" s="7"/>
      <c r="AT75" s="7">
        <v>25</v>
      </c>
      <c r="AU75" s="7">
        <v>25</v>
      </c>
      <c r="AV75" s="7"/>
      <c r="AW75" s="7"/>
      <c r="AX75" s="7">
        <v>25</v>
      </c>
      <c r="AY75" s="7"/>
      <c r="AZ75" s="7">
        <v>24</v>
      </c>
      <c r="BA75" s="7">
        <v>11</v>
      </c>
      <c r="BB75" s="7">
        <v>35</v>
      </c>
      <c r="BC75" s="7"/>
      <c r="BD75" s="7"/>
      <c r="BE75" s="7">
        <v>33</v>
      </c>
      <c r="BF75" s="7">
        <v>32</v>
      </c>
      <c r="BG75" s="7">
        <v>33</v>
      </c>
      <c r="BH75" s="7">
        <v>11</v>
      </c>
      <c r="BI75" s="7">
        <v>40</v>
      </c>
      <c r="BJ75" s="7"/>
      <c r="BK75" s="7"/>
      <c r="BL75" s="7">
        <v>42</v>
      </c>
      <c r="BM75" s="7"/>
      <c r="BN75" s="7">
        <v>42</v>
      </c>
      <c r="BO75" s="7">
        <v>41</v>
      </c>
      <c r="BP75" s="7"/>
      <c r="BQ75" s="7"/>
      <c r="BR75" s="7"/>
      <c r="BS75" s="7">
        <v>40</v>
      </c>
      <c r="BT75" s="7">
        <v>40</v>
      </c>
      <c r="BU75" s="7">
        <v>40</v>
      </c>
      <c r="BV75" s="7"/>
      <c r="BW75" s="7"/>
    </row>
    <row r="76" spans="1:78" s="14" customFormat="1" ht="20.100000000000001" customHeight="1" thickBot="1" x14ac:dyDescent="0.35">
      <c r="A76" s="13">
        <v>70</v>
      </c>
      <c r="B76" s="15" t="s">
        <v>344</v>
      </c>
      <c r="C76" s="71" t="s">
        <v>161</v>
      </c>
      <c r="D76" s="21"/>
      <c r="E76" s="21"/>
      <c r="F76" s="16">
        <v>89626202953</v>
      </c>
      <c r="G76" s="17"/>
      <c r="H76" s="17"/>
      <c r="I76" s="17"/>
      <c r="J76" s="15" t="s">
        <v>83</v>
      </c>
      <c r="K76" s="18">
        <v>3000</v>
      </c>
      <c r="L76" s="14">
        <v>1</v>
      </c>
      <c r="M76" s="14">
        <v>70</v>
      </c>
      <c r="Q76" s="45" t="s">
        <v>0</v>
      </c>
      <c r="R76" s="19"/>
      <c r="S76" s="19"/>
      <c r="T76" s="19"/>
      <c r="U76" s="19"/>
      <c r="V76" s="19"/>
      <c r="W76" s="19"/>
      <c r="X76" s="19"/>
      <c r="Y76" s="19" t="s">
        <v>54</v>
      </c>
      <c r="Z76" s="19">
        <v>208</v>
      </c>
      <c r="AA76" s="19">
        <v>48</v>
      </c>
      <c r="AB76" s="19"/>
      <c r="AC76" s="19">
        <v>36</v>
      </c>
      <c r="AD76" s="19">
        <v>14</v>
      </c>
      <c r="AE76" s="19">
        <v>5</v>
      </c>
      <c r="AF76" s="19">
        <v>7</v>
      </c>
      <c r="AG76" s="19"/>
      <c r="AH76" s="19"/>
      <c r="AI76" s="19"/>
      <c r="AJ76" s="19"/>
      <c r="AK76" s="19">
        <v>13</v>
      </c>
      <c r="AL76" s="19"/>
      <c r="AM76" s="19"/>
      <c r="AN76" s="19"/>
      <c r="AO76" s="19"/>
      <c r="AP76" s="19"/>
      <c r="AQ76" s="19"/>
      <c r="AR76" s="19"/>
      <c r="AS76" s="19"/>
      <c r="AT76" s="19">
        <v>24</v>
      </c>
      <c r="AU76" s="19">
        <v>25</v>
      </c>
      <c r="AV76" s="19"/>
      <c r="AW76" s="19"/>
      <c r="AX76" s="19">
        <v>24</v>
      </c>
      <c r="AY76" s="19"/>
      <c r="AZ76" s="19">
        <v>11</v>
      </c>
      <c r="BA76" s="19">
        <v>20</v>
      </c>
      <c r="BB76" s="19">
        <v>29</v>
      </c>
      <c r="BC76" s="19"/>
      <c r="BD76" s="19"/>
      <c r="BE76" s="19">
        <v>26</v>
      </c>
      <c r="BF76" s="19">
        <v>26</v>
      </c>
      <c r="BG76" s="19">
        <v>17</v>
      </c>
      <c r="BH76" s="19">
        <v>20</v>
      </c>
      <c r="BI76" s="19">
        <v>11</v>
      </c>
      <c r="BJ76" s="19"/>
      <c r="BK76" s="19"/>
      <c r="BL76" s="19">
        <v>11</v>
      </c>
      <c r="BM76" s="19"/>
      <c r="BN76" s="19">
        <v>11</v>
      </c>
      <c r="BO76" s="19">
        <v>11</v>
      </c>
      <c r="BP76" s="19"/>
      <c r="BQ76" s="19"/>
      <c r="BR76" s="19"/>
      <c r="BS76" s="19">
        <v>8</v>
      </c>
      <c r="BT76" s="19">
        <v>8</v>
      </c>
      <c r="BU76" s="19">
        <v>8</v>
      </c>
      <c r="BV76" s="19"/>
      <c r="BW76" s="19"/>
      <c r="BX76" s="18"/>
      <c r="BY76" s="15"/>
    </row>
    <row r="77" spans="1:78" s="8" customFormat="1" ht="20.100000000000001" customHeight="1" x14ac:dyDescent="0.3">
      <c r="A77" s="13">
        <v>71</v>
      </c>
      <c r="B77" s="9" t="s">
        <v>345</v>
      </c>
      <c r="C77" s="70" t="s">
        <v>161</v>
      </c>
      <c r="D77" s="46">
        <f>VLOOKUP(F79,[1]SKU리스트!$H:$L,5,FALSE)</f>
        <v>9900</v>
      </c>
      <c r="E77" s="47">
        <f>VLOOKUP(F79,[1]SKU리스트!$H:$AK,30,FALSE)</f>
        <v>3779.0909090909086</v>
      </c>
      <c r="F77" s="10" t="s">
        <v>201</v>
      </c>
      <c r="G77" s="11"/>
      <c r="H77" s="11"/>
      <c r="I77" s="11"/>
      <c r="J77" s="9"/>
      <c r="K77" s="12"/>
      <c r="M77" s="8">
        <v>71</v>
      </c>
      <c r="Q77" s="44" t="s">
        <v>125</v>
      </c>
      <c r="R77" s="54">
        <v>44</v>
      </c>
      <c r="S77" s="54">
        <v>44</v>
      </c>
      <c r="T77" s="54">
        <v>38</v>
      </c>
      <c r="U77" s="54">
        <v>29</v>
      </c>
      <c r="V77" s="54">
        <v>46</v>
      </c>
      <c r="W77" s="54">
        <v>40</v>
      </c>
      <c r="X77" s="54">
        <v>32</v>
      </c>
      <c r="Y77" s="54">
        <v>43</v>
      </c>
      <c r="Z77" s="54">
        <v>24</v>
      </c>
      <c r="AA77" s="54">
        <v>28</v>
      </c>
      <c r="AB77" s="54">
        <v>17</v>
      </c>
      <c r="AC77" s="54">
        <v>35</v>
      </c>
      <c r="AD77" s="54">
        <v>29</v>
      </c>
      <c r="AE77" s="54">
        <v>18</v>
      </c>
      <c r="AF77" s="54">
        <v>22</v>
      </c>
      <c r="AG77" s="54">
        <v>35</v>
      </c>
      <c r="AH77" s="54">
        <v>26</v>
      </c>
      <c r="AI77" s="54">
        <v>47</v>
      </c>
      <c r="AJ77" s="54">
        <v>41</v>
      </c>
      <c r="AK77" s="54">
        <v>37</v>
      </c>
      <c r="AL77" s="54">
        <v>16</v>
      </c>
      <c r="AM77" s="54">
        <v>24</v>
      </c>
      <c r="AN77" s="54">
        <v>31</v>
      </c>
      <c r="AO77" s="54">
        <v>21</v>
      </c>
      <c r="AP77" s="54">
        <v>39</v>
      </c>
      <c r="AQ77" s="54">
        <v>32</v>
      </c>
      <c r="AR77" s="54">
        <v>42</v>
      </c>
      <c r="AS77" s="54">
        <v>34</v>
      </c>
      <c r="AT77" s="54">
        <v>30</v>
      </c>
      <c r="AU77" s="54">
        <v>45</v>
      </c>
      <c r="AV77" s="54">
        <v>28</v>
      </c>
      <c r="AW77" s="54">
        <v>42</v>
      </c>
      <c r="AX77" s="54">
        <v>26</v>
      </c>
      <c r="AY77" s="54">
        <v>16</v>
      </c>
      <c r="AZ77" s="54">
        <v>26</v>
      </c>
      <c r="BA77" s="54">
        <v>19</v>
      </c>
      <c r="BB77" s="54">
        <v>20</v>
      </c>
      <c r="BC77" s="54">
        <v>20</v>
      </c>
      <c r="BD77" s="54">
        <v>24</v>
      </c>
      <c r="BE77" s="54">
        <v>23</v>
      </c>
      <c r="BF77" s="54">
        <v>20</v>
      </c>
      <c r="BG77" s="54">
        <v>26</v>
      </c>
      <c r="BH77" s="54">
        <v>25</v>
      </c>
      <c r="BI77" s="54">
        <v>35</v>
      </c>
      <c r="BJ77" s="54">
        <v>21</v>
      </c>
      <c r="BK77" s="54">
        <v>37</v>
      </c>
      <c r="BL77" s="54">
        <v>26</v>
      </c>
      <c r="BM77" s="54">
        <v>31</v>
      </c>
      <c r="BN77" s="54">
        <v>18</v>
      </c>
      <c r="BO77" s="54">
        <v>35</v>
      </c>
      <c r="BP77" s="54">
        <v>27</v>
      </c>
      <c r="BQ77" s="54">
        <v>18</v>
      </c>
      <c r="BR77" s="54">
        <v>40</v>
      </c>
      <c r="BS77" s="54">
        <v>38</v>
      </c>
      <c r="BT77" s="54">
        <v>48</v>
      </c>
      <c r="BU77" s="54"/>
      <c r="BV77" s="54"/>
      <c r="BW77" s="54"/>
      <c r="BX77" s="85">
        <f>VLOOKUP(F77,[1]SKU리스트!$H:$AH,27,FALSE)</f>
        <v>422530</v>
      </c>
      <c r="BY77" s="9"/>
    </row>
    <row r="78" spans="1:78" ht="20.100000000000001" customHeight="1" x14ac:dyDescent="0.3">
      <c r="A78" s="13">
        <v>72</v>
      </c>
      <c r="B78" s="4" t="s">
        <v>345</v>
      </c>
      <c r="C78" s="69" t="s">
        <v>161</v>
      </c>
      <c r="D78" s="1"/>
      <c r="E78" s="1"/>
      <c r="F78" s="2" t="s">
        <v>289</v>
      </c>
      <c r="H78" s="3"/>
      <c r="M78" s="1">
        <v>72</v>
      </c>
      <c r="Q78" s="39" t="s">
        <v>282</v>
      </c>
      <c r="R78" s="5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50"/>
      <c r="AL78" s="50"/>
      <c r="AM78" s="50"/>
      <c r="AN78" s="50"/>
      <c r="AO78" s="53">
        <f>SUM(AI77:AO77)</f>
        <v>217</v>
      </c>
      <c r="AP78" s="51">
        <v>160</v>
      </c>
      <c r="AQ78" s="50"/>
      <c r="AR78" s="50"/>
      <c r="AS78" s="50"/>
      <c r="AT78" s="50"/>
      <c r="AU78" s="50"/>
      <c r="AV78" s="53">
        <f>SUM(AP77:AV77)</f>
        <v>250</v>
      </c>
      <c r="AW78" s="50">
        <v>159</v>
      </c>
      <c r="AX78" s="50"/>
      <c r="AY78" s="50"/>
      <c r="AZ78" s="50"/>
      <c r="BA78" s="50"/>
      <c r="BB78" s="50"/>
      <c r="BC78" s="53">
        <f>SUM(AW77:BC77)</f>
        <v>169</v>
      </c>
      <c r="BD78" s="50">
        <v>124</v>
      </c>
      <c r="BE78" s="50"/>
      <c r="BF78" s="50"/>
      <c r="BG78" s="50"/>
      <c r="BH78" s="50"/>
      <c r="BI78" s="50"/>
      <c r="BJ78" s="53">
        <f>SUM(BD77:BJ77)</f>
        <v>174</v>
      </c>
      <c r="BK78" s="50">
        <v>138</v>
      </c>
      <c r="BL78" s="50"/>
      <c r="BM78" s="50"/>
      <c r="BN78" s="50"/>
      <c r="BO78" s="50"/>
      <c r="BP78" s="50"/>
      <c r="BQ78" s="53">
        <f>SUM(BK77:BQ77)</f>
        <v>192</v>
      </c>
      <c r="BR78" s="50">
        <v>149</v>
      </c>
      <c r="BS78" s="50"/>
      <c r="BT78" s="50"/>
      <c r="BU78" s="50"/>
      <c r="BV78" s="50"/>
      <c r="BW78" s="50"/>
    </row>
    <row r="79" spans="1:78" ht="20.100000000000001" customHeight="1" x14ac:dyDescent="0.3">
      <c r="A79" s="13">
        <v>73</v>
      </c>
      <c r="B79" s="4" t="s">
        <v>345</v>
      </c>
      <c r="C79" s="69" t="s">
        <v>161</v>
      </c>
      <c r="F79" s="2">
        <v>92284671220</v>
      </c>
      <c r="H79" s="3"/>
      <c r="K79" s="62"/>
      <c r="M79" s="1">
        <v>73</v>
      </c>
      <c r="Q79" s="41" t="s">
        <v>1</v>
      </c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 t="str">
        <f>IFERROR(VLOOKUP($F79,[2]원본!$D:$BX,AI$1,FALSE),"")</f>
        <v/>
      </c>
      <c r="AJ79" s="7" t="str">
        <f>IFERROR(VLOOKUP($F79,[2]원본!$D:$BX,AJ$1,FALSE),"")</f>
        <v/>
      </c>
      <c r="AK79" s="7" t="str">
        <f>IFERROR(VLOOKUP($F79,[2]원본!$D:$BX,AK$1,FALSE),"")</f>
        <v/>
      </c>
      <c r="AL79" s="7" t="str">
        <f>IFERROR(VLOOKUP($F79,[2]원본!$D:$BX,AL$1,FALSE),"")</f>
        <v/>
      </c>
      <c r="AM79" s="7" t="str">
        <f>IFERROR(VLOOKUP($F79,[2]원본!$D:$BX,AM$1,FALSE),"")</f>
        <v/>
      </c>
      <c r="AN79" s="7" t="str">
        <f>IFERROR(VLOOKUP($F79,[2]원본!$D:$BX,AN$1,FALSE),"")</f>
        <v/>
      </c>
      <c r="AO79" s="7" t="str">
        <f>IFERROR(VLOOKUP($F79,[2]원본!$D:$BX,AO$1,FALSE),"")</f>
        <v/>
      </c>
      <c r="AP79" s="7" t="str">
        <f>IFERROR(VLOOKUP($F79,[2]원본!$D:$BX,AP$1,FALSE),"")</f>
        <v/>
      </c>
      <c r="AQ79" s="7" t="str">
        <f>IFERROR(VLOOKUP($F79,[2]원본!$D:$BX,AQ$1,FALSE),"")</f>
        <v/>
      </c>
      <c r="AR79" s="7" t="str">
        <f>IFERROR(VLOOKUP($F79,[2]원본!$D:$BX,AR$1,FALSE),"")</f>
        <v/>
      </c>
      <c r="AS79" s="7" t="str">
        <f>IFERROR(VLOOKUP($F79,[2]원본!$D:$BX,AS$1,FALSE),"")</f>
        <v/>
      </c>
      <c r="AT79" s="7" t="str">
        <f>IFERROR(VLOOKUP($F79,[2]원본!$D:$BX,AT$1,FALSE),"")</f>
        <v/>
      </c>
      <c r="AU79" s="7" t="str">
        <f>IFERROR(VLOOKUP($F79,[2]원본!$D:$BX,AU$1,FALSE),"")</f>
        <v/>
      </c>
      <c r="AV79" s="7" t="str">
        <f>IFERROR(VLOOKUP($F79,[2]원본!$D:$BX,AV$1,FALSE),"")</f>
        <v/>
      </c>
      <c r="AW79" s="7" t="str">
        <f>IFERROR(VLOOKUP($F79,[2]원본!$D:$BX,AW$1,FALSE),"")</f>
        <v/>
      </c>
      <c r="AX79" s="7" t="str">
        <f>IFERROR(VLOOKUP($F79,[2]원본!$D:$BX,AX$1,FALSE),"")</f>
        <v/>
      </c>
      <c r="AY79" s="7" t="str">
        <f>IFERROR(VLOOKUP($F79,[2]원본!$D:$BX,AY$1,FALSE),"")</f>
        <v/>
      </c>
      <c r="AZ79" s="7" t="str">
        <f>IFERROR(VLOOKUP($F79,[2]원본!$D:$BX,AZ$1,FALSE),"")</f>
        <v/>
      </c>
      <c r="BA79" s="7" t="str">
        <f>IFERROR(VLOOKUP($F79,[2]원본!$D:$BX,BA$1,FALSE),"")</f>
        <v/>
      </c>
      <c r="BB79" s="7" t="str">
        <f>IFERROR(VLOOKUP($F79,[2]원본!$D:$BX,BB$1,FALSE),"")</f>
        <v/>
      </c>
      <c r="BC79" s="7" t="str">
        <f>IFERROR(VLOOKUP($F79,[2]원본!$D:$BX,BC$1,FALSE),"")</f>
        <v/>
      </c>
      <c r="BD79" s="7" t="str">
        <f>IFERROR(VLOOKUP($F79,[2]원본!$D:$BX,BD$1,FALSE),"")</f>
        <v/>
      </c>
      <c r="BE79" s="7" t="str">
        <f>IFERROR(VLOOKUP($F79,[2]원본!$D:$BX,BE$1,FALSE),"")</f>
        <v/>
      </c>
      <c r="BF79" s="7" t="str">
        <f>IFERROR(VLOOKUP($F79,[2]원본!$D:$BX,BF$1,FALSE),"")</f>
        <v/>
      </c>
      <c r="BG79" s="7" t="str">
        <f>IFERROR(VLOOKUP($F79,[2]원본!$D:$BX,BG$1,FALSE),"")</f>
        <v/>
      </c>
      <c r="BH79" s="7" t="str">
        <f>IFERROR(VLOOKUP($F79,[2]원본!$D:$BX,BH$1,FALSE),"")</f>
        <v/>
      </c>
      <c r="BI79" s="7" t="str">
        <f>IFERROR(VLOOKUP($F79,[2]원본!$D:$BX,BI$1,FALSE),"")</f>
        <v/>
      </c>
      <c r="BJ79" s="7" t="str">
        <f>IFERROR(VLOOKUP($F79,[2]원본!$D:$BX,BJ$1,FALSE),"")</f>
        <v/>
      </c>
      <c r="BK79" s="7" t="str">
        <f>IFERROR(VLOOKUP($F79,[2]원본!$D:$BX,BK$1,FALSE),"")</f>
        <v/>
      </c>
      <c r="BL79" s="7" t="str">
        <f>IFERROR(VLOOKUP($F79,[2]원본!$D:$BX,BL$1,FALSE),"")</f>
        <v/>
      </c>
      <c r="BM79" s="7" t="str">
        <f>IFERROR(VLOOKUP($F79,[2]원본!$D:$BX,BM$1,FALSE),"")</f>
        <v/>
      </c>
      <c r="BN79" s="7" t="str">
        <f>IFERROR(VLOOKUP($F79,[2]원본!$D:$BX,BN$1,FALSE),"")</f>
        <v/>
      </c>
      <c r="BO79" s="7" t="str">
        <f>IFERROR(VLOOKUP($F79,[2]원본!$D:$BX,BO$1,FALSE),"")</f>
        <v/>
      </c>
      <c r="BP79" s="7" t="str">
        <f>IFERROR(VLOOKUP($F79,[2]원본!$D:$BX,BP$1,FALSE),"")</f>
        <v/>
      </c>
      <c r="BQ79" s="7" t="str">
        <f>IFERROR(VLOOKUP($F79,[2]원본!$D:$BX,BQ$1,FALSE),"")</f>
        <v/>
      </c>
      <c r="BR79" s="7" t="str">
        <f>IFERROR(VLOOKUP($F79,[2]원본!$D:$BX,BR$1,FALSE),"")</f>
        <v/>
      </c>
      <c r="BS79" s="7" t="str">
        <f>IFERROR(VLOOKUP($F79,[2]원본!$D:$BX,BS$1,FALSE),"")</f>
        <v/>
      </c>
      <c r="BT79" s="7" t="str">
        <f>IFERROR(VLOOKUP($F79,[2]원본!$D:$BX,BT$1,FALSE),"")</f>
        <v/>
      </c>
      <c r="BU79" s="7" t="str">
        <f>IFERROR(VLOOKUP($F79,[2]원본!$D:$BX,BU$1,FALSE),"")</f>
        <v/>
      </c>
      <c r="BV79" s="7" t="str">
        <f>IFERROR(VLOOKUP($F79,#REF!,BV$1,FALSE),"")</f>
        <v/>
      </c>
      <c r="BW79" s="7"/>
      <c r="BX79" s="26">
        <f>(SUM(R79:BW79)*D77)-(SUM(R79:BW79)*E77)</f>
        <v>0</v>
      </c>
      <c r="BZ79" s="101" t="str">
        <f>IFERROR(VLOOKUP($F79,#REF!,BZ$1,FALSE),"")</f>
        <v/>
      </c>
    </row>
    <row r="80" spans="1:78" ht="20.100000000000001" customHeight="1" x14ac:dyDescent="0.3">
      <c r="A80" s="13">
        <v>74</v>
      </c>
      <c r="B80" s="4" t="s">
        <v>345</v>
      </c>
      <c r="C80" s="69" t="s">
        <v>161</v>
      </c>
      <c r="D80" s="82" t="s">
        <v>171</v>
      </c>
      <c r="F80" s="2">
        <v>92284671220</v>
      </c>
      <c r="G80" s="3" t="s">
        <v>139</v>
      </c>
      <c r="H80" s="3"/>
      <c r="J80" s="4" t="s">
        <v>13</v>
      </c>
      <c r="K80" s="62">
        <v>141700</v>
      </c>
      <c r="L80" s="1">
        <v>1</v>
      </c>
      <c r="M80" s="1">
        <v>79</v>
      </c>
      <c r="Q80" s="42" t="s">
        <v>0</v>
      </c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>
        <v>63</v>
      </c>
      <c r="AL80" s="7"/>
      <c r="AM80" s="7"/>
      <c r="AN80" s="7"/>
      <c r="AO80" s="7"/>
      <c r="AP80" s="7"/>
      <c r="AQ80" s="7"/>
      <c r="AR80" s="7"/>
      <c r="AS80" s="7"/>
      <c r="AT80" s="7">
        <v>38</v>
      </c>
      <c r="AU80" s="7">
        <v>37</v>
      </c>
      <c r="AV80" s="7"/>
      <c r="AW80" s="7"/>
      <c r="AX80" s="7">
        <v>33</v>
      </c>
      <c r="AY80" s="7"/>
      <c r="AZ80" s="7"/>
      <c r="BA80" s="7">
        <v>61</v>
      </c>
      <c r="BB80" s="7">
        <v>95</v>
      </c>
      <c r="BC80" s="7"/>
      <c r="BD80" s="7"/>
      <c r="BE80" s="7"/>
      <c r="BF80" s="7"/>
      <c r="BG80" s="7">
        <v>90</v>
      </c>
      <c r="BH80" s="7">
        <v>61</v>
      </c>
      <c r="BI80" s="7">
        <v>115</v>
      </c>
      <c r="BJ80" s="7"/>
      <c r="BK80" s="7"/>
      <c r="BL80" s="7">
        <v>101</v>
      </c>
      <c r="BM80" s="7"/>
      <c r="BN80" s="7">
        <v>19</v>
      </c>
      <c r="BO80" s="7"/>
      <c r="BP80" s="7"/>
      <c r="BQ80" s="7"/>
      <c r="BR80" s="7"/>
      <c r="BS80" s="7">
        <v>101</v>
      </c>
      <c r="BT80" s="7"/>
      <c r="BU80" s="7"/>
      <c r="BV80" s="7"/>
      <c r="BW80" s="7"/>
    </row>
    <row r="81" spans="1:78" ht="20.100000000000001" customHeight="1" x14ac:dyDescent="0.3">
      <c r="A81" s="13">
        <v>75</v>
      </c>
      <c r="B81" s="4" t="s">
        <v>345</v>
      </c>
      <c r="C81" s="69" t="s">
        <v>161</v>
      </c>
      <c r="F81" s="2">
        <v>92284671220</v>
      </c>
      <c r="H81" s="3"/>
      <c r="J81" s="4" t="s">
        <v>86</v>
      </c>
      <c r="K81" s="62">
        <v>90000</v>
      </c>
      <c r="L81" s="1">
        <v>1</v>
      </c>
      <c r="M81" s="1">
        <v>76</v>
      </c>
      <c r="Q81" s="42" t="s">
        <v>0</v>
      </c>
      <c r="R81" s="7">
        <v>2</v>
      </c>
      <c r="S81" s="7">
        <v>2</v>
      </c>
      <c r="T81" s="7">
        <v>3</v>
      </c>
      <c r="U81" s="7"/>
      <c r="V81" s="7">
        <v>7</v>
      </c>
      <c r="W81" s="7">
        <v>3</v>
      </c>
      <c r="X81" s="7">
        <v>1</v>
      </c>
      <c r="Y81" s="7">
        <v>1</v>
      </c>
      <c r="Z81" s="7">
        <v>1</v>
      </c>
      <c r="AA81" s="7">
        <v>1</v>
      </c>
      <c r="AB81" s="7"/>
      <c r="AC81" s="7">
        <v>2</v>
      </c>
      <c r="AD81" s="7">
        <v>1</v>
      </c>
      <c r="AE81" s="7">
        <v>2</v>
      </c>
      <c r="AF81" s="7"/>
      <c r="AG81" s="7">
        <v>3</v>
      </c>
      <c r="AH81" s="7"/>
      <c r="AI81" s="7"/>
      <c r="AJ81" s="7"/>
      <c r="AK81" s="7">
        <v>14</v>
      </c>
      <c r="AL81" s="7"/>
      <c r="AM81" s="7"/>
      <c r="AN81" s="7"/>
      <c r="AO81" s="7"/>
      <c r="AP81" s="7"/>
      <c r="AQ81" s="7"/>
      <c r="AR81" s="7"/>
      <c r="AS81" s="7"/>
      <c r="AT81" s="7">
        <v>6</v>
      </c>
      <c r="AU81" s="7">
        <v>6</v>
      </c>
      <c r="AV81" s="7"/>
      <c r="AW81" s="7"/>
      <c r="AX81" s="7">
        <v>3</v>
      </c>
      <c r="AY81" s="7"/>
      <c r="AZ81" s="7">
        <v>5</v>
      </c>
      <c r="BA81" s="7">
        <v>17</v>
      </c>
      <c r="BB81" s="7">
        <v>5</v>
      </c>
      <c r="BC81" s="7"/>
      <c r="BD81" s="7"/>
      <c r="BE81" s="7">
        <v>7</v>
      </c>
      <c r="BF81" s="7">
        <v>6</v>
      </c>
      <c r="BG81" s="7">
        <v>7</v>
      </c>
      <c r="BH81" s="7">
        <v>17</v>
      </c>
      <c r="BI81" s="7">
        <v>7</v>
      </c>
      <c r="BJ81" s="7"/>
      <c r="BK81" s="7"/>
      <c r="BL81" s="7">
        <v>7</v>
      </c>
      <c r="BM81" s="7"/>
      <c r="BN81" s="7">
        <v>7</v>
      </c>
      <c r="BO81" s="7">
        <v>7</v>
      </c>
      <c r="BP81" s="7"/>
      <c r="BQ81" s="7"/>
      <c r="BR81" s="7"/>
      <c r="BS81" s="7">
        <v>6</v>
      </c>
      <c r="BT81" s="7">
        <v>6</v>
      </c>
      <c r="BU81" s="7">
        <v>6</v>
      </c>
      <c r="BV81" s="7"/>
      <c r="BW81" s="7"/>
    </row>
    <row r="82" spans="1:78" ht="20.100000000000001" customHeight="1" x14ac:dyDescent="0.3">
      <c r="A82" s="13">
        <v>76</v>
      </c>
      <c r="B82" s="4" t="s">
        <v>345</v>
      </c>
      <c r="C82" s="69" t="s">
        <v>161</v>
      </c>
      <c r="F82" s="2">
        <v>92284671220</v>
      </c>
      <c r="H82" s="3"/>
      <c r="J82" s="4" t="s">
        <v>12</v>
      </c>
      <c r="K82" s="62">
        <v>19500</v>
      </c>
      <c r="L82" s="1">
        <v>1</v>
      </c>
      <c r="M82" s="1">
        <v>78</v>
      </c>
      <c r="Q82" s="42" t="s">
        <v>0</v>
      </c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>
        <v>109</v>
      </c>
      <c r="AL82" s="7"/>
      <c r="AM82" s="7"/>
      <c r="AN82" s="7"/>
      <c r="AO82" s="7"/>
      <c r="AP82" s="7"/>
      <c r="AQ82" s="7"/>
      <c r="AR82" s="7"/>
      <c r="AS82" s="7"/>
      <c r="AT82" s="7">
        <v>187</v>
      </c>
      <c r="AU82" s="7">
        <v>50</v>
      </c>
      <c r="AV82" s="7"/>
      <c r="AW82" s="7"/>
      <c r="AX82" s="7">
        <v>93</v>
      </c>
      <c r="AY82" s="7"/>
      <c r="AZ82" s="7">
        <v>68</v>
      </c>
      <c r="BA82" s="7">
        <v>189</v>
      </c>
      <c r="BB82" s="7">
        <v>49</v>
      </c>
      <c r="BC82" s="7"/>
      <c r="BD82" s="7"/>
      <c r="BE82" s="7">
        <v>50</v>
      </c>
      <c r="BF82" s="7">
        <v>39</v>
      </c>
      <c r="BG82" s="7">
        <v>44</v>
      </c>
      <c r="BH82" s="7">
        <v>189</v>
      </c>
      <c r="BI82" s="7">
        <v>43</v>
      </c>
      <c r="BJ82" s="7"/>
      <c r="BK82" s="7"/>
      <c r="BL82" s="7">
        <v>44</v>
      </c>
      <c r="BM82" s="7"/>
      <c r="BN82" s="7">
        <v>44</v>
      </c>
      <c r="BO82" s="7">
        <v>44</v>
      </c>
      <c r="BP82" s="7"/>
      <c r="BQ82" s="7"/>
      <c r="BR82" s="7"/>
      <c r="BS82" s="7">
        <v>36</v>
      </c>
      <c r="BT82" s="7">
        <v>27</v>
      </c>
      <c r="BU82" s="7">
        <v>27</v>
      </c>
      <c r="BV82" s="7"/>
      <c r="BW82" s="7"/>
    </row>
    <row r="83" spans="1:78" ht="20.100000000000001" customHeight="1" x14ac:dyDescent="0.3">
      <c r="A83" s="13">
        <v>77</v>
      </c>
      <c r="B83" s="4" t="s">
        <v>345</v>
      </c>
      <c r="C83" s="69" t="s">
        <v>161</v>
      </c>
      <c r="F83" s="2">
        <v>92284671220</v>
      </c>
      <c r="H83" s="3"/>
      <c r="J83" s="4" t="s">
        <v>84</v>
      </c>
      <c r="K83" s="62">
        <v>11400</v>
      </c>
      <c r="L83" s="1">
        <v>1</v>
      </c>
      <c r="M83" s="1">
        <v>74</v>
      </c>
      <c r="Q83" s="42" t="s">
        <v>0</v>
      </c>
      <c r="R83" s="7">
        <v>58</v>
      </c>
      <c r="S83" s="7">
        <v>58</v>
      </c>
      <c r="T83" s="7">
        <v>34</v>
      </c>
      <c r="U83" s="7"/>
      <c r="V83" s="7">
        <v>34</v>
      </c>
      <c r="W83" s="7">
        <v>8</v>
      </c>
      <c r="X83" s="7">
        <v>9</v>
      </c>
      <c r="Y83" s="7" t="s">
        <v>54</v>
      </c>
      <c r="Z83" s="7">
        <v>18</v>
      </c>
      <c r="AA83" s="7">
        <v>19</v>
      </c>
      <c r="AB83" s="7"/>
      <c r="AC83" s="7">
        <v>8</v>
      </c>
      <c r="AD83" s="7">
        <v>8</v>
      </c>
      <c r="AE83" s="7">
        <v>3</v>
      </c>
      <c r="AF83" s="7"/>
      <c r="AG83" s="7">
        <v>1</v>
      </c>
      <c r="AH83" s="7"/>
      <c r="AI83" s="7"/>
      <c r="AJ83" s="7"/>
      <c r="AK83" s="7">
        <v>6</v>
      </c>
      <c r="AL83" s="7"/>
      <c r="AM83" s="7"/>
      <c r="AN83" s="7"/>
      <c r="AO83" s="7"/>
      <c r="AP83" s="7"/>
      <c r="AQ83" s="7"/>
      <c r="AR83" s="7"/>
      <c r="AS83" s="7"/>
      <c r="AT83" s="7">
        <v>6</v>
      </c>
      <c r="AU83" s="7">
        <v>8</v>
      </c>
      <c r="AV83" s="7"/>
      <c r="AW83" s="7"/>
      <c r="AX83" s="7">
        <v>7</v>
      </c>
      <c r="AY83" s="7"/>
      <c r="AZ83" s="7">
        <v>6</v>
      </c>
      <c r="BA83" s="7">
        <v>7</v>
      </c>
      <c r="BB83" s="7">
        <v>8</v>
      </c>
      <c r="BC83" s="7"/>
      <c r="BD83" s="7"/>
      <c r="BE83" s="7">
        <v>5</v>
      </c>
      <c r="BF83" s="7">
        <v>6</v>
      </c>
      <c r="BG83" s="7">
        <v>6</v>
      </c>
      <c r="BH83" s="7">
        <v>7</v>
      </c>
      <c r="BI83" s="7">
        <v>6</v>
      </c>
      <c r="BJ83" s="7"/>
      <c r="BK83" s="7"/>
      <c r="BL83" s="7">
        <v>5</v>
      </c>
      <c r="BM83" s="7"/>
      <c r="BN83" s="7">
        <v>4</v>
      </c>
      <c r="BO83" s="7">
        <v>4</v>
      </c>
      <c r="BP83" s="7"/>
      <c r="BQ83" s="7"/>
      <c r="BR83" s="7"/>
      <c r="BS83" s="7">
        <v>3</v>
      </c>
      <c r="BT83" s="7">
        <v>3</v>
      </c>
      <c r="BU83" s="7">
        <v>3</v>
      </c>
      <c r="BV83" s="7"/>
      <c r="BW83" s="7"/>
    </row>
    <row r="84" spans="1:78" ht="20.100000000000001" customHeight="1" x14ac:dyDescent="0.3">
      <c r="A84" s="13">
        <v>78</v>
      </c>
      <c r="B84" s="4" t="s">
        <v>345</v>
      </c>
      <c r="C84" s="69" t="s">
        <v>161</v>
      </c>
      <c r="D84" s="20"/>
      <c r="E84" s="20"/>
      <c r="F84" s="2">
        <v>92284671220</v>
      </c>
      <c r="H84" s="3"/>
      <c r="J84" s="4" t="s">
        <v>87</v>
      </c>
      <c r="K84" s="62">
        <v>4979</v>
      </c>
      <c r="L84" s="1">
        <v>1</v>
      </c>
      <c r="M84" s="1">
        <v>77</v>
      </c>
      <c r="Q84" s="42" t="s">
        <v>0</v>
      </c>
      <c r="R84" s="7" t="s">
        <v>36</v>
      </c>
      <c r="S84" s="7"/>
      <c r="T84" s="7"/>
      <c r="U84" s="7"/>
      <c r="V84" s="7"/>
      <c r="W84" s="7"/>
      <c r="X84" s="7"/>
      <c r="Y84" s="7" t="s">
        <v>54</v>
      </c>
      <c r="Z84" s="7" t="s">
        <v>36</v>
      </c>
      <c r="AA84" s="7" t="s">
        <v>36</v>
      </c>
      <c r="AB84" s="7"/>
      <c r="AC84" s="7" t="s">
        <v>36</v>
      </c>
      <c r="AD84" s="7">
        <v>8</v>
      </c>
      <c r="AE84" s="7">
        <v>20</v>
      </c>
      <c r="AF84" s="7"/>
      <c r="AG84" s="7">
        <v>4</v>
      </c>
      <c r="AH84" s="7"/>
      <c r="AI84" s="7"/>
      <c r="AJ84" s="7"/>
      <c r="AK84" s="7">
        <v>13</v>
      </c>
      <c r="AL84" s="7"/>
      <c r="AM84" s="7"/>
      <c r="AN84" s="7"/>
      <c r="AO84" s="7"/>
      <c r="AP84" s="7"/>
      <c r="AQ84" s="7"/>
      <c r="AR84" s="7"/>
      <c r="AS84" s="7"/>
      <c r="AT84" s="7">
        <v>7</v>
      </c>
      <c r="AU84" s="7">
        <v>4</v>
      </c>
      <c r="AV84" s="7"/>
      <c r="AW84" s="7"/>
      <c r="AX84" s="7">
        <v>5</v>
      </c>
      <c r="AY84" s="7"/>
      <c r="AZ84" s="7">
        <v>6</v>
      </c>
      <c r="BA84" s="7">
        <v>16</v>
      </c>
      <c r="BB84" s="7">
        <v>5</v>
      </c>
      <c r="BC84" s="7"/>
      <c r="BD84" s="7"/>
      <c r="BE84" s="7">
        <v>4</v>
      </c>
      <c r="BF84" s="7">
        <v>6</v>
      </c>
      <c r="BG84" s="7">
        <v>6</v>
      </c>
      <c r="BH84" s="7">
        <v>16</v>
      </c>
      <c r="BI84" s="7">
        <v>4</v>
      </c>
      <c r="BJ84" s="7"/>
      <c r="BK84" s="7"/>
      <c r="BL84" s="7">
        <v>4</v>
      </c>
      <c r="BM84" s="7"/>
      <c r="BN84" s="7">
        <v>4</v>
      </c>
      <c r="BO84" s="7">
        <v>4</v>
      </c>
      <c r="BP84" s="7"/>
      <c r="BQ84" s="7"/>
      <c r="BR84" s="7"/>
      <c r="BS84" s="7">
        <v>4</v>
      </c>
      <c r="BT84" s="7">
        <v>4</v>
      </c>
      <c r="BU84" s="7">
        <v>4</v>
      </c>
      <c r="BV84" s="7"/>
      <c r="BW84" s="7"/>
    </row>
    <row r="85" spans="1:78" ht="20.100000000000001" customHeight="1" thickBot="1" x14ac:dyDescent="0.35">
      <c r="A85" s="13">
        <v>79</v>
      </c>
      <c r="B85" s="91" t="s">
        <v>345</v>
      </c>
      <c r="C85" s="93" t="s">
        <v>161</v>
      </c>
      <c r="D85" s="94"/>
      <c r="E85" s="94"/>
      <c r="F85" s="96">
        <v>92284671220</v>
      </c>
      <c r="G85" s="97"/>
      <c r="H85" s="97"/>
      <c r="I85" s="97"/>
      <c r="J85" s="91" t="s">
        <v>85</v>
      </c>
      <c r="K85" s="62">
        <v>3887</v>
      </c>
      <c r="L85" s="98">
        <v>1</v>
      </c>
      <c r="M85" s="98">
        <v>75</v>
      </c>
      <c r="N85" s="98"/>
      <c r="O85" s="98"/>
      <c r="P85" s="98"/>
      <c r="Q85" s="42" t="s">
        <v>0</v>
      </c>
      <c r="R85" s="7"/>
      <c r="S85" s="7"/>
      <c r="T85" s="7"/>
      <c r="U85" s="7"/>
      <c r="V85" s="7"/>
      <c r="W85" s="7"/>
      <c r="X85" s="7"/>
      <c r="Y85" s="7">
        <v>3</v>
      </c>
      <c r="Z85" s="7">
        <v>3</v>
      </c>
      <c r="AA85" s="7">
        <v>2</v>
      </c>
      <c r="AB85" s="7"/>
      <c r="AC85" s="7">
        <v>4</v>
      </c>
      <c r="AD85" s="7">
        <v>3</v>
      </c>
      <c r="AE85" s="7">
        <v>5</v>
      </c>
      <c r="AF85" s="7"/>
      <c r="AG85" s="7">
        <v>2</v>
      </c>
      <c r="AH85" s="7"/>
      <c r="AI85" s="7"/>
      <c r="AJ85" s="7"/>
      <c r="AK85" s="7">
        <v>2</v>
      </c>
      <c r="AL85" s="7"/>
      <c r="AM85" s="7"/>
      <c r="AN85" s="7"/>
      <c r="AO85" s="7"/>
      <c r="AP85" s="7"/>
      <c r="AQ85" s="7"/>
      <c r="AR85" s="7"/>
      <c r="AS85" s="7"/>
      <c r="AT85" s="7">
        <v>2</v>
      </c>
      <c r="AU85" s="7">
        <v>2</v>
      </c>
      <c r="AV85" s="7"/>
      <c r="AW85" s="7"/>
      <c r="AX85" s="7">
        <v>2</v>
      </c>
      <c r="AY85" s="7"/>
      <c r="AZ85" s="7">
        <v>2</v>
      </c>
      <c r="BA85" s="7">
        <v>3</v>
      </c>
      <c r="BB85" s="7">
        <v>2</v>
      </c>
      <c r="BC85" s="7"/>
      <c r="BD85" s="7"/>
      <c r="BE85" s="7">
        <v>2</v>
      </c>
      <c r="BF85" s="7">
        <v>2</v>
      </c>
      <c r="BG85" s="7">
        <v>2</v>
      </c>
      <c r="BH85" s="7">
        <v>3</v>
      </c>
      <c r="BI85" s="7">
        <v>2</v>
      </c>
      <c r="BJ85" s="7"/>
      <c r="BK85" s="7"/>
      <c r="BL85" s="7">
        <v>2</v>
      </c>
      <c r="BM85" s="7"/>
      <c r="BN85" s="7">
        <v>2</v>
      </c>
      <c r="BO85" s="7">
        <v>2</v>
      </c>
      <c r="BP85" s="7"/>
      <c r="BQ85" s="7"/>
      <c r="BR85" s="7"/>
      <c r="BS85" s="7">
        <v>2</v>
      </c>
      <c r="BT85" s="7">
        <v>2</v>
      </c>
      <c r="BU85" s="7">
        <v>2</v>
      </c>
      <c r="BV85" s="7"/>
      <c r="BW85" s="7"/>
      <c r="BY85" s="91"/>
      <c r="BZ85" s="98"/>
    </row>
    <row r="86" spans="1:78" s="8" customFormat="1" ht="20.100000000000001" customHeight="1" x14ac:dyDescent="0.3">
      <c r="A86" s="13">
        <v>80</v>
      </c>
      <c r="B86" s="9" t="s">
        <v>345</v>
      </c>
      <c r="C86" s="70" t="s">
        <v>161</v>
      </c>
      <c r="D86" s="46">
        <f>VLOOKUP(F88,[1]SKU리스트!$H:$L,5,FALSE)</f>
        <v>9900</v>
      </c>
      <c r="E86" s="47">
        <f>VLOOKUP(F88,[1]SKU리스트!$H:$AK,30,FALSE)</f>
        <v>3779.0909090909086</v>
      </c>
      <c r="F86" s="10" t="s">
        <v>202</v>
      </c>
      <c r="G86" s="11"/>
      <c r="H86" s="11"/>
      <c r="I86" s="11"/>
      <c r="J86" s="9"/>
      <c r="K86" s="12"/>
      <c r="M86" s="8">
        <v>80</v>
      </c>
      <c r="Q86" s="44" t="s">
        <v>125</v>
      </c>
      <c r="R86" s="54">
        <v>3</v>
      </c>
      <c r="S86" s="54">
        <v>1</v>
      </c>
      <c r="T86" s="54">
        <v>6</v>
      </c>
      <c r="U86" s="54">
        <v>2</v>
      </c>
      <c r="V86" s="54">
        <v>6</v>
      </c>
      <c r="W86" s="54">
        <v>5</v>
      </c>
      <c r="X86" s="54">
        <v>6</v>
      </c>
      <c r="Y86" s="54">
        <v>1</v>
      </c>
      <c r="Z86" s="54">
        <v>2</v>
      </c>
      <c r="AA86" s="54">
        <v>4</v>
      </c>
      <c r="AB86" s="54">
        <v>2</v>
      </c>
      <c r="AC86" s="54">
        <v>2</v>
      </c>
      <c r="AD86" s="54">
        <v>4</v>
      </c>
      <c r="AE86" s="54">
        <v>5</v>
      </c>
      <c r="AF86" s="54">
        <v>4</v>
      </c>
      <c r="AG86" s="54" t="s">
        <v>221</v>
      </c>
      <c r="AH86" s="54" t="s">
        <v>221</v>
      </c>
      <c r="AI86" s="54" t="s">
        <v>221</v>
      </c>
      <c r="AJ86" s="54">
        <v>3</v>
      </c>
      <c r="AK86" s="54">
        <v>3</v>
      </c>
      <c r="AL86" s="54">
        <v>2</v>
      </c>
      <c r="AM86" s="54">
        <v>1</v>
      </c>
      <c r="AN86" s="54">
        <v>3</v>
      </c>
      <c r="AO86" s="54">
        <v>2</v>
      </c>
      <c r="AP86" s="54">
        <v>1</v>
      </c>
      <c r="AQ86" s="54">
        <v>1</v>
      </c>
      <c r="AR86" s="54" t="s">
        <v>221</v>
      </c>
      <c r="AS86" s="54">
        <v>0</v>
      </c>
      <c r="AT86" s="54" t="s">
        <v>221</v>
      </c>
      <c r="AU86" s="54">
        <v>1</v>
      </c>
      <c r="AV86" s="54">
        <v>1</v>
      </c>
      <c r="AW86" s="54">
        <v>1</v>
      </c>
      <c r="AX86" s="54">
        <v>1</v>
      </c>
      <c r="AY86" s="54">
        <v>2</v>
      </c>
      <c r="AZ86" s="54">
        <v>1</v>
      </c>
      <c r="BA86" s="54" t="s">
        <v>221</v>
      </c>
      <c r="BB86" s="54">
        <v>1</v>
      </c>
      <c r="BC86" s="54" t="s">
        <v>221</v>
      </c>
      <c r="BD86" s="54" t="s">
        <v>221</v>
      </c>
      <c r="BE86" s="54" t="s">
        <v>221</v>
      </c>
      <c r="BF86" s="54" t="s">
        <v>221</v>
      </c>
      <c r="BG86" s="54" t="s">
        <v>221</v>
      </c>
      <c r="BH86" s="54" t="s">
        <v>221</v>
      </c>
      <c r="BI86" s="54" t="s">
        <v>221</v>
      </c>
      <c r="BJ86" s="54" t="s">
        <v>221</v>
      </c>
      <c r="BK86" s="54" t="s">
        <v>221</v>
      </c>
      <c r="BL86" s="54" t="s">
        <v>221</v>
      </c>
      <c r="BM86" s="54" t="s">
        <v>221</v>
      </c>
      <c r="BN86" s="54" t="s">
        <v>221</v>
      </c>
      <c r="BO86" s="54" t="s">
        <v>221</v>
      </c>
      <c r="BP86" s="54" t="s">
        <v>221</v>
      </c>
      <c r="BQ86" s="54" t="s">
        <v>221</v>
      </c>
      <c r="BR86" s="54" t="s">
        <v>221</v>
      </c>
      <c r="BS86" s="54" t="s">
        <v>221</v>
      </c>
      <c r="BT86" s="54" t="s">
        <v>221</v>
      </c>
      <c r="BU86" s="54"/>
      <c r="BV86" s="54"/>
      <c r="BW86" s="54"/>
      <c r="BX86" s="85" t="str">
        <f>VLOOKUP(F86,[1]SKU리스트!$H:$AH,27,FALSE)</f>
        <v>광고X</v>
      </c>
      <c r="BY86" s="9"/>
    </row>
    <row r="87" spans="1:78" ht="20.100000000000001" customHeight="1" x14ac:dyDescent="0.3">
      <c r="A87" s="13">
        <v>81</v>
      </c>
      <c r="B87" s="4" t="s">
        <v>345</v>
      </c>
      <c r="C87" s="69" t="s">
        <v>161</v>
      </c>
      <c r="D87" s="1"/>
      <c r="E87" s="1"/>
      <c r="F87" s="2" t="s">
        <v>290</v>
      </c>
      <c r="H87" s="3"/>
      <c r="M87" s="1">
        <v>81</v>
      </c>
      <c r="Q87" s="39" t="s">
        <v>282</v>
      </c>
      <c r="R87" s="5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50"/>
      <c r="AL87" s="50"/>
      <c r="AM87" s="50"/>
      <c r="AN87" s="50"/>
      <c r="AO87" s="53">
        <f>SUM(AI86:AO86)</f>
        <v>14</v>
      </c>
      <c r="AP87" s="51" t="s">
        <v>221</v>
      </c>
      <c r="AQ87" s="50"/>
      <c r="AR87" s="50"/>
      <c r="AS87" s="50"/>
      <c r="AT87" s="50"/>
      <c r="AU87" s="50"/>
      <c r="AV87" s="53">
        <f>SUM(AP86:AV86)</f>
        <v>4</v>
      </c>
      <c r="AW87" s="50" t="s">
        <v>221</v>
      </c>
      <c r="AX87" s="50"/>
      <c r="AY87" s="50"/>
      <c r="AZ87" s="50"/>
      <c r="BA87" s="50"/>
      <c r="BB87" s="50"/>
      <c r="BC87" s="53">
        <f>SUM(AW86:BC86)</f>
        <v>6</v>
      </c>
      <c r="BD87" s="50" t="s">
        <v>221</v>
      </c>
      <c r="BE87" s="50"/>
      <c r="BF87" s="50"/>
      <c r="BG87" s="50"/>
      <c r="BH87" s="50"/>
      <c r="BI87" s="50"/>
      <c r="BJ87" s="53">
        <f>SUM(BD86:BJ86)</f>
        <v>0</v>
      </c>
      <c r="BK87" s="50" t="s">
        <v>221</v>
      </c>
      <c r="BL87" s="50"/>
      <c r="BM87" s="50"/>
      <c r="BN87" s="50"/>
      <c r="BO87" s="50"/>
      <c r="BP87" s="50"/>
      <c r="BQ87" s="53">
        <f>SUM(BK86:BQ86)</f>
        <v>0</v>
      </c>
      <c r="BR87" s="50" t="s">
        <v>221</v>
      </c>
      <c r="BS87" s="50"/>
      <c r="BT87" s="50"/>
      <c r="BU87" s="50"/>
      <c r="BV87" s="50"/>
      <c r="BW87" s="50"/>
    </row>
    <row r="88" spans="1:78" ht="20.100000000000001" customHeight="1" x14ac:dyDescent="0.3">
      <c r="A88" s="13">
        <v>82</v>
      </c>
      <c r="B88" s="4" t="s">
        <v>345</v>
      </c>
      <c r="C88" s="69" t="s">
        <v>161</v>
      </c>
      <c r="F88" s="2">
        <v>92284671229</v>
      </c>
      <c r="H88" s="3"/>
      <c r="M88" s="1">
        <v>82</v>
      </c>
      <c r="Q88" s="41" t="s">
        <v>1</v>
      </c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 t="str">
        <f>IFERROR(VLOOKUP($F88,[2]원본!$D:$BX,AI$1,FALSE),"")</f>
        <v/>
      </c>
      <c r="AJ88" s="40" t="str">
        <f>IFERROR(VLOOKUP($F88,[2]원본!$D:$BX,AJ$1,FALSE),"")</f>
        <v/>
      </c>
      <c r="AK88" s="40" t="str">
        <f>IFERROR(VLOOKUP($F88,[2]원본!$D:$BX,AK$1,FALSE),"")</f>
        <v/>
      </c>
      <c r="AL88" s="40" t="str">
        <f>IFERROR(VLOOKUP($F88,[2]원본!$D:$BX,AL$1,FALSE),"")</f>
        <v/>
      </c>
      <c r="AM88" s="40" t="str">
        <f>IFERROR(VLOOKUP($F88,[2]원본!$D:$BX,AM$1,FALSE),"")</f>
        <v/>
      </c>
      <c r="AN88" s="40" t="str">
        <f>IFERROR(VLOOKUP($F88,[2]원본!$D:$BX,AN$1,FALSE),"")</f>
        <v/>
      </c>
      <c r="AO88" s="40" t="str">
        <f>IFERROR(VLOOKUP($F88,[2]원본!$D:$BX,AO$1,FALSE),"")</f>
        <v/>
      </c>
      <c r="AP88" s="40" t="str">
        <f>IFERROR(VLOOKUP($F88,[2]원본!$D:$BX,AP$1,FALSE),"")</f>
        <v/>
      </c>
      <c r="AQ88" s="40" t="str">
        <f>IFERROR(VLOOKUP($F88,[2]원본!$D:$BX,AQ$1,FALSE),"")</f>
        <v/>
      </c>
      <c r="AR88" s="40" t="str">
        <f>IFERROR(VLOOKUP($F88,[2]원본!$D:$BX,AR$1,FALSE),"")</f>
        <v/>
      </c>
      <c r="AS88" s="40" t="str">
        <f>IFERROR(VLOOKUP($F88,[2]원본!$D:$BX,AS$1,FALSE),"")</f>
        <v/>
      </c>
      <c r="AT88" s="40" t="str">
        <f>IFERROR(VLOOKUP($F88,[2]원본!$D:$BX,AT$1,FALSE),"")</f>
        <v/>
      </c>
      <c r="AU88" s="40" t="str">
        <f>IFERROR(VLOOKUP($F88,[2]원본!$D:$BX,AU$1,FALSE),"")</f>
        <v/>
      </c>
      <c r="AV88" s="40" t="str">
        <f>IFERROR(VLOOKUP($F88,[2]원본!$D:$BX,AV$1,FALSE),"")</f>
        <v/>
      </c>
      <c r="AW88" s="40" t="str">
        <f>IFERROR(VLOOKUP($F88,[2]원본!$D:$BX,AW$1,FALSE),"")</f>
        <v/>
      </c>
      <c r="AX88" s="40" t="str">
        <f>IFERROR(VLOOKUP($F88,[2]원본!$D:$BX,AX$1,FALSE),"")</f>
        <v/>
      </c>
      <c r="AY88" s="40" t="str">
        <f>IFERROR(VLOOKUP($F88,[2]원본!$D:$BX,AY$1,FALSE),"")</f>
        <v/>
      </c>
      <c r="AZ88" s="40" t="str">
        <f>IFERROR(VLOOKUP($F88,[2]원본!$D:$BX,AZ$1,FALSE),"")</f>
        <v/>
      </c>
      <c r="BA88" s="40" t="str">
        <f>IFERROR(VLOOKUP($F88,[2]원본!$D:$BX,BA$1,FALSE),"")</f>
        <v/>
      </c>
      <c r="BB88" s="40" t="str">
        <f>IFERROR(VLOOKUP($F88,[2]원본!$D:$BX,BB$1,FALSE),"")</f>
        <v/>
      </c>
      <c r="BC88" s="40" t="str">
        <f>IFERROR(VLOOKUP($F88,[2]원본!$D:$BX,BC$1,FALSE),"")</f>
        <v/>
      </c>
      <c r="BD88" s="40" t="str">
        <f>IFERROR(VLOOKUP($F88,[2]원본!$D:$BX,BD$1,FALSE),"")</f>
        <v/>
      </c>
      <c r="BE88" s="40" t="str">
        <f>IFERROR(VLOOKUP($F88,[2]원본!$D:$BX,BE$1,FALSE),"")</f>
        <v/>
      </c>
      <c r="BF88" s="40" t="str">
        <f>IFERROR(VLOOKUP($F88,[2]원본!$D:$BX,BF$1,FALSE),"")</f>
        <v/>
      </c>
      <c r="BG88" s="40" t="str">
        <f>IFERROR(VLOOKUP($F88,[2]원본!$D:$BX,BG$1,FALSE),"")</f>
        <v/>
      </c>
      <c r="BH88" s="40" t="str">
        <f>IFERROR(VLOOKUP($F88,[2]원본!$D:$BX,BH$1,FALSE),"")</f>
        <v/>
      </c>
      <c r="BI88" s="40" t="str">
        <f>IFERROR(VLOOKUP($F88,[2]원본!$D:$BX,BI$1,FALSE),"")</f>
        <v/>
      </c>
      <c r="BJ88" s="40" t="str">
        <f>IFERROR(VLOOKUP($F88,[2]원본!$D:$BX,BJ$1,FALSE),"")</f>
        <v/>
      </c>
      <c r="BK88" s="40" t="str">
        <f>IFERROR(VLOOKUP($F88,[2]원본!$D:$BX,BK$1,FALSE),"")</f>
        <v/>
      </c>
      <c r="BL88" s="40" t="str">
        <f>IFERROR(VLOOKUP($F88,[2]원본!$D:$BX,BL$1,FALSE),"")</f>
        <v/>
      </c>
      <c r="BM88" s="40" t="str">
        <f>IFERROR(VLOOKUP($F88,[2]원본!$D:$BX,BM$1,FALSE),"")</f>
        <v/>
      </c>
      <c r="BN88" s="40" t="str">
        <f>IFERROR(VLOOKUP($F88,[2]원본!$D:$BX,BN$1,FALSE),"")</f>
        <v/>
      </c>
      <c r="BO88" s="40" t="str">
        <f>IFERROR(VLOOKUP($F88,[2]원본!$D:$BX,BO$1,FALSE),"")</f>
        <v/>
      </c>
      <c r="BP88" s="40" t="str">
        <f>IFERROR(VLOOKUP($F88,[2]원본!$D:$BX,BP$1,FALSE),"")</f>
        <v/>
      </c>
      <c r="BQ88" s="40" t="str">
        <f>IFERROR(VLOOKUP($F88,[2]원본!$D:$BX,BQ$1,FALSE),"")</f>
        <v/>
      </c>
      <c r="BR88" s="40" t="str">
        <f>IFERROR(VLOOKUP($F88,[2]원본!$D:$BX,BR$1,FALSE),"")</f>
        <v/>
      </c>
      <c r="BS88" s="40" t="str">
        <f>IFERROR(VLOOKUP($F88,[2]원본!$D:$BX,BS$1,FALSE),"")</f>
        <v/>
      </c>
      <c r="BT88" s="40" t="str">
        <f>IFERROR(VLOOKUP($F88,[2]원본!$D:$BX,BT$1,FALSE),"")</f>
        <v/>
      </c>
      <c r="BU88" s="40" t="str">
        <f>IFERROR(VLOOKUP($F88,[2]원본!$D:$BX,BU$1,FALSE),"")</f>
        <v/>
      </c>
      <c r="BV88" s="40" t="str">
        <f>IFERROR(VLOOKUP($F88,#REF!,BV$1,FALSE),"")</f>
        <v/>
      </c>
      <c r="BW88" s="40"/>
      <c r="BX88" s="26">
        <f>(SUM(R88:BW88)*D86)-(SUM(R88:BW88)*E86)</f>
        <v>0</v>
      </c>
      <c r="BZ88" s="100" t="str">
        <f>IFERROR(VLOOKUP($F88,#REF!,BZ$1,FALSE),"")</f>
        <v/>
      </c>
    </row>
    <row r="89" spans="1:78" ht="20.100000000000001" customHeight="1" x14ac:dyDescent="0.3">
      <c r="A89" s="13">
        <v>83</v>
      </c>
      <c r="B89" s="4" t="s">
        <v>345</v>
      </c>
      <c r="C89" s="69" t="s">
        <v>161</v>
      </c>
      <c r="D89" s="82" t="s">
        <v>172</v>
      </c>
      <c r="F89" s="2">
        <v>92284671229</v>
      </c>
      <c r="G89" s="3" t="s">
        <v>140</v>
      </c>
      <c r="H89" s="3"/>
      <c r="J89" s="4" t="s">
        <v>84</v>
      </c>
      <c r="K89" s="62">
        <v>11400</v>
      </c>
      <c r="M89" s="1">
        <v>83</v>
      </c>
      <c r="Q89" s="7" t="s">
        <v>185</v>
      </c>
      <c r="R89" s="7">
        <v>50</v>
      </c>
      <c r="S89" s="7">
        <v>50</v>
      </c>
      <c r="T89" s="7">
        <v>34</v>
      </c>
      <c r="U89" s="7"/>
      <c r="V89" s="7">
        <v>3</v>
      </c>
      <c r="W89" s="7">
        <v>12</v>
      </c>
      <c r="X89" s="7">
        <v>7</v>
      </c>
      <c r="Y89" s="7">
        <v>8</v>
      </c>
      <c r="Z89" s="7">
        <v>8</v>
      </c>
      <c r="AA89" s="7">
        <v>9</v>
      </c>
      <c r="AB89" s="7"/>
      <c r="AC89" s="7">
        <v>7</v>
      </c>
      <c r="AD89" s="7">
        <v>8</v>
      </c>
      <c r="AE89" s="7">
        <v>16</v>
      </c>
      <c r="AF89" s="7"/>
      <c r="AG89" s="7">
        <v>1</v>
      </c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  <c r="BS89" s="22"/>
      <c r="BT89" s="22"/>
      <c r="BU89" s="22"/>
      <c r="BV89" s="22"/>
      <c r="BW89" s="22"/>
    </row>
    <row r="90" spans="1:78" s="14" customFormat="1" ht="20.100000000000001" customHeight="1" thickBot="1" x14ac:dyDescent="0.35">
      <c r="A90" s="13">
        <v>84</v>
      </c>
      <c r="B90" s="15" t="s">
        <v>345</v>
      </c>
      <c r="C90" s="71" t="s">
        <v>161</v>
      </c>
      <c r="D90" s="21"/>
      <c r="E90" s="21"/>
      <c r="F90" s="16">
        <v>92284671229</v>
      </c>
      <c r="G90" s="17"/>
      <c r="H90" s="17"/>
      <c r="I90" s="17"/>
      <c r="J90" s="15" t="s">
        <v>85</v>
      </c>
      <c r="K90" s="63">
        <v>3887</v>
      </c>
      <c r="M90" s="14">
        <v>88</v>
      </c>
      <c r="Q90" s="19" t="s">
        <v>185</v>
      </c>
      <c r="R90" s="19">
        <v>8</v>
      </c>
      <c r="S90" s="19">
        <v>8</v>
      </c>
      <c r="T90" s="19">
        <v>6</v>
      </c>
      <c r="U90" s="19"/>
      <c r="V90" s="19">
        <v>8</v>
      </c>
      <c r="W90" s="19">
        <v>8</v>
      </c>
      <c r="X90" s="19">
        <v>8</v>
      </c>
      <c r="Y90" s="19">
        <v>2</v>
      </c>
      <c r="Z90" s="19">
        <v>2</v>
      </c>
      <c r="AA90" s="19">
        <v>2</v>
      </c>
      <c r="AB90" s="19"/>
      <c r="AC90" s="19">
        <v>3</v>
      </c>
      <c r="AD90" s="19">
        <v>2</v>
      </c>
      <c r="AE90" s="19">
        <v>2</v>
      </c>
      <c r="AF90" s="19"/>
      <c r="AG90" s="19">
        <v>2</v>
      </c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18"/>
      <c r="BY90" s="15"/>
    </row>
    <row r="91" spans="1:78" s="8" customFormat="1" ht="20.100000000000001" customHeight="1" x14ac:dyDescent="0.3">
      <c r="A91" s="13">
        <v>85</v>
      </c>
      <c r="B91" s="9" t="s">
        <v>346</v>
      </c>
      <c r="C91" s="70" t="s">
        <v>161</v>
      </c>
      <c r="D91" s="46">
        <f>VLOOKUP(F93,[1]SKU리스트!$H:$L,5,FALSE)</f>
        <v>9840</v>
      </c>
      <c r="E91" s="47">
        <f>VLOOKUP(F93,[1]SKU리스트!$H:$AK,30,FALSE)</f>
        <v>7636.363636363636</v>
      </c>
      <c r="F91" s="10" t="s">
        <v>204</v>
      </c>
      <c r="G91" s="11"/>
      <c r="H91" s="11"/>
      <c r="I91" s="11"/>
      <c r="J91" s="9"/>
      <c r="K91" s="12"/>
      <c r="M91" s="8">
        <v>89</v>
      </c>
      <c r="Q91" s="44" t="s">
        <v>125</v>
      </c>
      <c r="R91" s="54">
        <v>55</v>
      </c>
      <c r="S91" s="54">
        <v>47</v>
      </c>
      <c r="T91" s="54">
        <v>46</v>
      </c>
      <c r="U91" s="54">
        <v>41</v>
      </c>
      <c r="V91" s="54">
        <v>29</v>
      </c>
      <c r="W91" s="54">
        <v>35</v>
      </c>
      <c r="X91" s="54">
        <v>39</v>
      </c>
      <c r="Y91" s="54">
        <v>51</v>
      </c>
      <c r="Z91" s="54">
        <v>31</v>
      </c>
      <c r="AA91" s="54">
        <v>20</v>
      </c>
      <c r="AB91" s="54">
        <v>31</v>
      </c>
      <c r="AC91" s="54">
        <v>22</v>
      </c>
      <c r="AD91" s="54">
        <v>34</v>
      </c>
      <c r="AE91" s="54">
        <v>19</v>
      </c>
      <c r="AF91" s="54">
        <v>15</v>
      </c>
      <c r="AG91" s="54">
        <v>14</v>
      </c>
      <c r="AH91" s="54">
        <v>13</v>
      </c>
      <c r="AI91" s="54">
        <v>52</v>
      </c>
      <c r="AJ91" s="54">
        <v>55</v>
      </c>
      <c r="AK91" s="54">
        <v>45</v>
      </c>
      <c r="AL91" s="54">
        <v>50</v>
      </c>
      <c r="AM91" s="54">
        <v>35</v>
      </c>
      <c r="AN91" s="54">
        <v>35</v>
      </c>
      <c r="AO91" s="54">
        <v>21</v>
      </c>
      <c r="AP91" s="54">
        <v>26</v>
      </c>
      <c r="AQ91" s="54">
        <v>7</v>
      </c>
      <c r="AR91" s="54">
        <v>1</v>
      </c>
      <c r="AS91" s="54">
        <v>13</v>
      </c>
      <c r="AT91" s="54">
        <v>24</v>
      </c>
      <c r="AU91" s="54">
        <v>16</v>
      </c>
      <c r="AV91" s="54">
        <v>14</v>
      </c>
      <c r="AW91" s="54">
        <v>25</v>
      </c>
      <c r="AX91" s="54">
        <v>25</v>
      </c>
      <c r="AY91" s="54">
        <v>26</v>
      </c>
      <c r="AZ91" s="54">
        <v>24</v>
      </c>
      <c r="BA91" s="54">
        <v>30</v>
      </c>
      <c r="BB91" s="54">
        <v>19</v>
      </c>
      <c r="BC91" s="54">
        <v>21</v>
      </c>
      <c r="BD91" s="54">
        <v>22</v>
      </c>
      <c r="BE91" s="54">
        <v>37</v>
      </c>
      <c r="BF91" s="54">
        <v>13</v>
      </c>
      <c r="BG91" s="54">
        <v>18</v>
      </c>
      <c r="BH91" s="54">
        <v>11</v>
      </c>
      <c r="BI91" s="54">
        <v>10</v>
      </c>
      <c r="BJ91" s="54">
        <v>13</v>
      </c>
      <c r="BK91" s="54">
        <v>13</v>
      </c>
      <c r="BL91" s="54">
        <v>14</v>
      </c>
      <c r="BM91" s="54">
        <v>20</v>
      </c>
      <c r="BN91" s="54">
        <v>26</v>
      </c>
      <c r="BO91" s="54">
        <v>16</v>
      </c>
      <c r="BP91" s="54">
        <v>23</v>
      </c>
      <c r="BQ91" s="54">
        <v>19</v>
      </c>
      <c r="BR91" s="54">
        <v>21</v>
      </c>
      <c r="BS91" s="54">
        <v>17</v>
      </c>
      <c r="BT91" s="54">
        <v>20</v>
      </c>
      <c r="BU91" s="54"/>
      <c r="BV91" s="54"/>
      <c r="BW91" s="54"/>
      <c r="BX91" s="85">
        <f>VLOOKUP(F91,[1]SKU리스트!$H:$AH,27,FALSE)</f>
        <v>223303</v>
      </c>
      <c r="BY91" s="9"/>
    </row>
    <row r="92" spans="1:78" ht="20.100000000000001" customHeight="1" x14ac:dyDescent="0.3">
      <c r="A92" s="13">
        <v>86</v>
      </c>
      <c r="B92" s="91" t="s">
        <v>346</v>
      </c>
      <c r="C92" s="93" t="s">
        <v>161</v>
      </c>
      <c r="D92" s="98"/>
      <c r="E92" s="98"/>
      <c r="F92" s="96" t="s">
        <v>291</v>
      </c>
      <c r="G92" s="97"/>
      <c r="H92" s="97"/>
      <c r="I92" s="97"/>
      <c r="J92" s="91"/>
      <c r="L92" s="98"/>
      <c r="M92" s="98">
        <v>90</v>
      </c>
      <c r="N92" s="98"/>
      <c r="O92" s="98"/>
      <c r="P92" s="98"/>
      <c r="Q92" s="39" t="s">
        <v>282</v>
      </c>
      <c r="R92" s="5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50"/>
      <c r="AL92" s="50"/>
      <c r="AM92" s="50"/>
      <c r="AN92" s="50"/>
      <c r="AO92" s="53">
        <f>SUM(AI91:AO91)</f>
        <v>293</v>
      </c>
      <c r="AP92" s="51">
        <v>138</v>
      </c>
      <c r="AQ92" s="50"/>
      <c r="AR92" s="50"/>
      <c r="AS92" s="50"/>
      <c r="AT92" s="50"/>
      <c r="AU92" s="50"/>
      <c r="AV92" s="53">
        <f>SUM(AP91:AV91)</f>
        <v>101</v>
      </c>
      <c r="AW92" s="50">
        <v>48</v>
      </c>
      <c r="AX92" s="50"/>
      <c r="AY92" s="50"/>
      <c r="AZ92" s="50"/>
      <c r="BA92" s="50"/>
      <c r="BB92" s="50"/>
      <c r="BC92" s="53">
        <f>SUM(AW91:BC91)</f>
        <v>170</v>
      </c>
      <c r="BD92" s="50">
        <v>118</v>
      </c>
      <c r="BE92" s="50"/>
      <c r="BF92" s="50"/>
      <c r="BG92" s="50"/>
      <c r="BH92" s="50"/>
      <c r="BI92" s="50"/>
      <c r="BJ92" s="53">
        <f>SUM(BD91:BJ91)</f>
        <v>124</v>
      </c>
      <c r="BK92" s="50">
        <v>73</v>
      </c>
      <c r="BL92" s="50"/>
      <c r="BM92" s="50"/>
      <c r="BN92" s="50"/>
      <c r="BO92" s="50"/>
      <c r="BP92" s="50"/>
      <c r="BQ92" s="53">
        <f>SUM(BK91:BQ91)</f>
        <v>131</v>
      </c>
      <c r="BR92" s="50">
        <v>80</v>
      </c>
      <c r="BS92" s="50"/>
      <c r="BT92" s="50"/>
      <c r="BU92" s="50"/>
      <c r="BV92" s="50"/>
      <c r="BW92" s="50"/>
      <c r="BY92" s="91"/>
      <c r="BZ92" s="98"/>
    </row>
    <row r="93" spans="1:78" ht="20.100000000000001" customHeight="1" x14ac:dyDescent="0.3">
      <c r="A93" s="13">
        <v>87</v>
      </c>
      <c r="B93" s="4" t="s">
        <v>346</v>
      </c>
      <c r="C93" s="69" t="s">
        <v>161</v>
      </c>
      <c r="F93" s="2">
        <v>91650811318</v>
      </c>
      <c r="H93" s="3"/>
      <c r="M93" s="1">
        <v>91</v>
      </c>
      <c r="Q93" s="41" t="s">
        <v>1</v>
      </c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 t="str">
        <f>IFERROR(VLOOKUP($F93,[2]원본!$D:$BX,AI$1,FALSE),"")</f>
        <v/>
      </c>
      <c r="AJ93" s="40" t="str">
        <f>IFERROR(VLOOKUP($F93,[2]원본!$D:$BX,AJ$1,FALSE),"")</f>
        <v/>
      </c>
      <c r="AK93" s="40" t="str">
        <f>IFERROR(VLOOKUP($F93,[2]원본!$D:$BX,AK$1,FALSE),"")</f>
        <v/>
      </c>
      <c r="AL93" s="40" t="str">
        <f>IFERROR(VLOOKUP($F93,[2]원본!$D:$BX,AL$1,FALSE),"")</f>
        <v/>
      </c>
      <c r="AM93" s="40" t="str">
        <f>IFERROR(VLOOKUP($F93,[2]원본!$D:$BX,AM$1,FALSE),"")</f>
        <v/>
      </c>
      <c r="AN93" s="40" t="str">
        <f>IFERROR(VLOOKUP($F93,[2]원본!$D:$BX,AN$1,FALSE),"")</f>
        <v/>
      </c>
      <c r="AO93" s="40" t="str">
        <f>IFERROR(VLOOKUP($F93,[2]원본!$D:$BX,AO$1,FALSE),"")</f>
        <v/>
      </c>
      <c r="AP93" s="40" t="str">
        <f>IFERROR(VLOOKUP($F93,[2]원본!$D:$BX,AP$1,FALSE),"")</f>
        <v/>
      </c>
      <c r="AQ93" s="40" t="str">
        <f>IFERROR(VLOOKUP($F93,[2]원본!$D:$BX,AQ$1,FALSE),"")</f>
        <v/>
      </c>
      <c r="AR93" s="40" t="str">
        <f>IFERROR(VLOOKUP($F93,[2]원본!$D:$BX,AR$1,FALSE),"")</f>
        <v/>
      </c>
      <c r="AS93" s="40" t="str">
        <f>IFERROR(VLOOKUP($F93,[2]원본!$D:$BX,AS$1,FALSE),"")</f>
        <v/>
      </c>
      <c r="AT93" s="40" t="str">
        <f>IFERROR(VLOOKUP($F93,[2]원본!$D:$BX,AT$1,FALSE),"")</f>
        <v/>
      </c>
      <c r="AU93" s="40" t="str">
        <f>IFERROR(VLOOKUP($F93,[2]원본!$D:$BX,AU$1,FALSE),"")</f>
        <v/>
      </c>
      <c r="AV93" s="40" t="str">
        <f>IFERROR(VLOOKUP($F93,[2]원본!$D:$BX,AV$1,FALSE),"")</f>
        <v/>
      </c>
      <c r="AW93" s="40" t="str">
        <f>IFERROR(VLOOKUP($F93,[2]원본!$D:$BX,AW$1,FALSE),"")</f>
        <v/>
      </c>
      <c r="AX93" s="40" t="str">
        <f>IFERROR(VLOOKUP($F93,[2]원본!$D:$BX,AX$1,FALSE),"")</f>
        <v/>
      </c>
      <c r="AY93" s="40" t="str">
        <f>IFERROR(VLOOKUP($F93,[2]원본!$D:$BX,AY$1,FALSE),"")</f>
        <v/>
      </c>
      <c r="AZ93" s="40" t="str">
        <f>IFERROR(VLOOKUP($F93,[2]원본!$D:$BX,AZ$1,FALSE),"")</f>
        <v/>
      </c>
      <c r="BA93" s="40" t="str">
        <f>IFERROR(VLOOKUP($F93,[2]원본!$D:$BX,BA$1,FALSE),"")</f>
        <v/>
      </c>
      <c r="BB93" s="40" t="str">
        <f>IFERROR(VLOOKUP($F93,[2]원본!$D:$BX,BB$1,FALSE),"")</f>
        <v/>
      </c>
      <c r="BC93" s="40" t="str">
        <f>IFERROR(VLOOKUP($F93,[2]원본!$D:$BX,BC$1,FALSE),"")</f>
        <v/>
      </c>
      <c r="BD93" s="40" t="str">
        <f>IFERROR(VLOOKUP($F93,[2]원본!$D:$BX,BD$1,FALSE),"")</f>
        <v/>
      </c>
      <c r="BE93" s="40" t="str">
        <f>IFERROR(VLOOKUP($F93,[2]원본!$D:$BX,BE$1,FALSE),"")</f>
        <v/>
      </c>
      <c r="BF93" s="40" t="str">
        <f>IFERROR(VLOOKUP($F93,[2]원본!$D:$BX,BF$1,FALSE),"")</f>
        <v/>
      </c>
      <c r="BG93" s="40" t="str">
        <f>IFERROR(VLOOKUP($F93,[2]원본!$D:$BX,BG$1,FALSE),"")</f>
        <v/>
      </c>
      <c r="BH93" s="40" t="str">
        <f>IFERROR(VLOOKUP($F93,[2]원본!$D:$BX,BH$1,FALSE),"")</f>
        <v/>
      </c>
      <c r="BI93" s="40" t="str">
        <f>IFERROR(VLOOKUP($F93,[2]원본!$D:$BX,BI$1,FALSE),"")</f>
        <v/>
      </c>
      <c r="BJ93" s="40" t="str">
        <f>IFERROR(VLOOKUP($F93,[2]원본!$D:$BX,BJ$1,FALSE),"")</f>
        <v/>
      </c>
      <c r="BK93" s="40" t="str">
        <f>IFERROR(VLOOKUP($F93,[2]원본!$D:$BX,BK$1,FALSE),"")</f>
        <v/>
      </c>
      <c r="BL93" s="40" t="str">
        <f>IFERROR(VLOOKUP($F93,[2]원본!$D:$BX,BL$1,FALSE),"")</f>
        <v/>
      </c>
      <c r="BM93" s="40" t="str">
        <f>IFERROR(VLOOKUP($F93,[2]원본!$D:$BX,BM$1,FALSE),"")</f>
        <v/>
      </c>
      <c r="BN93" s="40" t="str">
        <f>IFERROR(VLOOKUP($F93,[2]원본!$D:$BX,BN$1,FALSE),"")</f>
        <v/>
      </c>
      <c r="BO93" s="40" t="str">
        <f>IFERROR(VLOOKUP($F93,[2]원본!$D:$BX,BO$1,FALSE),"")</f>
        <v/>
      </c>
      <c r="BP93" s="40" t="str">
        <f>IFERROR(VLOOKUP($F93,[2]원본!$D:$BX,BP$1,FALSE),"")</f>
        <v/>
      </c>
      <c r="BQ93" s="40" t="str">
        <f>IFERROR(VLOOKUP($F93,[2]원본!$D:$BX,BQ$1,FALSE),"")</f>
        <v/>
      </c>
      <c r="BR93" s="40" t="str">
        <f>IFERROR(VLOOKUP($F93,[2]원본!$D:$BX,BR$1,FALSE),"")</f>
        <v/>
      </c>
      <c r="BS93" s="40" t="str">
        <f>IFERROR(VLOOKUP($F93,[2]원본!$D:$BX,BS$1,FALSE),"")</f>
        <v/>
      </c>
      <c r="BT93" s="40" t="str">
        <f>IFERROR(VLOOKUP($F93,[2]원본!$D:$BX,BT$1,FALSE),"")</f>
        <v/>
      </c>
      <c r="BU93" s="40" t="str">
        <f>IFERROR(VLOOKUP($F93,[2]원본!$D:$BX,BU$1,FALSE),"")</f>
        <v/>
      </c>
      <c r="BV93" s="40" t="str">
        <f>IFERROR(VLOOKUP($F93,#REF!,BV$1,FALSE),"")</f>
        <v/>
      </c>
      <c r="BW93" s="40"/>
      <c r="BX93" s="26">
        <f>(SUM(R93:BW93)*D91)-(SUM(R93:BW93)*E91)</f>
        <v>0</v>
      </c>
      <c r="BZ93" s="100" t="str">
        <f>IFERROR(VLOOKUP($F93,#REF!,BZ$1,FALSE),"")</f>
        <v/>
      </c>
    </row>
    <row r="94" spans="1:78" ht="20.100000000000001" customHeight="1" x14ac:dyDescent="0.3">
      <c r="A94" s="13">
        <v>88</v>
      </c>
      <c r="B94" s="4" t="s">
        <v>346</v>
      </c>
      <c r="C94" s="69" t="s">
        <v>161</v>
      </c>
      <c r="D94" s="82" t="s">
        <v>14</v>
      </c>
      <c r="F94" s="2">
        <v>91650811318</v>
      </c>
      <c r="G94" s="3" t="s">
        <v>141</v>
      </c>
      <c r="H94" s="3"/>
      <c r="J94" s="4" t="s">
        <v>21</v>
      </c>
      <c r="K94" s="62">
        <v>168300</v>
      </c>
      <c r="L94" s="1">
        <v>1</v>
      </c>
      <c r="M94" s="1">
        <v>96</v>
      </c>
      <c r="Q94" s="42" t="s">
        <v>0</v>
      </c>
      <c r="R94" s="7"/>
      <c r="S94" s="7"/>
      <c r="T94" s="7">
        <v>74</v>
      </c>
      <c r="U94" s="7"/>
      <c r="V94" s="7">
        <v>28</v>
      </c>
      <c r="W94" s="7">
        <v>17</v>
      </c>
      <c r="X94" s="7">
        <v>54</v>
      </c>
      <c r="Y94" s="7" t="s">
        <v>54</v>
      </c>
      <c r="Z94" s="7">
        <v>23</v>
      </c>
      <c r="AA94" s="7">
        <v>18</v>
      </c>
      <c r="AB94" s="7"/>
      <c r="AC94" s="7">
        <v>22</v>
      </c>
      <c r="AD94" s="7"/>
      <c r="AE94" s="7">
        <v>20</v>
      </c>
      <c r="AF94" s="7">
        <v>19</v>
      </c>
      <c r="AG94" s="7" t="s">
        <v>36</v>
      </c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>
        <v>14</v>
      </c>
      <c r="AU94" s="7"/>
      <c r="AV94" s="7"/>
      <c r="AW94" s="7"/>
      <c r="AX94" s="7"/>
      <c r="AY94" s="7"/>
      <c r="AZ94" s="7"/>
      <c r="BA94" s="7">
        <v>20</v>
      </c>
      <c r="BB94" s="7"/>
      <c r="BC94" s="7"/>
      <c r="BD94" s="7"/>
      <c r="BE94" s="7">
        <v>250</v>
      </c>
      <c r="BF94" s="7"/>
      <c r="BG94" s="7"/>
      <c r="BH94" s="7">
        <v>20</v>
      </c>
      <c r="BI94" s="7"/>
      <c r="BJ94" s="7"/>
      <c r="BK94" s="7"/>
      <c r="BL94" s="7">
        <v>251</v>
      </c>
      <c r="BM94" s="7"/>
      <c r="BN94" s="7"/>
      <c r="BO94" s="7"/>
      <c r="BP94" s="7"/>
      <c r="BQ94" s="7"/>
      <c r="BR94" s="7"/>
      <c r="BS94" s="7">
        <v>154</v>
      </c>
      <c r="BT94" s="7"/>
      <c r="BU94" s="7">
        <v>170</v>
      </c>
      <c r="BV94" s="7"/>
      <c r="BW94" s="7"/>
    </row>
    <row r="95" spans="1:78" ht="20.100000000000001" customHeight="1" x14ac:dyDescent="0.3">
      <c r="A95" s="13">
        <v>89</v>
      </c>
      <c r="B95" s="91" t="s">
        <v>346</v>
      </c>
      <c r="C95" s="93" t="s">
        <v>161</v>
      </c>
      <c r="D95" s="94" t="s">
        <v>89</v>
      </c>
      <c r="E95" s="94"/>
      <c r="F95" s="96">
        <v>91650811318</v>
      </c>
      <c r="G95" s="97"/>
      <c r="H95" s="97"/>
      <c r="I95" s="97"/>
      <c r="J95" s="91" t="s">
        <v>18</v>
      </c>
      <c r="K95" s="62">
        <v>107300</v>
      </c>
      <c r="L95" s="98">
        <v>1</v>
      </c>
      <c r="M95" s="98">
        <v>101</v>
      </c>
      <c r="N95" s="98"/>
      <c r="O95" s="98"/>
      <c r="P95" s="98"/>
      <c r="Q95" s="42" t="s">
        <v>0</v>
      </c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>
        <v>41</v>
      </c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>
        <v>83</v>
      </c>
      <c r="BB95" s="7"/>
      <c r="BC95" s="7"/>
      <c r="BD95" s="7"/>
      <c r="BE95" s="7"/>
      <c r="BF95" s="7"/>
      <c r="BG95" s="7"/>
      <c r="BH95" s="7">
        <v>83</v>
      </c>
      <c r="BI95" s="7">
        <v>252</v>
      </c>
      <c r="BJ95" s="7"/>
      <c r="BK95" s="7"/>
      <c r="BL95" s="7">
        <v>89</v>
      </c>
      <c r="BM95" s="7"/>
      <c r="BN95" s="7">
        <v>89</v>
      </c>
      <c r="BO95" s="7"/>
      <c r="BP95" s="7"/>
      <c r="BQ95" s="7"/>
      <c r="BR95" s="7"/>
      <c r="BS95" s="7">
        <v>206</v>
      </c>
      <c r="BT95" s="7">
        <v>90</v>
      </c>
      <c r="BU95" s="7"/>
      <c r="BV95" s="7"/>
      <c r="BW95" s="7"/>
      <c r="BY95" s="91"/>
      <c r="BZ95" s="98"/>
    </row>
    <row r="96" spans="1:78" ht="20.100000000000001" customHeight="1" x14ac:dyDescent="0.3">
      <c r="A96" s="13">
        <v>90</v>
      </c>
      <c r="B96" s="4" t="s">
        <v>346</v>
      </c>
      <c r="C96" s="69" t="s">
        <v>161</v>
      </c>
      <c r="D96" s="20"/>
      <c r="E96" s="20"/>
      <c r="F96" s="2">
        <v>91650811318</v>
      </c>
      <c r="H96" s="3"/>
      <c r="J96" s="4" t="s">
        <v>17</v>
      </c>
      <c r="K96" s="62">
        <v>94500</v>
      </c>
      <c r="L96" s="1">
        <v>1</v>
      </c>
      <c r="M96" s="1">
        <v>100</v>
      </c>
      <c r="Q96" s="42" t="s">
        <v>0</v>
      </c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>
        <v>103</v>
      </c>
      <c r="AL96" s="7"/>
      <c r="AM96" s="7"/>
      <c r="AN96" s="7"/>
      <c r="AO96" s="7"/>
      <c r="AP96" s="7"/>
      <c r="AQ96" s="7"/>
      <c r="AR96" s="7"/>
      <c r="AS96" s="7"/>
      <c r="AT96" s="7">
        <v>57</v>
      </c>
      <c r="AU96" s="7">
        <v>38</v>
      </c>
      <c r="AV96" s="7"/>
      <c r="AW96" s="7"/>
      <c r="AX96" s="7"/>
      <c r="AY96" s="7"/>
      <c r="AZ96" s="7"/>
      <c r="BA96" s="7">
        <v>75</v>
      </c>
      <c r="BB96" s="7"/>
      <c r="BC96" s="7"/>
      <c r="BD96" s="7"/>
      <c r="BE96" s="7">
        <v>247</v>
      </c>
      <c r="BF96" s="7"/>
      <c r="BG96" s="7"/>
      <c r="BH96" s="7">
        <v>75</v>
      </c>
      <c r="BI96" s="7">
        <v>230</v>
      </c>
      <c r="BJ96" s="7"/>
      <c r="BK96" s="7"/>
      <c r="BL96" s="7">
        <v>250</v>
      </c>
      <c r="BM96" s="7"/>
      <c r="BN96" s="7">
        <v>237</v>
      </c>
      <c r="BO96" s="7"/>
      <c r="BP96" s="7"/>
      <c r="BQ96" s="7"/>
      <c r="BR96" s="7"/>
      <c r="BS96" s="7">
        <v>157</v>
      </c>
      <c r="BT96" s="7">
        <v>160</v>
      </c>
      <c r="BU96" s="7"/>
      <c r="BV96" s="7"/>
      <c r="BW96" s="7"/>
    </row>
    <row r="97" spans="1:78" ht="20.100000000000001" customHeight="1" x14ac:dyDescent="0.3">
      <c r="A97" s="13">
        <v>91</v>
      </c>
      <c r="B97" s="4" t="s">
        <v>346</v>
      </c>
      <c r="C97" s="69" t="s">
        <v>161</v>
      </c>
      <c r="D97" s="20"/>
      <c r="E97" s="20"/>
      <c r="F97" s="2">
        <v>91650811318</v>
      </c>
      <c r="H97" s="3"/>
      <c r="J97" s="4" t="s">
        <v>20</v>
      </c>
      <c r="K97" s="62">
        <v>89700</v>
      </c>
      <c r="L97" s="1">
        <v>1</v>
      </c>
      <c r="M97" s="1">
        <v>94</v>
      </c>
      <c r="Q97" s="42" t="s">
        <v>0</v>
      </c>
      <c r="R97" s="7"/>
      <c r="S97" s="7"/>
      <c r="T97" s="7">
        <v>33</v>
      </c>
      <c r="U97" s="7"/>
      <c r="V97" s="7">
        <v>13</v>
      </c>
      <c r="W97" s="7">
        <v>8</v>
      </c>
      <c r="X97" s="7">
        <v>8</v>
      </c>
      <c r="Y97" s="7">
        <v>9</v>
      </c>
      <c r="Z97" s="7">
        <v>9</v>
      </c>
      <c r="AA97" s="7">
        <v>9</v>
      </c>
      <c r="AB97" s="7"/>
      <c r="AC97" s="7">
        <v>10</v>
      </c>
      <c r="AD97" s="7"/>
      <c r="AE97" s="7">
        <v>8</v>
      </c>
      <c r="AF97" s="7">
        <v>8</v>
      </c>
      <c r="AG97" s="7">
        <v>6</v>
      </c>
      <c r="AH97" s="7"/>
      <c r="AI97" s="7"/>
      <c r="AJ97" s="7"/>
      <c r="AK97" s="7">
        <v>10</v>
      </c>
      <c r="AL97" s="7"/>
      <c r="AM97" s="7"/>
      <c r="AN97" s="7"/>
      <c r="AO97" s="7"/>
      <c r="AP97" s="7"/>
      <c r="AQ97" s="7"/>
      <c r="AR97" s="7"/>
      <c r="AS97" s="7"/>
      <c r="AT97" s="7">
        <v>12</v>
      </c>
      <c r="AU97" s="7">
        <v>8</v>
      </c>
      <c r="AV97" s="7"/>
      <c r="AW97" s="7"/>
      <c r="AX97" s="7">
        <v>10</v>
      </c>
      <c r="AY97" s="7"/>
      <c r="AZ97" s="7">
        <v>10</v>
      </c>
      <c r="BA97" s="7">
        <v>11</v>
      </c>
      <c r="BB97" s="7">
        <v>7</v>
      </c>
      <c r="BC97" s="7"/>
      <c r="BD97" s="7"/>
      <c r="BE97" s="7">
        <v>14</v>
      </c>
      <c r="BF97" s="7">
        <v>11</v>
      </c>
      <c r="BG97" s="7">
        <v>11</v>
      </c>
      <c r="BH97" s="7">
        <v>11</v>
      </c>
      <c r="BI97" s="7">
        <v>9</v>
      </c>
      <c r="BJ97" s="7"/>
      <c r="BK97" s="7"/>
      <c r="BL97" s="7">
        <v>8</v>
      </c>
      <c r="BM97" s="7"/>
      <c r="BN97" s="7">
        <v>8</v>
      </c>
      <c r="BO97" s="7">
        <v>8</v>
      </c>
      <c r="BP97" s="7"/>
      <c r="BQ97" s="7"/>
      <c r="BR97" s="7"/>
      <c r="BS97" s="7">
        <v>7</v>
      </c>
      <c r="BT97" s="7">
        <v>7</v>
      </c>
      <c r="BU97" s="7">
        <v>7</v>
      </c>
      <c r="BV97" s="7"/>
      <c r="BW97" s="7"/>
    </row>
    <row r="98" spans="1:78" ht="20.100000000000001" customHeight="1" x14ac:dyDescent="0.3">
      <c r="A98" s="13">
        <v>92</v>
      </c>
      <c r="B98" s="4" t="s">
        <v>346</v>
      </c>
      <c r="C98" s="69" t="s">
        <v>161</v>
      </c>
      <c r="D98" s="20"/>
      <c r="E98" s="20"/>
      <c r="F98" s="2">
        <v>91650811318</v>
      </c>
      <c r="H98" s="3"/>
      <c r="J98" s="4" t="s">
        <v>15</v>
      </c>
      <c r="K98" s="62">
        <v>59200</v>
      </c>
      <c r="L98" s="1">
        <v>1</v>
      </c>
      <c r="M98" s="1">
        <v>95</v>
      </c>
      <c r="Q98" s="42" t="s">
        <v>0</v>
      </c>
      <c r="R98" s="7"/>
      <c r="S98" s="7"/>
      <c r="T98" s="7">
        <v>250</v>
      </c>
      <c r="U98" s="7"/>
      <c r="V98" s="7">
        <v>214</v>
      </c>
      <c r="W98" s="7">
        <v>234</v>
      </c>
      <c r="X98" s="7">
        <v>240</v>
      </c>
      <c r="Y98" s="7" t="s">
        <v>54</v>
      </c>
      <c r="Z98" s="7">
        <v>596</v>
      </c>
      <c r="AA98" s="7">
        <v>599</v>
      </c>
      <c r="AB98" s="7"/>
      <c r="AC98" s="7">
        <v>599</v>
      </c>
      <c r="AD98" s="7">
        <v>29</v>
      </c>
      <c r="AE98" s="7">
        <v>27</v>
      </c>
      <c r="AF98" s="7">
        <v>25</v>
      </c>
      <c r="AG98" s="7" t="s">
        <v>36</v>
      </c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>
        <v>13</v>
      </c>
      <c r="AU98" s="7">
        <v>14</v>
      </c>
      <c r="AV98" s="7"/>
      <c r="AW98" s="7"/>
      <c r="AX98" s="7">
        <v>13</v>
      </c>
      <c r="AY98" s="7"/>
      <c r="AZ98" s="7">
        <v>4</v>
      </c>
      <c r="BA98" s="7">
        <v>4</v>
      </c>
      <c r="BB98" s="7">
        <v>82</v>
      </c>
      <c r="BC98" s="7"/>
      <c r="BD98" s="7"/>
      <c r="BE98" s="7">
        <v>252</v>
      </c>
      <c r="BF98" s="7"/>
      <c r="BG98" s="7">
        <v>183</v>
      </c>
      <c r="BH98" s="7">
        <v>4</v>
      </c>
      <c r="BI98" s="7">
        <v>235</v>
      </c>
      <c r="BJ98" s="7"/>
      <c r="BK98" s="7"/>
      <c r="BL98" s="7">
        <v>84</v>
      </c>
      <c r="BM98" s="7"/>
      <c r="BN98" s="7"/>
      <c r="BO98" s="7">
        <v>235</v>
      </c>
      <c r="BP98" s="7"/>
      <c r="BQ98" s="7"/>
      <c r="BR98" s="7"/>
      <c r="BS98" s="7">
        <v>82</v>
      </c>
      <c r="BT98" s="7">
        <v>82</v>
      </c>
      <c r="BU98" s="7"/>
      <c r="BV98" s="7"/>
      <c r="BW98" s="7"/>
    </row>
    <row r="99" spans="1:78" ht="20.100000000000001" customHeight="1" x14ac:dyDescent="0.3">
      <c r="A99" s="13">
        <v>93</v>
      </c>
      <c r="B99" s="4" t="s">
        <v>346</v>
      </c>
      <c r="C99" s="69" t="s">
        <v>161</v>
      </c>
      <c r="D99" s="20"/>
      <c r="E99" s="20"/>
      <c r="F99" s="2">
        <v>91650811318</v>
      </c>
      <c r="H99" s="3"/>
      <c r="J99" s="4" t="s">
        <v>19</v>
      </c>
      <c r="K99" s="62">
        <v>34300</v>
      </c>
      <c r="L99" s="1">
        <v>1</v>
      </c>
      <c r="M99" s="1">
        <v>93</v>
      </c>
      <c r="Q99" s="42" t="s">
        <v>0</v>
      </c>
      <c r="R99" s="7"/>
      <c r="S99" s="7"/>
      <c r="T99" s="7">
        <v>453</v>
      </c>
      <c r="U99" s="7"/>
      <c r="V99" s="7">
        <v>418</v>
      </c>
      <c r="W99" s="7">
        <v>62</v>
      </c>
      <c r="X99" s="7">
        <v>81</v>
      </c>
      <c r="Y99" s="7" t="s">
        <v>54</v>
      </c>
      <c r="Z99" s="7" t="s">
        <v>36</v>
      </c>
      <c r="AA99" s="7" t="s">
        <v>36</v>
      </c>
      <c r="AB99" s="7"/>
      <c r="AC99" s="7" t="s">
        <v>36</v>
      </c>
      <c r="AD99" s="7" t="s">
        <v>36</v>
      </c>
      <c r="AE99" s="7" t="s">
        <v>36</v>
      </c>
      <c r="AF99" s="7"/>
      <c r="AG99" s="7" t="s">
        <v>36</v>
      </c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>
        <v>27</v>
      </c>
      <c r="BA99" s="7">
        <v>11</v>
      </c>
      <c r="BB99" s="7">
        <v>151</v>
      </c>
      <c r="BC99" s="7"/>
      <c r="BD99" s="7"/>
      <c r="BE99" s="7">
        <v>246</v>
      </c>
      <c r="BF99" s="7"/>
      <c r="BG99" s="7">
        <v>88</v>
      </c>
      <c r="BH99" s="7">
        <v>11</v>
      </c>
      <c r="BI99" s="7">
        <v>152</v>
      </c>
      <c r="BJ99" s="7"/>
      <c r="BK99" s="7"/>
      <c r="BL99" s="7">
        <v>141</v>
      </c>
      <c r="BM99" s="7"/>
      <c r="BN99" s="7"/>
      <c r="BO99" s="7">
        <v>220</v>
      </c>
      <c r="BP99" s="7"/>
      <c r="BQ99" s="7"/>
      <c r="BR99" s="7"/>
      <c r="BS99" s="7">
        <v>90</v>
      </c>
      <c r="BT99" s="7">
        <v>85</v>
      </c>
      <c r="BU99" s="7"/>
      <c r="BV99" s="7"/>
      <c r="BW99" s="7"/>
    </row>
    <row r="100" spans="1:78" ht="20.100000000000001" customHeight="1" x14ac:dyDescent="0.3">
      <c r="A100" s="13">
        <v>94</v>
      </c>
      <c r="B100" s="91" t="s">
        <v>346</v>
      </c>
      <c r="C100" s="93" t="s">
        <v>161</v>
      </c>
      <c r="D100" s="91"/>
      <c r="E100" s="91"/>
      <c r="F100" s="96">
        <v>91650811318</v>
      </c>
      <c r="G100" s="97"/>
      <c r="H100" s="97"/>
      <c r="I100" s="97"/>
      <c r="J100" s="91" t="s">
        <v>90</v>
      </c>
      <c r="K100" s="5">
        <v>2700</v>
      </c>
      <c r="L100" s="98">
        <v>1</v>
      </c>
      <c r="M100" s="98">
        <v>92</v>
      </c>
      <c r="N100" s="98"/>
      <c r="O100" s="98"/>
      <c r="P100" s="98"/>
      <c r="Q100" s="42" t="s">
        <v>0</v>
      </c>
      <c r="R100" s="7"/>
      <c r="S100" s="7"/>
      <c r="T100" s="7">
        <v>28</v>
      </c>
      <c r="U100" s="7"/>
      <c r="V100" s="7">
        <v>26</v>
      </c>
      <c r="W100" s="7">
        <v>17</v>
      </c>
      <c r="X100" s="7">
        <v>16</v>
      </c>
      <c r="Y100" s="7"/>
      <c r="Z100" s="7" t="s">
        <v>54</v>
      </c>
      <c r="AA100" s="7">
        <v>13</v>
      </c>
      <c r="AB100" s="7"/>
      <c r="AC100" s="7">
        <v>14</v>
      </c>
      <c r="AD100" s="7">
        <v>14</v>
      </c>
      <c r="AE100" s="7">
        <v>14</v>
      </c>
      <c r="AF100" s="7">
        <v>9</v>
      </c>
      <c r="AG100" s="7">
        <v>14</v>
      </c>
      <c r="AH100" s="7"/>
      <c r="AI100" s="7"/>
      <c r="AJ100" s="7"/>
      <c r="AK100" s="7">
        <v>23</v>
      </c>
      <c r="AL100" s="7"/>
      <c r="AM100" s="7"/>
      <c r="AN100" s="7"/>
      <c r="AO100" s="7"/>
      <c r="AP100" s="7"/>
      <c r="AQ100" s="7"/>
      <c r="AR100" s="7"/>
      <c r="AS100" s="7"/>
      <c r="AT100" s="7">
        <v>20</v>
      </c>
      <c r="AU100" s="7">
        <v>16</v>
      </c>
      <c r="AV100" s="7"/>
      <c r="AW100" s="7"/>
      <c r="AX100" s="7">
        <v>17</v>
      </c>
      <c r="AY100" s="7"/>
      <c r="AZ100" s="7">
        <v>15</v>
      </c>
      <c r="BA100" s="7">
        <v>22</v>
      </c>
      <c r="BB100" s="7">
        <v>13</v>
      </c>
      <c r="BC100" s="7"/>
      <c r="BD100" s="7"/>
      <c r="BE100" s="7">
        <v>19</v>
      </c>
      <c r="BF100" s="7">
        <v>9</v>
      </c>
      <c r="BG100" s="7">
        <v>9</v>
      </c>
      <c r="BH100" s="7">
        <v>22</v>
      </c>
      <c r="BI100" s="7">
        <v>9</v>
      </c>
      <c r="BJ100" s="7"/>
      <c r="BK100" s="7"/>
      <c r="BL100" s="7">
        <v>9</v>
      </c>
      <c r="BM100" s="7"/>
      <c r="BN100" s="7">
        <v>9</v>
      </c>
      <c r="BO100" s="7">
        <v>9</v>
      </c>
      <c r="BP100" s="7"/>
      <c r="BQ100" s="7"/>
      <c r="BR100" s="7"/>
      <c r="BS100" s="7">
        <v>9</v>
      </c>
      <c r="BT100" s="7">
        <v>9</v>
      </c>
      <c r="BU100" s="7">
        <v>9</v>
      </c>
      <c r="BV100" s="7"/>
      <c r="BW100" s="7"/>
      <c r="BY100" s="91"/>
      <c r="BZ100" s="98"/>
    </row>
    <row r="101" spans="1:78" ht="20.100000000000001" customHeight="1" x14ac:dyDescent="0.3">
      <c r="A101" s="13">
        <v>95</v>
      </c>
      <c r="B101" s="4" t="s">
        <v>346</v>
      </c>
      <c r="C101" s="69" t="s">
        <v>161</v>
      </c>
      <c r="D101" s="20"/>
      <c r="E101" s="20"/>
      <c r="F101" s="2">
        <v>91650811318</v>
      </c>
      <c r="H101" s="3"/>
      <c r="J101" s="4" t="s">
        <v>92</v>
      </c>
      <c r="K101" s="5">
        <v>1000</v>
      </c>
      <c r="L101" s="1">
        <v>1</v>
      </c>
      <c r="M101" s="1">
        <v>98</v>
      </c>
      <c r="Q101" s="42" t="s">
        <v>0</v>
      </c>
      <c r="R101" s="7"/>
      <c r="S101" s="7"/>
      <c r="T101" s="7">
        <v>418</v>
      </c>
      <c r="U101" s="7"/>
      <c r="V101" s="7">
        <v>8</v>
      </c>
      <c r="W101" s="7">
        <v>7</v>
      </c>
      <c r="X101" s="7">
        <v>8</v>
      </c>
      <c r="Y101" s="7">
        <v>26</v>
      </c>
      <c r="Z101" s="7">
        <v>26</v>
      </c>
      <c r="AA101" s="7">
        <v>6</v>
      </c>
      <c r="AB101" s="7"/>
      <c r="AC101" s="7">
        <v>8</v>
      </c>
      <c r="AD101" s="7">
        <v>6</v>
      </c>
      <c r="AE101" s="7">
        <v>6</v>
      </c>
      <c r="AF101" s="7">
        <v>4</v>
      </c>
      <c r="AG101" s="7">
        <v>8</v>
      </c>
      <c r="AH101" s="7"/>
      <c r="AI101" s="7"/>
      <c r="AJ101" s="7"/>
      <c r="AK101" s="7">
        <v>6</v>
      </c>
      <c r="AL101" s="7"/>
      <c r="AM101" s="7"/>
      <c r="AN101" s="7"/>
      <c r="AO101" s="7"/>
      <c r="AP101" s="7"/>
      <c r="AQ101" s="7"/>
      <c r="AR101" s="7"/>
      <c r="AS101" s="7"/>
      <c r="AT101" s="7">
        <v>6</v>
      </c>
      <c r="AU101" s="7">
        <v>6</v>
      </c>
      <c r="AV101" s="7"/>
      <c r="AW101" s="7"/>
      <c r="AX101" s="7">
        <v>5</v>
      </c>
      <c r="AY101" s="7"/>
      <c r="AZ101" s="7">
        <v>5</v>
      </c>
      <c r="BA101" s="7">
        <v>6</v>
      </c>
      <c r="BB101" s="7">
        <v>6</v>
      </c>
      <c r="BC101" s="7"/>
      <c r="BD101" s="7"/>
      <c r="BE101" s="7">
        <v>4</v>
      </c>
      <c r="BF101" s="7">
        <v>7</v>
      </c>
      <c r="BG101" s="7">
        <v>8</v>
      </c>
      <c r="BH101" s="7">
        <v>6</v>
      </c>
      <c r="BI101" s="7">
        <v>5</v>
      </c>
      <c r="BJ101" s="7"/>
      <c r="BK101" s="7"/>
      <c r="BL101" s="7">
        <v>5</v>
      </c>
      <c r="BM101" s="7"/>
      <c r="BN101" s="7">
        <v>5</v>
      </c>
      <c r="BO101" s="7">
        <v>5</v>
      </c>
      <c r="BP101" s="7"/>
      <c r="BQ101" s="7"/>
      <c r="BR101" s="7"/>
      <c r="BS101" s="7">
        <v>4</v>
      </c>
      <c r="BT101" s="7">
        <v>4</v>
      </c>
      <c r="BU101" s="7">
        <v>4</v>
      </c>
      <c r="BV101" s="7"/>
      <c r="BW101" s="7"/>
    </row>
    <row r="102" spans="1:78" ht="20.100000000000001" customHeight="1" x14ac:dyDescent="0.3">
      <c r="A102" s="13">
        <v>96</v>
      </c>
      <c r="B102" s="91" t="s">
        <v>346</v>
      </c>
      <c r="C102" s="93" t="s">
        <v>161</v>
      </c>
      <c r="D102" s="94"/>
      <c r="E102" s="94"/>
      <c r="F102" s="96">
        <v>91650811318</v>
      </c>
      <c r="G102" s="97"/>
      <c r="H102" s="97"/>
      <c r="I102" s="97"/>
      <c r="J102" s="91" t="s">
        <v>16</v>
      </c>
      <c r="K102" s="5">
        <v>800</v>
      </c>
      <c r="L102" s="98">
        <v>1</v>
      </c>
      <c r="M102" s="98">
        <v>99</v>
      </c>
      <c r="N102" s="98"/>
      <c r="O102" s="98"/>
      <c r="P102" s="98"/>
      <c r="Q102" s="42" t="s">
        <v>0</v>
      </c>
      <c r="R102" s="7"/>
      <c r="S102" s="7"/>
      <c r="T102" s="7">
        <v>6</v>
      </c>
      <c r="U102" s="7"/>
      <c r="V102" s="7">
        <v>8</v>
      </c>
      <c r="W102" s="7">
        <v>3</v>
      </c>
      <c r="X102" s="7">
        <v>2</v>
      </c>
      <c r="Y102" s="7">
        <v>4</v>
      </c>
      <c r="Z102" s="7">
        <v>4</v>
      </c>
      <c r="AA102" s="7">
        <v>1</v>
      </c>
      <c r="AB102" s="7"/>
      <c r="AC102" s="7">
        <v>1</v>
      </c>
      <c r="AD102" s="7">
        <v>2</v>
      </c>
      <c r="AE102" s="7">
        <v>2</v>
      </c>
      <c r="AF102" s="7">
        <v>2</v>
      </c>
      <c r="AG102" s="7">
        <v>4</v>
      </c>
      <c r="AH102" s="7"/>
      <c r="AI102" s="7"/>
      <c r="AJ102" s="7"/>
      <c r="AK102" s="7">
        <v>5</v>
      </c>
      <c r="AL102" s="7"/>
      <c r="AM102" s="7"/>
      <c r="AN102" s="7"/>
      <c r="AO102" s="7"/>
      <c r="AP102" s="7"/>
      <c r="AQ102" s="7"/>
      <c r="AR102" s="7"/>
      <c r="AS102" s="7"/>
      <c r="AT102" s="7">
        <v>5</v>
      </c>
      <c r="AU102" s="7">
        <v>4</v>
      </c>
      <c r="AV102" s="7"/>
      <c r="AW102" s="7"/>
      <c r="AX102" s="7">
        <v>5</v>
      </c>
      <c r="AY102" s="7"/>
      <c r="AZ102" s="7">
        <v>6</v>
      </c>
      <c r="BA102" s="7">
        <v>4</v>
      </c>
      <c r="BB102" s="7">
        <v>5</v>
      </c>
      <c r="BC102" s="7"/>
      <c r="BD102" s="7"/>
      <c r="BE102" s="7">
        <v>9</v>
      </c>
      <c r="BF102" s="7">
        <v>6</v>
      </c>
      <c r="BG102" s="7">
        <v>6</v>
      </c>
      <c r="BH102" s="7">
        <v>4</v>
      </c>
      <c r="BI102" s="7">
        <v>4</v>
      </c>
      <c r="BJ102" s="7"/>
      <c r="BK102" s="7"/>
      <c r="BL102" s="7">
        <v>4</v>
      </c>
      <c r="BM102" s="7"/>
      <c r="BN102" s="7">
        <v>4</v>
      </c>
      <c r="BO102" s="7">
        <v>4</v>
      </c>
      <c r="BP102" s="7"/>
      <c r="BQ102" s="7"/>
      <c r="BR102" s="7"/>
      <c r="BS102" s="7">
        <v>4</v>
      </c>
      <c r="BT102" s="7">
        <v>4</v>
      </c>
      <c r="BU102" s="7">
        <v>4</v>
      </c>
      <c r="BV102" s="7"/>
      <c r="BW102" s="7"/>
      <c r="BY102" s="91"/>
      <c r="BZ102" s="98"/>
    </row>
    <row r="103" spans="1:78" ht="20.100000000000001" customHeight="1" thickBot="1" x14ac:dyDescent="0.35">
      <c r="A103" s="13">
        <v>97</v>
      </c>
      <c r="B103" s="4" t="s">
        <v>346</v>
      </c>
      <c r="C103" s="69" t="s">
        <v>161</v>
      </c>
      <c r="D103" s="20"/>
      <c r="E103" s="20"/>
      <c r="F103" s="2">
        <v>91650811318</v>
      </c>
      <c r="H103" s="3"/>
      <c r="J103" s="4" t="s">
        <v>91</v>
      </c>
      <c r="K103" s="5">
        <v>400</v>
      </c>
      <c r="L103" s="1">
        <v>1</v>
      </c>
      <c r="M103" s="1">
        <v>97</v>
      </c>
      <c r="Q103" s="42" t="s">
        <v>0</v>
      </c>
      <c r="R103" s="7"/>
      <c r="S103" s="7"/>
      <c r="T103" s="7">
        <v>6</v>
      </c>
      <c r="U103" s="7"/>
      <c r="V103" s="7">
        <v>8</v>
      </c>
      <c r="W103" s="7">
        <v>6</v>
      </c>
      <c r="X103" s="7">
        <v>6</v>
      </c>
      <c r="Y103" s="7">
        <v>6</v>
      </c>
      <c r="Z103" s="7">
        <v>6</v>
      </c>
      <c r="AA103" s="7">
        <v>6</v>
      </c>
      <c r="AB103" s="7"/>
      <c r="AC103" s="7">
        <v>7</v>
      </c>
      <c r="AD103" s="7">
        <v>8</v>
      </c>
      <c r="AE103" s="7">
        <v>8</v>
      </c>
      <c r="AF103" s="7">
        <v>8</v>
      </c>
      <c r="AG103" s="7">
        <v>8</v>
      </c>
      <c r="AH103" s="7"/>
      <c r="AI103" s="7"/>
      <c r="AJ103" s="7"/>
      <c r="AK103" s="7">
        <v>6</v>
      </c>
      <c r="AL103" s="7"/>
      <c r="AM103" s="7"/>
      <c r="AN103" s="7"/>
      <c r="AO103" s="7"/>
      <c r="AP103" s="7"/>
      <c r="AQ103" s="7"/>
      <c r="AR103" s="7"/>
      <c r="AS103" s="7"/>
      <c r="AT103" s="7">
        <v>6</v>
      </c>
      <c r="AU103" s="7">
        <v>6</v>
      </c>
      <c r="AV103" s="7"/>
      <c r="AW103" s="7"/>
      <c r="AX103" s="7">
        <v>6</v>
      </c>
      <c r="AY103" s="7"/>
      <c r="AZ103" s="7">
        <v>9</v>
      </c>
      <c r="BA103" s="7">
        <v>11</v>
      </c>
      <c r="BB103" s="7">
        <v>11</v>
      </c>
      <c r="BC103" s="7"/>
      <c r="BD103" s="7"/>
      <c r="BE103" s="7">
        <v>7</v>
      </c>
      <c r="BF103" s="7">
        <v>8</v>
      </c>
      <c r="BG103" s="7">
        <v>7</v>
      </c>
      <c r="BH103" s="7">
        <v>11</v>
      </c>
      <c r="BI103" s="7">
        <v>9</v>
      </c>
      <c r="BJ103" s="7"/>
      <c r="BK103" s="7"/>
      <c r="BL103" s="7">
        <v>8</v>
      </c>
      <c r="BM103" s="7"/>
      <c r="BN103" s="7">
        <v>8</v>
      </c>
      <c r="BO103" s="7">
        <v>8</v>
      </c>
      <c r="BP103" s="7"/>
      <c r="BQ103" s="7"/>
      <c r="BR103" s="7"/>
      <c r="BS103" s="7">
        <v>6</v>
      </c>
      <c r="BT103" s="7">
        <v>6</v>
      </c>
      <c r="BU103" s="7">
        <v>6</v>
      </c>
      <c r="BV103" s="7"/>
      <c r="BW103" s="7"/>
    </row>
    <row r="104" spans="1:78" s="8" customFormat="1" ht="20.100000000000001" customHeight="1" x14ac:dyDescent="0.3">
      <c r="A104" s="13">
        <v>98</v>
      </c>
      <c r="B104" s="9" t="s">
        <v>346</v>
      </c>
      <c r="C104" s="70" t="s">
        <v>161</v>
      </c>
      <c r="D104" s="46">
        <f>VLOOKUP(F106,[1]SKU리스트!$H:$L,5,FALSE)</f>
        <v>13800</v>
      </c>
      <c r="E104" s="47">
        <f>VLOOKUP(F106,[1]SKU리스트!$H:$AK,30,FALSE)</f>
        <v>8000</v>
      </c>
      <c r="F104" s="10" t="s">
        <v>205</v>
      </c>
      <c r="G104" s="11"/>
      <c r="H104" s="11"/>
      <c r="I104" s="11"/>
      <c r="J104" s="9"/>
      <c r="K104" s="12"/>
      <c r="M104" s="8">
        <v>102</v>
      </c>
      <c r="Q104" s="44" t="s">
        <v>125</v>
      </c>
      <c r="R104" s="54">
        <v>27</v>
      </c>
      <c r="S104" s="54">
        <v>23</v>
      </c>
      <c r="T104" s="54">
        <v>25</v>
      </c>
      <c r="U104" s="54">
        <v>16</v>
      </c>
      <c r="V104" s="54">
        <v>19</v>
      </c>
      <c r="W104" s="54">
        <v>13</v>
      </c>
      <c r="X104" s="54">
        <v>22</v>
      </c>
      <c r="Y104" s="54">
        <v>10</v>
      </c>
      <c r="Z104" s="54">
        <v>19</v>
      </c>
      <c r="AA104" s="54">
        <v>20</v>
      </c>
      <c r="AB104" s="54">
        <v>10</v>
      </c>
      <c r="AC104" s="54">
        <v>12</v>
      </c>
      <c r="AD104" s="54">
        <v>24</v>
      </c>
      <c r="AE104" s="54">
        <v>10</v>
      </c>
      <c r="AF104" s="54">
        <v>14</v>
      </c>
      <c r="AG104" s="54">
        <v>14</v>
      </c>
      <c r="AH104" s="54">
        <v>6</v>
      </c>
      <c r="AI104" s="54">
        <v>14</v>
      </c>
      <c r="AJ104" s="54">
        <v>17</v>
      </c>
      <c r="AK104" s="54">
        <v>20</v>
      </c>
      <c r="AL104" s="54">
        <v>21</v>
      </c>
      <c r="AM104" s="54">
        <v>17</v>
      </c>
      <c r="AN104" s="54">
        <v>28</v>
      </c>
      <c r="AO104" s="54">
        <v>27</v>
      </c>
      <c r="AP104" s="54">
        <v>20</v>
      </c>
      <c r="AQ104" s="54">
        <v>19</v>
      </c>
      <c r="AR104" s="54">
        <v>24</v>
      </c>
      <c r="AS104" s="54">
        <v>11</v>
      </c>
      <c r="AT104" s="54">
        <v>12</v>
      </c>
      <c r="AU104" s="54">
        <v>13</v>
      </c>
      <c r="AV104" s="54">
        <v>20</v>
      </c>
      <c r="AW104" s="54">
        <v>20</v>
      </c>
      <c r="AX104" s="54">
        <v>15</v>
      </c>
      <c r="AY104" s="54">
        <v>18</v>
      </c>
      <c r="AZ104" s="54">
        <v>25</v>
      </c>
      <c r="BA104" s="54">
        <v>14</v>
      </c>
      <c r="BB104" s="54">
        <v>15</v>
      </c>
      <c r="BC104" s="54">
        <v>12</v>
      </c>
      <c r="BD104" s="54">
        <v>14</v>
      </c>
      <c r="BE104" s="54">
        <v>19</v>
      </c>
      <c r="BF104" s="54">
        <v>6</v>
      </c>
      <c r="BG104" s="54">
        <v>12</v>
      </c>
      <c r="BH104" s="54">
        <v>8</v>
      </c>
      <c r="BI104" s="54">
        <v>11</v>
      </c>
      <c r="BJ104" s="54">
        <v>2</v>
      </c>
      <c r="BK104" s="54">
        <v>7</v>
      </c>
      <c r="BL104" s="54">
        <v>5</v>
      </c>
      <c r="BM104" s="54">
        <v>8</v>
      </c>
      <c r="BN104" s="54">
        <v>10</v>
      </c>
      <c r="BO104" s="54">
        <v>15</v>
      </c>
      <c r="BP104" s="54">
        <v>8</v>
      </c>
      <c r="BQ104" s="54">
        <v>7</v>
      </c>
      <c r="BR104" s="54">
        <v>12</v>
      </c>
      <c r="BS104" s="54">
        <v>18</v>
      </c>
      <c r="BT104" s="54">
        <v>8</v>
      </c>
      <c r="BU104" s="54"/>
      <c r="BV104" s="54"/>
      <c r="BW104" s="54"/>
      <c r="BX104" s="85">
        <f>VLOOKUP(F104,[1]SKU리스트!$H:$AH,27,FALSE)</f>
        <v>276540</v>
      </c>
      <c r="BY104" s="9"/>
    </row>
    <row r="105" spans="1:78" ht="20.100000000000001" customHeight="1" x14ac:dyDescent="0.3">
      <c r="A105" s="13">
        <v>99</v>
      </c>
      <c r="B105" s="91" t="s">
        <v>346</v>
      </c>
      <c r="C105" s="93" t="s">
        <v>161</v>
      </c>
      <c r="D105" s="98"/>
      <c r="E105" s="98"/>
      <c r="F105" s="96" t="s">
        <v>292</v>
      </c>
      <c r="G105" s="97"/>
      <c r="H105" s="97"/>
      <c r="I105" s="97"/>
      <c r="J105" s="91"/>
      <c r="L105" s="98"/>
      <c r="M105" s="98">
        <v>103</v>
      </c>
      <c r="N105" s="98"/>
      <c r="O105" s="98"/>
      <c r="P105" s="98"/>
      <c r="Q105" s="39" t="s">
        <v>282</v>
      </c>
      <c r="R105" s="5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50"/>
      <c r="AL105" s="50"/>
      <c r="AM105" s="50"/>
      <c r="AN105" s="50"/>
      <c r="AO105" s="53">
        <f>SUM(AI104:AO104)</f>
        <v>144</v>
      </c>
      <c r="AP105" s="51">
        <v>172</v>
      </c>
      <c r="AQ105" s="50"/>
      <c r="AR105" s="50"/>
      <c r="AS105" s="50"/>
      <c r="AT105" s="50"/>
      <c r="AU105" s="50"/>
      <c r="AV105" s="53">
        <f>SUM(AP104:AV104)</f>
        <v>119</v>
      </c>
      <c r="AW105" s="50">
        <v>78</v>
      </c>
      <c r="AX105" s="50"/>
      <c r="AY105" s="50"/>
      <c r="AZ105" s="50"/>
      <c r="BA105" s="50"/>
      <c r="BB105" s="50"/>
      <c r="BC105" s="53">
        <f>SUM(AW104:BC104)</f>
        <v>119</v>
      </c>
      <c r="BD105" s="50">
        <v>54</v>
      </c>
      <c r="BE105" s="50"/>
      <c r="BF105" s="50"/>
      <c r="BG105" s="50"/>
      <c r="BH105" s="50"/>
      <c r="BI105" s="50"/>
      <c r="BJ105" s="53">
        <f>SUM(BD104:BJ104)</f>
        <v>72</v>
      </c>
      <c r="BK105" s="50">
        <v>44</v>
      </c>
      <c r="BL105" s="50"/>
      <c r="BM105" s="50"/>
      <c r="BN105" s="50"/>
      <c r="BO105" s="50"/>
      <c r="BP105" s="50"/>
      <c r="BQ105" s="53">
        <f>SUM(BK104:BQ104)</f>
        <v>60</v>
      </c>
      <c r="BR105" s="50">
        <v>50</v>
      </c>
      <c r="BS105" s="50"/>
      <c r="BT105" s="50"/>
      <c r="BU105" s="50"/>
      <c r="BV105" s="50"/>
      <c r="BW105" s="50"/>
      <c r="BY105" s="91"/>
      <c r="BZ105" s="98"/>
    </row>
    <row r="106" spans="1:78" ht="20.100000000000001" customHeight="1" x14ac:dyDescent="0.3">
      <c r="A106" s="13">
        <v>100</v>
      </c>
      <c r="B106" s="4" t="s">
        <v>346</v>
      </c>
      <c r="C106" s="69" t="s">
        <v>161</v>
      </c>
      <c r="F106" s="2">
        <v>93525364055</v>
      </c>
      <c r="H106" s="3"/>
      <c r="M106" s="1">
        <v>104</v>
      </c>
      <c r="Q106" s="41" t="s">
        <v>1</v>
      </c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 t="str">
        <f>IFERROR(VLOOKUP($F106,[2]원본!$D:$BX,AI$1,FALSE),"")</f>
        <v/>
      </c>
      <c r="AJ106" s="40" t="str">
        <f>IFERROR(VLOOKUP($F106,[2]원본!$D:$BX,AJ$1,FALSE),"")</f>
        <v/>
      </c>
      <c r="AK106" s="40" t="str">
        <f>IFERROR(VLOOKUP($F106,[2]원본!$D:$BX,AK$1,FALSE),"")</f>
        <v/>
      </c>
      <c r="AL106" s="40" t="str">
        <f>IFERROR(VLOOKUP($F106,[2]원본!$D:$BX,AL$1,FALSE),"")</f>
        <v/>
      </c>
      <c r="AM106" s="40" t="str">
        <f>IFERROR(VLOOKUP($F106,[2]원본!$D:$BX,AM$1,FALSE),"")</f>
        <v/>
      </c>
      <c r="AN106" s="40" t="str">
        <f>IFERROR(VLOOKUP($F106,[2]원본!$D:$BX,AN$1,FALSE),"")</f>
        <v/>
      </c>
      <c r="AO106" s="40" t="str">
        <f>IFERROR(VLOOKUP($F106,[2]원본!$D:$BX,AO$1,FALSE),"")</f>
        <v/>
      </c>
      <c r="AP106" s="40" t="str">
        <f>IFERROR(VLOOKUP($F106,[2]원본!$D:$BX,AP$1,FALSE),"")</f>
        <v/>
      </c>
      <c r="AQ106" s="40" t="str">
        <f>IFERROR(VLOOKUP($F106,[2]원본!$D:$BX,AQ$1,FALSE),"")</f>
        <v/>
      </c>
      <c r="AR106" s="40" t="str">
        <f>IFERROR(VLOOKUP($F106,[2]원본!$D:$BX,AR$1,FALSE),"")</f>
        <v/>
      </c>
      <c r="AS106" s="40" t="str">
        <f>IFERROR(VLOOKUP($F106,[2]원본!$D:$BX,AS$1,FALSE),"")</f>
        <v/>
      </c>
      <c r="AT106" s="40" t="str">
        <f>IFERROR(VLOOKUP($F106,[2]원본!$D:$BX,AT$1,FALSE),"")</f>
        <v/>
      </c>
      <c r="AU106" s="40" t="str">
        <f>IFERROR(VLOOKUP($F106,[2]원본!$D:$BX,AU$1,FALSE),"")</f>
        <v/>
      </c>
      <c r="AV106" s="40" t="str">
        <f>IFERROR(VLOOKUP($F106,[2]원본!$D:$BX,AV$1,FALSE),"")</f>
        <v/>
      </c>
      <c r="AW106" s="40" t="str">
        <f>IFERROR(VLOOKUP($F106,[2]원본!$D:$BX,AW$1,FALSE),"")</f>
        <v/>
      </c>
      <c r="AX106" s="40" t="str">
        <f>IFERROR(VLOOKUP($F106,[2]원본!$D:$BX,AX$1,FALSE),"")</f>
        <v/>
      </c>
      <c r="AY106" s="40" t="str">
        <f>IFERROR(VLOOKUP($F106,[2]원본!$D:$BX,AY$1,FALSE),"")</f>
        <v/>
      </c>
      <c r="AZ106" s="40" t="str">
        <f>IFERROR(VLOOKUP($F106,[2]원본!$D:$BX,AZ$1,FALSE),"")</f>
        <v/>
      </c>
      <c r="BA106" s="40" t="str">
        <f>IFERROR(VLOOKUP($F106,[2]원본!$D:$BX,BA$1,FALSE),"")</f>
        <v/>
      </c>
      <c r="BB106" s="40" t="str">
        <f>IFERROR(VLOOKUP($F106,[2]원본!$D:$BX,BB$1,FALSE),"")</f>
        <v/>
      </c>
      <c r="BC106" s="40" t="str">
        <f>IFERROR(VLOOKUP($F106,[2]원본!$D:$BX,BC$1,FALSE),"")</f>
        <v/>
      </c>
      <c r="BD106" s="40" t="str">
        <f>IFERROR(VLOOKUP($F106,[2]원본!$D:$BX,BD$1,FALSE),"")</f>
        <v/>
      </c>
      <c r="BE106" s="40" t="str">
        <f>IFERROR(VLOOKUP($F106,[2]원본!$D:$BX,BE$1,FALSE),"")</f>
        <v/>
      </c>
      <c r="BF106" s="40" t="str">
        <f>IFERROR(VLOOKUP($F106,[2]원본!$D:$BX,BF$1,FALSE),"")</f>
        <v/>
      </c>
      <c r="BG106" s="40" t="str">
        <f>IFERROR(VLOOKUP($F106,[2]원본!$D:$BX,BG$1,FALSE),"")</f>
        <v/>
      </c>
      <c r="BH106" s="40" t="str">
        <f>IFERROR(VLOOKUP($F106,[2]원본!$D:$BX,BH$1,FALSE),"")</f>
        <v/>
      </c>
      <c r="BI106" s="40" t="str">
        <f>IFERROR(VLOOKUP($F106,[2]원본!$D:$BX,BI$1,FALSE),"")</f>
        <v/>
      </c>
      <c r="BJ106" s="40" t="str">
        <f>IFERROR(VLOOKUP($F106,[2]원본!$D:$BX,BJ$1,FALSE),"")</f>
        <v/>
      </c>
      <c r="BK106" s="40" t="str">
        <f>IFERROR(VLOOKUP($F106,[2]원본!$D:$BX,BK$1,FALSE),"")</f>
        <v/>
      </c>
      <c r="BL106" s="40" t="str">
        <f>IFERROR(VLOOKUP($F106,[2]원본!$D:$BX,BL$1,FALSE),"")</f>
        <v/>
      </c>
      <c r="BM106" s="40" t="str">
        <f>IFERROR(VLOOKUP($F106,[2]원본!$D:$BX,BM$1,FALSE),"")</f>
        <v/>
      </c>
      <c r="BN106" s="40" t="str">
        <f>IFERROR(VLOOKUP($F106,[2]원본!$D:$BX,BN$1,FALSE),"")</f>
        <v/>
      </c>
      <c r="BO106" s="40" t="str">
        <f>IFERROR(VLOOKUP($F106,[2]원본!$D:$BX,BO$1,FALSE),"")</f>
        <v/>
      </c>
      <c r="BP106" s="40" t="str">
        <f>IFERROR(VLOOKUP($F106,[2]원본!$D:$BX,BP$1,FALSE),"")</f>
        <v/>
      </c>
      <c r="BQ106" s="40" t="str">
        <f>IFERROR(VLOOKUP($F106,[2]원본!$D:$BX,BQ$1,FALSE),"")</f>
        <v/>
      </c>
      <c r="BR106" s="40" t="str">
        <f>IFERROR(VLOOKUP($F106,[2]원본!$D:$BX,BR$1,FALSE),"")</f>
        <v/>
      </c>
      <c r="BS106" s="40" t="str">
        <f>IFERROR(VLOOKUP($F106,[2]원본!$D:$BX,BS$1,FALSE),"")</f>
        <v/>
      </c>
      <c r="BT106" s="40" t="str">
        <f>IFERROR(VLOOKUP($F106,[2]원본!$D:$BX,BT$1,FALSE),"")</f>
        <v/>
      </c>
      <c r="BU106" s="40" t="str">
        <f>IFERROR(VLOOKUP($F106,[2]원본!$D:$BX,BU$1,FALSE),"")</f>
        <v/>
      </c>
      <c r="BV106" s="40" t="str">
        <f>IFERROR(VLOOKUP($F106,#REF!,BV$1,FALSE),"")</f>
        <v/>
      </c>
      <c r="BW106" s="40"/>
      <c r="BX106" s="26">
        <f>(SUM(R106:BW106)*D104)-(SUM(R106:BW106)*E104)</f>
        <v>0</v>
      </c>
      <c r="BZ106" s="100" t="str">
        <f>IFERROR(VLOOKUP($F106,#REF!,BZ$1,FALSE),"")</f>
        <v/>
      </c>
    </row>
    <row r="107" spans="1:78" ht="20.100000000000001" customHeight="1" x14ac:dyDescent="0.3">
      <c r="A107" s="13">
        <v>101</v>
      </c>
      <c r="B107" s="91" t="s">
        <v>346</v>
      </c>
      <c r="C107" s="93" t="s">
        <v>161</v>
      </c>
      <c r="D107" s="95" t="s">
        <v>173</v>
      </c>
      <c r="E107" s="91"/>
      <c r="F107" s="96">
        <v>93525364055</v>
      </c>
      <c r="G107" s="97" t="s">
        <v>142</v>
      </c>
      <c r="H107" s="97"/>
      <c r="I107" s="97"/>
      <c r="J107" s="91" t="s">
        <v>21</v>
      </c>
      <c r="K107" s="62">
        <v>168300</v>
      </c>
      <c r="L107" s="98">
        <v>1</v>
      </c>
      <c r="M107" s="98">
        <v>109</v>
      </c>
      <c r="N107" s="98"/>
      <c r="O107" s="98"/>
      <c r="P107" s="98"/>
      <c r="Q107" s="42" t="s">
        <v>0</v>
      </c>
      <c r="R107" s="7"/>
      <c r="S107" s="7"/>
      <c r="T107" s="7"/>
      <c r="U107" s="7"/>
      <c r="V107" s="7"/>
      <c r="W107" s="7"/>
      <c r="X107" s="7"/>
      <c r="Y107" s="7" t="s">
        <v>54</v>
      </c>
      <c r="Z107" s="7">
        <v>23</v>
      </c>
      <c r="AA107" s="7">
        <v>17</v>
      </c>
      <c r="AB107" s="7"/>
      <c r="AC107" s="7">
        <v>22</v>
      </c>
      <c r="AD107" s="7"/>
      <c r="AE107" s="7">
        <v>19</v>
      </c>
      <c r="AF107" s="7">
        <v>14</v>
      </c>
      <c r="AG107" s="7" t="s">
        <v>36</v>
      </c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>
        <v>23</v>
      </c>
      <c r="BB107" s="7"/>
      <c r="BC107" s="7"/>
      <c r="BD107" s="7"/>
      <c r="BE107" s="7"/>
      <c r="BF107" s="7"/>
      <c r="BG107" s="7">
        <v>35</v>
      </c>
      <c r="BH107" s="7">
        <v>23</v>
      </c>
      <c r="BI107" s="7"/>
      <c r="BJ107" s="7"/>
      <c r="BK107" s="7"/>
      <c r="BL107" s="7">
        <v>17</v>
      </c>
      <c r="BM107" s="7"/>
      <c r="BN107" s="7"/>
      <c r="BO107" s="7">
        <v>91</v>
      </c>
      <c r="BP107" s="7"/>
      <c r="BQ107" s="7"/>
      <c r="BR107" s="7"/>
      <c r="BS107" s="7">
        <v>24</v>
      </c>
      <c r="BT107" s="7"/>
      <c r="BU107" s="7">
        <v>55</v>
      </c>
      <c r="BV107" s="7"/>
      <c r="BW107" s="7"/>
      <c r="BY107" s="91"/>
      <c r="BZ107" s="98"/>
    </row>
    <row r="108" spans="1:78" ht="20.100000000000001" customHeight="1" x14ac:dyDescent="0.3">
      <c r="A108" s="13">
        <v>102</v>
      </c>
      <c r="B108" s="91" t="s">
        <v>346</v>
      </c>
      <c r="C108" s="93" t="s">
        <v>161</v>
      </c>
      <c r="D108" s="94"/>
      <c r="E108" s="94"/>
      <c r="F108" s="96">
        <v>93525364055</v>
      </c>
      <c r="G108" s="97"/>
      <c r="H108" s="97"/>
      <c r="I108" s="97"/>
      <c r="J108" s="91" t="s">
        <v>18</v>
      </c>
      <c r="K108" s="62">
        <v>107300</v>
      </c>
      <c r="L108" s="98">
        <v>1</v>
      </c>
      <c r="M108" s="98">
        <v>114</v>
      </c>
      <c r="N108" s="98"/>
      <c r="O108" s="98"/>
      <c r="P108" s="98"/>
      <c r="Q108" s="42" t="s">
        <v>0</v>
      </c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>
        <v>54</v>
      </c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>
        <v>83</v>
      </c>
      <c r="BB108" s="7"/>
      <c r="BC108" s="7"/>
      <c r="BD108" s="7"/>
      <c r="BE108" s="7"/>
      <c r="BF108" s="7"/>
      <c r="BG108" s="7"/>
      <c r="BH108" s="7">
        <v>83</v>
      </c>
      <c r="BI108" s="7">
        <v>225</v>
      </c>
      <c r="BJ108" s="7"/>
      <c r="BK108" s="7"/>
      <c r="BL108" s="7">
        <v>154</v>
      </c>
      <c r="BM108" s="7"/>
      <c r="BN108" s="7">
        <v>140</v>
      </c>
      <c r="BO108" s="7"/>
      <c r="BP108" s="7"/>
      <c r="BQ108" s="7"/>
      <c r="BR108" s="7"/>
      <c r="BS108" s="7">
        <v>141</v>
      </c>
      <c r="BT108" s="7">
        <v>143</v>
      </c>
      <c r="BU108" s="7"/>
      <c r="BV108" s="7"/>
      <c r="BW108" s="7"/>
      <c r="BY108" s="91"/>
      <c r="BZ108" s="98"/>
    </row>
    <row r="109" spans="1:78" ht="20.100000000000001" customHeight="1" x14ac:dyDescent="0.3">
      <c r="A109" s="13">
        <v>103</v>
      </c>
      <c r="B109" s="4" t="s">
        <v>346</v>
      </c>
      <c r="C109" s="69" t="s">
        <v>161</v>
      </c>
      <c r="D109" s="20"/>
      <c r="E109" s="20"/>
      <c r="F109" s="2">
        <v>93525364055</v>
      </c>
      <c r="H109" s="3"/>
      <c r="J109" s="4" t="s">
        <v>17</v>
      </c>
      <c r="K109" s="62">
        <v>94500</v>
      </c>
      <c r="L109" s="1">
        <v>1</v>
      </c>
      <c r="M109" s="1">
        <v>113</v>
      </c>
      <c r="Q109" s="42" t="s">
        <v>0</v>
      </c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 t="s">
        <v>36</v>
      </c>
      <c r="AL109" s="7"/>
      <c r="AM109" s="7"/>
      <c r="AN109" s="7"/>
      <c r="AO109" s="7"/>
      <c r="AP109" s="7"/>
      <c r="AQ109" s="7"/>
      <c r="AR109" s="7"/>
      <c r="AS109" s="7"/>
      <c r="AT109" s="7">
        <v>64</v>
      </c>
      <c r="AU109" s="7"/>
      <c r="AV109" s="7"/>
      <c r="AW109" s="7"/>
      <c r="AX109" s="7"/>
      <c r="AY109" s="7"/>
      <c r="AZ109" s="7"/>
      <c r="BA109" s="7">
        <v>75</v>
      </c>
      <c r="BB109" s="7"/>
      <c r="BC109" s="7"/>
      <c r="BD109" s="7"/>
      <c r="BE109" s="7">
        <v>239</v>
      </c>
      <c r="BF109" s="7"/>
      <c r="BG109" s="7"/>
      <c r="BH109" s="7">
        <v>75</v>
      </c>
      <c r="BI109" s="7">
        <v>238</v>
      </c>
      <c r="BJ109" s="7"/>
      <c r="BK109" s="7"/>
      <c r="BL109" s="7">
        <v>250</v>
      </c>
      <c r="BM109" s="7"/>
      <c r="BN109" s="7">
        <v>147</v>
      </c>
      <c r="BO109" s="7"/>
      <c r="BP109" s="7"/>
      <c r="BQ109" s="7"/>
      <c r="BR109" s="7"/>
      <c r="BS109" s="7">
        <v>226</v>
      </c>
      <c r="BT109" s="7">
        <v>154</v>
      </c>
      <c r="BU109" s="7"/>
      <c r="BV109" s="7"/>
      <c r="BW109" s="7"/>
    </row>
    <row r="110" spans="1:78" ht="20.100000000000001" customHeight="1" x14ac:dyDescent="0.3">
      <c r="A110" s="13">
        <v>104</v>
      </c>
      <c r="B110" s="4" t="s">
        <v>346</v>
      </c>
      <c r="C110" s="69" t="s">
        <v>161</v>
      </c>
      <c r="D110" s="20"/>
      <c r="E110" s="20"/>
      <c r="F110" s="2">
        <v>93525364055</v>
      </c>
      <c r="H110" s="3"/>
      <c r="J110" s="4" t="s">
        <v>20</v>
      </c>
      <c r="K110" s="62">
        <v>89700</v>
      </c>
      <c r="L110" s="1">
        <v>1</v>
      </c>
      <c r="M110" s="1">
        <v>107</v>
      </c>
      <c r="Q110" s="42" t="s">
        <v>0</v>
      </c>
      <c r="R110" s="7"/>
      <c r="S110" s="7"/>
      <c r="T110" s="7"/>
      <c r="U110" s="7"/>
      <c r="V110" s="7"/>
      <c r="W110" s="7"/>
      <c r="X110" s="7"/>
      <c r="Y110" s="7">
        <v>8</v>
      </c>
      <c r="Z110" s="7">
        <v>8</v>
      </c>
      <c r="AA110" s="7">
        <v>9</v>
      </c>
      <c r="AB110" s="7"/>
      <c r="AC110" s="7">
        <v>7</v>
      </c>
      <c r="AD110" s="7"/>
      <c r="AE110" s="7">
        <v>8</v>
      </c>
      <c r="AF110" s="7">
        <v>4</v>
      </c>
      <c r="AG110" s="7">
        <v>8</v>
      </c>
      <c r="AH110" s="7"/>
      <c r="AI110" s="7"/>
      <c r="AJ110" s="7"/>
      <c r="AK110" s="7">
        <v>10</v>
      </c>
      <c r="AL110" s="7"/>
      <c r="AM110" s="7"/>
      <c r="AN110" s="7"/>
      <c r="AO110" s="7"/>
      <c r="AP110" s="7"/>
      <c r="AQ110" s="7"/>
      <c r="AR110" s="7"/>
      <c r="AS110" s="7"/>
      <c r="AT110" s="7">
        <v>2</v>
      </c>
      <c r="AU110" s="7">
        <v>8</v>
      </c>
      <c r="AV110" s="7"/>
      <c r="AW110" s="7"/>
      <c r="AX110" s="7">
        <v>8</v>
      </c>
      <c r="AY110" s="7"/>
      <c r="AZ110" s="7">
        <v>9</v>
      </c>
      <c r="BA110" s="7">
        <v>11</v>
      </c>
      <c r="BB110" s="7">
        <v>13</v>
      </c>
      <c r="BC110" s="7"/>
      <c r="BD110" s="7"/>
      <c r="BE110" s="7">
        <v>16</v>
      </c>
      <c r="BF110" s="7">
        <v>11</v>
      </c>
      <c r="BG110" s="7">
        <v>11</v>
      </c>
      <c r="BH110" s="7">
        <v>11</v>
      </c>
      <c r="BI110" s="7">
        <v>9</v>
      </c>
      <c r="BJ110" s="7"/>
      <c r="BK110" s="7"/>
      <c r="BL110" s="7">
        <v>9</v>
      </c>
      <c r="BM110" s="7"/>
      <c r="BN110" s="7">
        <v>9</v>
      </c>
      <c r="BO110" s="7">
        <v>9</v>
      </c>
      <c r="BP110" s="7"/>
      <c r="BQ110" s="7"/>
      <c r="BR110" s="7"/>
      <c r="BS110" s="7">
        <v>7</v>
      </c>
      <c r="BT110" s="7">
        <v>7</v>
      </c>
      <c r="BU110" s="7">
        <v>7</v>
      </c>
      <c r="BV110" s="7"/>
      <c r="BW110" s="7"/>
    </row>
    <row r="111" spans="1:78" ht="20.100000000000001" customHeight="1" x14ac:dyDescent="0.3">
      <c r="A111" s="13">
        <v>105</v>
      </c>
      <c r="B111" s="4" t="s">
        <v>346</v>
      </c>
      <c r="C111" s="69" t="s">
        <v>161</v>
      </c>
      <c r="D111" s="20"/>
      <c r="E111" s="20"/>
      <c r="F111" s="2">
        <v>93525364055</v>
      </c>
      <c r="H111" s="3"/>
      <c r="J111" s="4" t="s">
        <v>15</v>
      </c>
      <c r="K111" s="62">
        <v>59200</v>
      </c>
      <c r="L111" s="1">
        <v>1</v>
      </c>
      <c r="M111" s="1">
        <v>108</v>
      </c>
      <c r="Q111" s="42" t="s">
        <v>0</v>
      </c>
      <c r="R111" s="7"/>
      <c r="S111" s="7"/>
      <c r="T111" s="7"/>
      <c r="U111" s="7"/>
      <c r="V111" s="7"/>
      <c r="W111" s="7"/>
      <c r="X111" s="7"/>
      <c r="Y111" s="7" t="s">
        <v>54</v>
      </c>
      <c r="Z111" s="7">
        <v>606</v>
      </c>
      <c r="AA111" s="7">
        <v>599</v>
      </c>
      <c r="AB111" s="7"/>
      <c r="AC111" s="7">
        <v>599</v>
      </c>
      <c r="AD111" s="7">
        <v>29</v>
      </c>
      <c r="AE111" s="7" t="s">
        <v>36</v>
      </c>
      <c r="AF111" s="7">
        <v>19</v>
      </c>
      <c r="AG111" s="7" t="s">
        <v>36</v>
      </c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>
        <v>5</v>
      </c>
      <c r="AU111" s="7">
        <v>5</v>
      </c>
      <c r="AV111" s="7"/>
      <c r="AW111" s="7"/>
      <c r="AX111" s="7"/>
      <c r="AY111" s="7"/>
      <c r="AZ111" s="7">
        <v>5</v>
      </c>
      <c r="BA111" s="7">
        <v>59</v>
      </c>
      <c r="BB111" s="7">
        <v>82</v>
      </c>
      <c r="BC111" s="7"/>
      <c r="BD111" s="7"/>
      <c r="BE111" s="7">
        <v>251</v>
      </c>
      <c r="BF111" s="7"/>
      <c r="BG111" s="7">
        <v>152</v>
      </c>
      <c r="BH111" s="7">
        <v>59</v>
      </c>
      <c r="BI111" s="7">
        <v>220</v>
      </c>
      <c r="BJ111" s="7"/>
      <c r="BK111" s="7"/>
      <c r="BL111" s="7">
        <v>237</v>
      </c>
      <c r="BM111" s="7"/>
      <c r="BN111" s="7"/>
      <c r="BO111" s="7">
        <v>145</v>
      </c>
      <c r="BP111" s="7"/>
      <c r="BQ111" s="7"/>
      <c r="BR111" s="7"/>
      <c r="BS111" s="7">
        <v>138</v>
      </c>
      <c r="BT111" s="7">
        <v>138</v>
      </c>
      <c r="BU111" s="7"/>
      <c r="BV111" s="7"/>
      <c r="BW111" s="7"/>
    </row>
    <row r="112" spans="1:78" ht="20.100000000000001" customHeight="1" x14ac:dyDescent="0.3">
      <c r="A112" s="13">
        <v>106</v>
      </c>
      <c r="B112" s="91" t="s">
        <v>346</v>
      </c>
      <c r="C112" s="93" t="s">
        <v>161</v>
      </c>
      <c r="D112" s="94"/>
      <c r="E112" s="94"/>
      <c r="F112" s="96">
        <v>93525364055</v>
      </c>
      <c r="G112" s="97"/>
      <c r="H112" s="97"/>
      <c r="I112" s="97"/>
      <c r="J112" s="91" t="s">
        <v>19</v>
      </c>
      <c r="K112" s="62">
        <v>34300</v>
      </c>
      <c r="L112" s="98">
        <v>1</v>
      </c>
      <c r="M112" s="98">
        <v>106</v>
      </c>
      <c r="N112" s="98"/>
      <c r="O112" s="98"/>
      <c r="P112" s="98"/>
      <c r="Q112" s="42" t="s">
        <v>0</v>
      </c>
      <c r="R112" s="7"/>
      <c r="S112" s="7"/>
      <c r="T112" s="7"/>
      <c r="U112" s="7"/>
      <c r="V112" s="7"/>
      <c r="W112" s="7"/>
      <c r="X112" s="7"/>
      <c r="Y112" s="7"/>
      <c r="Z112" s="7" t="s">
        <v>36</v>
      </c>
      <c r="AA112" s="7" t="s">
        <v>36</v>
      </c>
      <c r="AB112" s="7"/>
      <c r="AC112" s="7" t="s">
        <v>36</v>
      </c>
      <c r="AD112" s="7" t="s">
        <v>36</v>
      </c>
      <c r="AE112" s="7" t="s">
        <v>36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>
        <v>22</v>
      </c>
      <c r="AU112" s="7"/>
      <c r="AV112" s="7"/>
      <c r="AW112" s="7"/>
      <c r="AX112" s="7"/>
      <c r="AY112" s="7"/>
      <c r="AZ112" s="7">
        <v>21</v>
      </c>
      <c r="BA112" s="7">
        <v>12</v>
      </c>
      <c r="BB112" s="7">
        <v>241</v>
      </c>
      <c r="BC112" s="7"/>
      <c r="BD112" s="7"/>
      <c r="BE112" s="7">
        <v>157</v>
      </c>
      <c r="BF112" s="7"/>
      <c r="BG112" s="7">
        <v>155</v>
      </c>
      <c r="BH112" s="7">
        <v>12</v>
      </c>
      <c r="BI112" s="7">
        <v>152</v>
      </c>
      <c r="BJ112" s="7"/>
      <c r="BK112" s="7"/>
      <c r="BL112" s="7">
        <v>78</v>
      </c>
      <c r="BM112" s="7"/>
      <c r="BN112" s="7"/>
      <c r="BO112" s="7">
        <v>172</v>
      </c>
      <c r="BP112" s="7"/>
      <c r="BQ112" s="7"/>
      <c r="BR112" s="7"/>
      <c r="BS112" s="7">
        <v>173</v>
      </c>
      <c r="BT112" s="7">
        <v>150</v>
      </c>
      <c r="BU112" s="7"/>
      <c r="BV112" s="7"/>
      <c r="BW112" s="7"/>
      <c r="BY112" s="91"/>
      <c r="BZ112" s="98"/>
    </row>
    <row r="113" spans="1:78" ht="20.100000000000001" customHeight="1" x14ac:dyDescent="0.3">
      <c r="A113" s="13">
        <v>107</v>
      </c>
      <c r="B113" s="91" t="s">
        <v>346</v>
      </c>
      <c r="C113" s="93" t="s">
        <v>161</v>
      </c>
      <c r="D113" s="91"/>
      <c r="E113" s="91"/>
      <c r="F113" s="96">
        <v>93525364055</v>
      </c>
      <c r="G113" s="97"/>
      <c r="H113" s="97"/>
      <c r="I113" s="97"/>
      <c r="J113" s="91" t="s">
        <v>90</v>
      </c>
      <c r="K113" s="5">
        <v>2700</v>
      </c>
      <c r="L113" s="98">
        <v>1</v>
      </c>
      <c r="M113" s="98">
        <v>105</v>
      </c>
      <c r="N113" s="98"/>
      <c r="O113" s="98"/>
      <c r="P113" s="98"/>
      <c r="Q113" s="42" t="s">
        <v>0</v>
      </c>
      <c r="R113" s="7"/>
      <c r="S113" s="7"/>
      <c r="T113" s="7">
        <v>28</v>
      </c>
      <c r="U113" s="7"/>
      <c r="V113" s="7">
        <v>24</v>
      </c>
      <c r="W113" s="7">
        <v>9</v>
      </c>
      <c r="X113" s="7">
        <v>13</v>
      </c>
      <c r="Y113" s="7" t="s">
        <v>54</v>
      </c>
      <c r="Z113" s="7">
        <v>12</v>
      </c>
      <c r="AA113" s="7">
        <v>12</v>
      </c>
      <c r="AB113" s="7"/>
      <c r="AC113" s="7">
        <v>14</v>
      </c>
      <c r="AD113" s="7">
        <v>15</v>
      </c>
      <c r="AE113" s="7">
        <v>14</v>
      </c>
      <c r="AF113" s="7">
        <v>16</v>
      </c>
      <c r="AG113" s="7">
        <v>12</v>
      </c>
      <c r="AH113" s="7"/>
      <c r="AI113" s="7"/>
      <c r="AJ113" s="7"/>
      <c r="AK113" s="7">
        <v>19</v>
      </c>
      <c r="AL113" s="7"/>
      <c r="AM113" s="7"/>
      <c r="AN113" s="7"/>
      <c r="AO113" s="7"/>
      <c r="AP113" s="7"/>
      <c r="AQ113" s="7"/>
      <c r="AR113" s="7"/>
      <c r="AS113" s="7"/>
      <c r="AT113" s="7">
        <v>22</v>
      </c>
      <c r="AU113" s="7">
        <v>17</v>
      </c>
      <c r="AV113" s="7"/>
      <c r="AW113" s="7"/>
      <c r="AX113" s="7">
        <v>11</v>
      </c>
      <c r="AY113" s="7"/>
      <c r="AZ113" s="7">
        <v>13</v>
      </c>
      <c r="BA113" s="7">
        <v>22</v>
      </c>
      <c r="BB113" s="7">
        <v>14</v>
      </c>
      <c r="BC113" s="7"/>
      <c r="BD113" s="7"/>
      <c r="BE113" s="7">
        <v>22</v>
      </c>
      <c r="BF113" s="7">
        <v>9</v>
      </c>
      <c r="BG113" s="7">
        <v>9</v>
      </c>
      <c r="BH113" s="7">
        <v>22</v>
      </c>
      <c r="BI113" s="7">
        <v>9</v>
      </c>
      <c r="BJ113" s="7"/>
      <c r="BK113" s="7"/>
      <c r="BL113" s="7">
        <v>9</v>
      </c>
      <c r="BM113" s="7"/>
      <c r="BN113" s="7">
        <v>9</v>
      </c>
      <c r="BO113" s="7">
        <v>9</v>
      </c>
      <c r="BP113" s="7"/>
      <c r="BQ113" s="7"/>
      <c r="BR113" s="7"/>
      <c r="BS113" s="7">
        <v>9</v>
      </c>
      <c r="BT113" s="7">
        <v>9</v>
      </c>
      <c r="BU113" s="7">
        <v>9</v>
      </c>
      <c r="BV113" s="7"/>
      <c r="BW113" s="7"/>
      <c r="BY113" s="91"/>
      <c r="BZ113" s="98"/>
    </row>
    <row r="114" spans="1:78" ht="20.100000000000001" customHeight="1" x14ac:dyDescent="0.3">
      <c r="A114" s="13">
        <v>108</v>
      </c>
      <c r="B114" s="4" t="s">
        <v>346</v>
      </c>
      <c r="C114" s="69" t="s">
        <v>161</v>
      </c>
      <c r="D114" s="20"/>
      <c r="E114" s="20"/>
      <c r="F114" s="2">
        <v>93525364055</v>
      </c>
      <c r="H114" s="3"/>
      <c r="J114" s="4" t="s">
        <v>92</v>
      </c>
      <c r="K114" s="5">
        <v>1000</v>
      </c>
      <c r="L114" s="1">
        <v>1</v>
      </c>
      <c r="M114" s="1">
        <v>111</v>
      </c>
      <c r="Q114" s="42" t="s">
        <v>0</v>
      </c>
      <c r="R114" s="7"/>
      <c r="S114" s="7"/>
      <c r="T114" s="7">
        <v>466</v>
      </c>
      <c r="U114" s="7"/>
      <c r="V114" s="7">
        <v>8</v>
      </c>
      <c r="W114" s="7">
        <v>7</v>
      </c>
      <c r="X114" s="7">
        <v>6</v>
      </c>
      <c r="Y114" s="7">
        <v>23</v>
      </c>
      <c r="Z114" s="7">
        <v>23</v>
      </c>
      <c r="AA114" s="7">
        <v>6</v>
      </c>
      <c r="AB114" s="7"/>
      <c r="AC114" s="7">
        <v>5</v>
      </c>
      <c r="AD114" s="7">
        <v>6</v>
      </c>
      <c r="AE114" s="7">
        <v>6</v>
      </c>
      <c r="AF114" s="7">
        <v>6</v>
      </c>
      <c r="AG114" s="7">
        <v>1</v>
      </c>
      <c r="AH114" s="7"/>
      <c r="AI114" s="7"/>
      <c r="AJ114" s="7"/>
      <c r="AK114" s="7">
        <v>6</v>
      </c>
      <c r="AL114" s="7"/>
      <c r="AM114" s="7"/>
      <c r="AN114" s="7"/>
      <c r="AO114" s="7"/>
      <c r="AP114" s="7"/>
      <c r="AQ114" s="7"/>
      <c r="AR114" s="7"/>
      <c r="AS114" s="7"/>
      <c r="AT114" s="7">
        <v>5</v>
      </c>
      <c r="AU114" s="7">
        <v>6</v>
      </c>
      <c r="AV114" s="7"/>
      <c r="AW114" s="7"/>
      <c r="AX114" s="7">
        <v>6</v>
      </c>
      <c r="AY114" s="7"/>
      <c r="AZ114" s="7">
        <v>6</v>
      </c>
      <c r="BA114" s="7">
        <v>6</v>
      </c>
      <c r="BB114" s="7">
        <v>6</v>
      </c>
      <c r="BC114" s="7"/>
      <c r="BD114" s="7"/>
      <c r="BE114" s="7">
        <v>6</v>
      </c>
      <c r="BF114" s="7">
        <v>6</v>
      </c>
      <c r="BG114" s="7">
        <v>5</v>
      </c>
      <c r="BH114" s="7">
        <v>6</v>
      </c>
      <c r="BI114" s="7">
        <v>6</v>
      </c>
      <c r="BJ114" s="7"/>
      <c r="BK114" s="7"/>
      <c r="BL114" s="7">
        <v>5</v>
      </c>
      <c r="BM114" s="7"/>
      <c r="BN114" s="7">
        <v>5</v>
      </c>
      <c r="BO114" s="7">
        <v>5</v>
      </c>
      <c r="BP114" s="7"/>
      <c r="BQ114" s="7"/>
      <c r="BR114" s="7"/>
      <c r="BS114" s="7">
        <v>5</v>
      </c>
      <c r="BT114" s="7">
        <v>5</v>
      </c>
      <c r="BU114" s="7">
        <v>5</v>
      </c>
      <c r="BV114" s="7"/>
      <c r="BW114" s="7"/>
    </row>
    <row r="115" spans="1:78" ht="20.100000000000001" customHeight="1" x14ac:dyDescent="0.3">
      <c r="A115" s="13">
        <v>109</v>
      </c>
      <c r="B115" s="4" t="s">
        <v>346</v>
      </c>
      <c r="C115" s="69" t="s">
        <v>161</v>
      </c>
      <c r="D115" s="20"/>
      <c r="E115" s="20"/>
      <c r="F115" s="2">
        <v>93525364055</v>
      </c>
      <c r="H115" s="3"/>
      <c r="J115" s="4" t="s">
        <v>16</v>
      </c>
      <c r="K115" s="5">
        <v>800</v>
      </c>
      <c r="L115" s="1">
        <v>1</v>
      </c>
      <c r="M115" s="1">
        <v>112</v>
      </c>
      <c r="Q115" s="42" t="s">
        <v>0</v>
      </c>
      <c r="R115" s="7"/>
      <c r="S115" s="7"/>
      <c r="T115" s="7">
        <v>42</v>
      </c>
      <c r="U115" s="7"/>
      <c r="V115" s="7">
        <v>43</v>
      </c>
      <c r="W115" s="7">
        <v>3</v>
      </c>
      <c r="X115" s="7">
        <v>5</v>
      </c>
      <c r="Y115" s="7" t="s">
        <v>54</v>
      </c>
      <c r="Z115" s="7">
        <v>35</v>
      </c>
      <c r="AA115" s="7">
        <v>6</v>
      </c>
      <c r="AB115" s="7"/>
      <c r="AC115" s="7">
        <v>9</v>
      </c>
      <c r="AD115" s="7">
        <v>7</v>
      </c>
      <c r="AE115" s="7">
        <v>7</v>
      </c>
      <c r="AF115" s="7">
        <v>9</v>
      </c>
      <c r="AG115" s="7">
        <v>2</v>
      </c>
      <c r="AH115" s="7"/>
      <c r="AI115" s="7"/>
      <c r="AJ115" s="7"/>
      <c r="AK115" s="7">
        <v>18</v>
      </c>
      <c r="AL115" s="7"/>
      <c r="AM115" s="7"/>
      <c r="AN115" s="7"/>
      <c r="AO115" s="7"/>
      <c r="AP115" s="7"/>
      <c r="AQ115" s="7"/>
      <c r="AR115" s="7"/>
      <c r="AS115" s="7"/>
      <c r="AT115" s="7">
        <v>14</v>
      </c>
      <c r="AU115" s="7">
        <v>9</v>
      </c>
      <c r="AV115" s="7"/>
      <c r="AW115" s="7"/>
      <c r="AX115" s="7">
        <v>7</v>
      </c>
      <c r="AY115" s="7"/>
      <c r="AZ115" s="7">
        <v>5</v>
      </c>
      <c r="BA115" s="7">
        <v>19</v>
      </c>
      <c r="BB115" s="7">
        <v>7</v>
      </c>
      <c r="BC115" s="7"/>
      <c r="BD115" s="7"/>
      <c r="BE115" s="7">
        <v>6</v>
      </c>
      <c r="BF115" s="7">
        <v>6</v>
      </c>
      <c r="BG115" s="7">
        <v>6</v>
      </c>
      <c r="BH115" s="7">
        <v>19</v>
      </c>
      <c r="BI115" s="7">
        <v>5</v>
      </c>
      <c r="BJ115" s="7"/>
      <c r="BK115" s="7"/>
      <c r="BL115" s="7">
        <v>5</v>
      </c>
      <c r="BM115" s="7"/>
      <c r="BN115" s="7">
        <v>5</v>
      </c>
      <c r="BO115" s="7">
        <v>5</v>
      </c>
      <c r="BP115" s="7"/>
      <c r="BQ115" s="7"/>
      <c r="BR115" s="7"/>
      <c r="BS115" s="7">
        <v>5</v>
      </c>
      <c r="BT115" s="7">
        <v>5</v>
      </c>
      <c r="BU115" s="7">
        <v>5</v>
      </c>
      <c r="BV115" s="7"/>
      <c r="BW115" s="7"/>
    </row>
    <row r="116" spans="1:78" ht="20.100000000000001" customHeight="1" thickBot="1" x14ac:dyDescent="0.35">
      <c r="A116" s="13">
        <v>110</v>
      </c>
      <c r="B116" s="4" t="s">
        <v>346</v>
      </c>
      <c r="C116" s="69" t="s">
        <v>161</v>
      </c>
      <c r="D116" s="20"/>
      <c r="E116" s="20"/>
      <c r="F116" s="2">
        <v>93525364055</v>
      </c>
      <c r="H116" s="3"/>
      <c r="J116" s="4" t="s">
        <v>91</v>
      </c>
      <c r="K116" s="5">
        <v>400</v>
      </c>
      <c r="L116" s="1">
        <v>1</v>
      </c>
      <c r="M116" s="1">
        <v>110</v>
      </c>
      <c r="Q116" s="42" t="s">
        <v>0</v>
      </c>
      <c r="R116" s="7"/>
      <c r="S116" s="7"/>
      <c r="T116" s="7">
        <v>6</v>
      </c>
      <c r="U116" s="7"/>
      <c r="V116" s="7">
        <v>8</v>
      </c>
      <c r="W116" s="7">
        <v>7</v>
      </c>
      <c r="X116" s="7">
        <v>6</v>
      </c>
      <c r="Y116" s="7">
        <v>12</v>
      </c>
      <c r="Z116" s="7">
        <v>12</v>
      </c>
      <c r="AA116" s="7">
        <v>6</v>
      </c>
      <c r="AB116" s="7"/>
      <c r="AC116" s="7">
        <v>7</v>
      </c>
      <c r="AD116" s="7">
        <v>8</v>
      </c>
      <c r="AE116" s="7">
        <v>8</v>
      </c>
      <c r="AF116" s="7">
        <v>6</v>
      </c>
      <c r="AG116" s="7">
        <v>8</v>
      </c>
      <c r="AH116" s="7"/>
      <c r="AI116" s="7"/>
      <c r="AJ116" s="7"/>
      <c r="AK116" s="7">
        <v>6</v>
      </c>
      <c r="AL116" s="7"/>
      <c r="AM116" s="7"/>
      <c r="AN116" s="7"/>
      <c r="AO116" s="7"/>
      <c r="AP116" s="7"/>
      <c r="AQ116" s="7"/>
      <c r="AR116" s="7"/>
      <c r="AS116" s="7"/>
      <c r="AT116" s="7">
        <v>6</v>
      </c>
      <c r="AU116" s="7">
        <v>6</v>
      </c>
      <c r="AV116" s="7"/>
      <c r="AW116" s="7"/>
      <c r="AX116" s="7">
        <v>8</v>
      </c>
      <c r="AY116" s="7"/>
      <c r="AZ116" s="7">
        <v>7</v>
      </c>
      <c r="BA116" s="7">
        <v>8</v>
      </c>
      <c r="BB116" s="7">
        <v>8</v>
      </c>
      <c r="BC116" s="7"/>
      <c r="BD116" s="7"/>
      <c r="BE116" s="7">
        <v>8</v>
      </c>
      <c r="BF116" s="7">
        <v>8</v>
      </c>
      <c r="BG116" s="7">
        <v>7</v>
      </c>
      <c r="BH116" s="7">
        <v>8</v>
      </c>
      <c r="BI116" s="7">
        <v>10</v>
      </c>
      <c r="BJ116" s="7"/>
      <c r="BK116" s="7"/>
      <c r="BL116" s="7">
        <v>10</v>
      </c>
      <c r="BM116" s="7"/>
      <c r="BN116" s="7">
        <v>10</v>
      </c>
      <c r="BO116" s="7">
        <v>10</v>
      </c>
      <c r="BP116" s="7"/>
      <c r="BQ116" s="7"/>
      <c r="BR116" s="7"/>
      <c r="BS116" s="7">
        <v>8</v>
      </c>
      <c r="BT116" s="7">
        <v>7</v>
      </c>
      <c r="BU116" s="7">
        <v>7</v>
      </c>
      <c r="BV116" s="7"/>
      <c r="BW116" s="7"/>
    </row>
    <row r="117" spans="1:78" s="8" customFormat="1" ht="20.100000000000001" customHeight="1" x14ac:dyDescent="0.3">
      <c r="A117" s="13">
        <v>111</v>
      </c>
      <c r="B117" s="9" t="s">
        <v>346</v>
      </c>
      <c r="C117" s="70" t="s">
        <v>161</v>
      </c>
      <c r="D117" s="46">
        <f>VLOOKUP(F119,[1]SKU리스트!$H:$L,5,FALSE)</f>
        <v>13800</v>
      </c>
      <c r="E117" s="47">
        <f>VLOOKUP(F119,[1]SKU리스트!$H:$AK,30,FALSE)</f>
        <v>8750</v>
      </c>
      <c r="F117" s="10" t="s">
        <v>206</v>
      </c>
      <c r="G117" s="11"/>
      <c r="H117" s="11"/>
      <c r="I117" s="11"/>
      <c r="J117" s="9"/>
      <c r="K117" s="12"/>
      <c r="M117" s="8">
        <v>115</v>
      </c>
      <c r="Q117" s="44" t="s">
        <v>125</v>
      </c>
      <c r="R117" s="54">
        <v>62</v>
      </c>
      <c r="S117" s="54">
        <v>57</v>
      </c>
      <c r="T117" s="54">
        <v>48</v>
      </c>
      <c r="U117" s="54">
        <v>42</v>
      </c>
      <c r="V117" s="54">
        <v>34</v>
      </c>
      <c r="W117" s="54">
        <v>35</v>
      </c>
      <c r="X117" s="54">
        <v>43</v>
      </c>
      <c r="Y117" s="54">
        <v>42</v>
      </c>
      <c r="Z117" s="54">
        <v>37</v>
      </c>
      <c r="AA117" s="54">
        <v>35</v>
      </c>
      <c r="AB117" s="54">
        <v>22</v>
      </c>
      <c r="AC117" s="54">
        <v>22</v>
      </c>
      <c r="AD117" s="54">
        <v>37</v>
      </c>
      <c r="AE117" s="54">
        <v>19</v>
      </c>
      <c r="AF117" s="54">
        <v>21</v>
      </c>
      <c r="AG117" s="54">
        <v>11</v>
      </c>
      <c r="AH117" s="54">
        <v>22</v>
      </c>
      <c r="AI117" s="54">
        <v>46</v>
      </c>
      <c r="AJ117" s="54">
        <v>51</v>
      </c>
      <c r="AK117" s="54">
        <v>49</v>
      </c>
      <c r="AL117" s="54">
        <v>49</v>
      </c>
      <c r="AM117" s="54">
        <v>49</v>
      </c>
      <c r="AN117" s="54">
        <v>48</v>
      </c>
      <c r="AO117" s="54">
        <v>51</v>
      </c>
      <c r="AP117" s="54">
        <v>46</v>
      </c>
      <c r="AQ117" s="54">
        <v>53</v>
      </c>
      <c r="AR117" s="54">
        <v>45</v>
      </c>
      <c r="AS117" s="54">
        <v>52</v>
      </c>
      <c r="AT117" s="54">
        <v>27</v>
      </c>
      <c r="AU117" s="54">
        <v>30</v>
      </c>
      <c r="AV117" s="54">
        <v>41</v>
      </c>
      <c r="AW117" s="54">
        <v>47</v>
      </c>
      <c r="AX117" s="54">
        <v>43</v>
      </c>
      <c r="AY117" s="54">
        <v>36</v>
      </c>
      <c r="AZ117" s="54">
        <v>51</v>
      </c>
      <c r="BA117" s="54">
        <v>46</v>
      </c>
      <c r="BB117" s="54">
        <v>35</v>
      </c>
      <c r="BC117" s="54">
        <v>41</v>
      </c>
      <c r="BD117" s="54">
        <v>40</v>
      </c>
      <c r="BE117" s="54">
        <v>41</v>
      </c>
      <c r="BF117" s="54">
        <v>35</v>
      </c>
      <c r="BG117" s="54">
        <v>29</v>
      </c>
      <c r="BH117" s="54">
        <v>23</v>
      </c>
      <c r="BI117" s="54">
        <v>13</v>
      </c>
      <c r="BJ117" s="54">
        <v>23</v>
      </c>
      <c r="BK117" s="54">
        <v>38</v>
      </c>
      <c r="BL117" s="54">
        <v>23</v>
      </c>
      <c r="BM117" s="54">
        <v>31</v>
      </c>
      <c r="BN117" s="54">
        <v>28</v>
      </c>
      <c r="BO117" s="54">
        <v>33</v>
      </c>
      <c r="BP117" s="54">
        <v>37</v>
      </c>
      <c r="BQ117" s="54">
        <v>35</v>
      </c>
      <c r="BR117" s="54">
        <v>38</v>
      </c>
      <c r="BS117" s="54">
        <v>31</v>
      </c>
      <c r="BT117" s="54">
        <v>44</v>
      </c>
      <c r="BU117" s="54"/>
      <c r="BV117" s="54"/>
      <c r="BW117" s="54"/>
      <c r="BX117" s="85">
        <f>VLOOKUP(F117,[1]SKU리스트!$H:$AH,27,FALSE)</f>
        <v>1071132</v>
      </c>
      <c r="BY117" s="9"/>
    </row>
    <row r="118" spans="1:78" ht="20.100000000000001" customHeight="1" x14ac:dyDescent="0.3">
      <c r="A118" s="13">
        <v>112</v>
      </c>
      <c r="B118" s="91" t="s">
        <v>346</v>
      </c>
      <c r="C118" s="93" t="s">
        <v>161</v>
      </c>
      <c r="D118" s="98"/>
      <c r="E118" s="98"/>
      <c r="F118" s="96" t="s">
        <v>293</v>
      </c>
      <c r="G118" s="97"/>
      <c r="H118" s="97"/>
      <c r="I118" s="97"/>
      <c r="J118" s="91"/>
      <c r="L118" s="98"/>
      <c r="M118" s="98">
        <v>116</v>
      </c>
      <c r="N118" s="98"/>
      <c r="O118" s="98"/>
      <c r="P118" s="98"/>
      <c r="Q118" s="39" t="s">
        <v>282</v>
      </c>
      <c r="R118" s="5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50"/>
      <c r="AL118" s="50"/>
      <c r="AM118" s="50"/>
      <c r="AN118" s="50"/>
      <c r="AO118" s="53">
        <f>SUM(AI117:AO117)</f>
        <v>343</v>
      </c>
      <c r="AP118" s="51">
        <v>394</v>
      </c>
      <c r="AQ118" s="50"/>
      <c r="AR118" s="50"/>
      <c r="AS118" s="50"/>
      <c r="AT118" s="50"/>
      <c r="AU118" s="50"/>
      <c r="AV118" s="53">
        <f>SUM(AP117:AV117)</f>
        <v>294</v>
      </c>
      <c r="AW118" s="50">
        <v>350</v>
      </c>
      <c r="AX118" s="50"/>
      <c r="AY118" s="50"/>
      <c r="AZ118" s="50"/>
      <c r="BA118" s="50"/>
      <c r="BB118" s="50"/>
      <c r="BC118" s="53">
        <f>SUM(AW117:BC117)</f>
        <v>299</v>
      </c>
      <c r="BD118" s="50">
        <v>349</v>
      </c>
      <c r="BE118" s="50"/>
      <c r="BF118" s="50"/>
      <c r="BG118" s="50"/>
      <c r="BH118" s="50"/>
      <c r="BI118" s="50"/>
      <c r="BJ118" s="53">
        <f>SUM(BD117:BJ117)</f>
        <v>204</v>
      </c>
      <c r="BK118" s="50">
        <v>217</v>
      </c>
      <c r="BL118" s="50"/>
      <c r="BM118" s="50"/>
      <c r="BN118" s="50"/>
      <c r="BO118" s="50"/>
      <c r="BP118" s="50"/>
      <c r="BQ118" s="53">
        <f>SUM(BK117:BQ117)</f>
        <v>225</v>
      </c>
      <c r="BR118" s="50">
        <v>228</v>
      </c>
      <c r="BS118" s="50"/>
      <c r="BT118" s="50"/>
      <c r="BU118" s="50"/>
      <c r="BV118" s="50"/>
      <c r="BW118" s="50"/>
      <c r="BY118" s="91"/>
      <c r="BZ118" s="98"/>
    </row>
    <row r="119" spans="1:78" ht="20.100000000000001" customHeight="1" x14ac:dyDescent="0.3">
      <c r="A119" s="13">
        <v>113</v>
      </c>
      <c r="B119" s="4" t="s">
        <v>346</v>
      </c>
      <c r="C119" s="69" t="s">
        <v>161</v>
      </c>
      <c r="F119" s="2">
        <v>93525233993</v>
      </c>
      <c r="H119" s="3"/>
      <c r="M119" s="1">
        <v>117</v>
      </c>
      <c r="Q119" s="41" t="s">
        <v>1</v>
      </c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 t="str">
        <f>IFERROR(VLOOKUP($F119,[2]원본!$D:$BX,AI$1,FALSE),"")</f>
        <v/>
      </c>
      <c r="AJ119" s="40" t="str">
        <f>IFERROR(VLOOKUP($F119,[2]원본!$D:$BX,AJ$1,FALSE),"")</f>
        <v/>
      </c>
      <c r="AK119" s="40" t="str">
        <f>IFERROR(VLOOKUP($F119,[2]원본!$D:$BX,AK$1,FALSE),"")</f>
        <v/>
      </c>
      <c r="AL119" s="40" t="str">
        <f>IFERROR(VLOOKUP($F119,[2]원본!$D:$BX,AL$1,FALSE),"")</f>
        <v/>
      </c>
      <c r="AM119" s="40" t="str">
        <f>IFERROR(VLOOKUP($F119,[2]원본!$D:$BX,AM$1,FALSE),"")</f>
        <v/>
      </c>
      <c r="AN119" s="40" t="str">
        <f>IFERROR(VLOOKUP($F119,[2]원본!$D:$BX,AN$1,FALSE),"")</f>
        <v/>
      </c>
      <c r="AO119" s="40" t="str">
        <f>IFERROR(VLOOKUP($F119,[2]원본!$D:$BX,AO$1,FALSE),"")</f>
        <v/>
      </c>
      <c r="AP119" s="40" t="str">
        <f>IFERROR(VLOOKUP($F119,[2]원본!$D:$BX,AP$1,FALSE),"")</f>
        <v/>
      </c>
      <c r="AQ119" s="40" t="str">
        <f>IFERROR(VLOOKUP($F119,[2]원본!$D:$BX,AQ$1,FALSE),"")</f>
        <v/>
      </c>
      <c r="AR119" s="40" t="str">
        <f>IFERROR(VLOOKUP($F119,[2]원본!$D:$BX,AR$1,FALSE),"")</f>
        <v/>
      </c>
      <c r="AS119" s="40" t="str">
        <f>IFERROR(VLOOKUP($F119,[2]원본!$D:$BX,AS$1,FALSE),"")</f>
        <v/>
      </c>
      <c r="AT119" s="40" t="str">
        <f>IFERROR(VLOOKUP($F119,[2]원본!$D:$BX,AT$1,FALSE),"")</f>
        <v/>
      </c>
      <c r="AU119" s="40" t="str">
        <f>IFERROR(VLOOKUP($F119,[2]원본!$D:$BX,AU$1,FALSE),"")</f>
        <v/>
      </c>
      <c r="AV119" s="40" t="str">
        <f>IFERROR(VLOOKUP($F119,[2]원본!$D:$BX,AV$1,FALSE),"")</f>
        <v/>
      </c>
      <c r="AW119" s="40" t="str">
        <f>IFERROR(VLOOKUP($F119,[2]원본!$D:$BX,AW$1,FALSE),"")</f>
        <v/>
      </c>
      <c r="AX119" s="40" t="str">
        <f>IFERROR(VLOOKUP($F119,[2]원본!$D:$BX,AX$1,FALSE),"")</f>
        <v/>
      </c>
      <c r="AY119" s="40" t="str">
        <f>IFERROR(VLOOKUP($F119,[2]원본!$D:$BX,AY$1,FALSE),"")</f>
        <v/>
      </c>
      <c r="AZ119" s="40" t="str">
        <f>IFERROR(VLOOKUP($F119,[2]원본!$D:$BX,AZ$1,FALSE),"")</f>
        <v/>
      </c>
      <c r="BA119" s="40" t="str">
        <f>IFERROR(VLOOKUP($F119,[2]원본!$D:$BX,BA$1,FALSE),"")</f>
        <v/>
      </c>
      <c r="BB119" s="40" t="str">
        <f>IFERROR(VLOOKUP($F119,[2]원본!$D:$BX,BB$1,FALSE),"")</f>
        <v/>
      </c>
      <c r="BC119" s="40" t="str">
        <f>IFERROR(VLOOKUP($F119,[2]원본!$D:$BX,BC$1,FALSE),"")</f>
        <v/>
      </c>
      <c r="BD119" s="40" t="str">
        <f>IFERROR(VLOOKUP($F119,[2]원본!$D:$BX,BD$1,FALSE),"")</f>
        <v/>
      </c>
      <c r="BE119" s="40" t="str">
        <f>IFERROR(VLOOKUP($F119,[2]원본!$D:$BX,BE$1,FALSE),"")</f>
        <v/>
      </c>
      <c r="BF119" s="40" t="str">
        <f>IFERROR(VLOOKUP($F119,[2]원본!$D:$BX,BF$1,FALSE),"")</f>
        <v/>
      </c>
      <c r="BG119" s="40" t="str">
        <f>IFERROR(VLOOKUP($F119,[2]원본!$D:$BX,BG$1,FALSE),"")</f>
        <v/>
      </c>
      <c r="BH119" s="40" t="str">
        <f>IFERROR(VLOOKUP($F119,[2]원본!$D:$BX,BH$1,FALSE),"")</f>
        <v/>
      </c>
      <c r="BI119" s="40" t="str">
        <f>IFERROR(VLOOKUP($F119,[2]원본!$D:$BX,BI$1,FALSE),"")</f>
        <v/>
      </c>
      <c r="BJ119" s="40" t="str">
        <f>IFERROR(VLOOKUP($F119,[2]원본!$D:$BX,BJ$1,FALSE),"")</f>
        <v/>
      </c>
      <c r="BK119" s="40" t="str">
        <f>IFERROR(VLOOKUP($F119,[2]원본!$D:$BX,BK$1,FALSE),"")</f>
        <v/>
      </c>
      <c r="BL119" s="40" t="str">
        <f>IFERROR(VLOOKUP($F119,[2]원본!$D:$BX,BL$1,FALSE),"")</f>
        <v/>
      </c>
      <c r="BM119" s="40" t="str">
        <f>IFERROR(VLOOKUP($F119,[2]원본!$D:$BX,BM$1,FALSE),"")</f>
        <v/>
      </c>
      <c r="BN119" s="40" t="str">
        <f>IFERROR(VLOOKUP($F119,[2]원본!$D:$BX,BN$1,FALSE),"")</f>
        <v/>
      </c>
      <c r="BO119" s="40" t="str">
        <f>IFERROR(VLOOKUP($F119,[2]원본!$D:$BX,BO$1,FALSE),"")</f>
        <v/>
      </c>
      <c r="BP119" s="40" t="str">
        <f>IFERROR(VLOOKUP($F119,[2]원본!$D:$BX,BP$1,FALSE),"")</f>
        <v/>
      </c>
      <c r="BQ119" s="40" t="str">
        <f>IFERROR(VLOOKUP($F119,[2]원본!$D:$BX,BQ$1,FALSE),"")</f>
        <v/>
      </c>
      <c r="BR119" s="40" t="str">
        <f>IFERROR(VLOOKUP($F119,[2]원본!$D:$BX,BR$1,FALSE),"")</f>
        <v/>
      </c>
      <c r="BS119" s="40" t="str">
        <f>IFERROR(VLOOKUP($F119,[2]원본!$D:$BX,BS$1,FALSE),"")</f>
        <v/>
      </c>
      <c r="BT119" s="40" t="str">
        <f>IFERROR(VLOOKUP($F119,[2]원본!$D:$BX,BT$1,FALSE),"")</f>
        <v/>
      </c>
      <c r="BU119" s="40" t="str">
        <f>IFERROR(VLOOKUP($F119,[2]원본!$D:$BX,BU$1,FALSE),"")</f>
        <v/>
      </c>
      <c r="BV119" s="40" t="str">
        <f>IFERROR(VLOOKUP($F119,#REF!,BV$1,FALSE),"")</f>
        <v/>
      </c>
      <c r="BW119" s="40"/>
      <c r="BX119" s="26">
        <f>(SUM(R119:BW119)*D117)-(SUM(R119:BW119)*E117)</f>
        <v>0</v>
      </c>
      <c r="BZ119" s="100" t="str">
        <f>IFERROR(VLOOKUP($F119,#REF!,BZ$1,FALSE),"")</f>
        <v/>
      </c>
    </row>
    <row r="120" spans="1:78" ht="20.100000000000001" customHeight="1" x14ac:dyDescent="0.3">
      <c r="A120" s="13">
        <v>114</v>
      </c>
      <c r="B120" s="4" t="s">
        <v>346</v>
      </c>
      <c r="C120" s="69" t="s">
        <v>161</v>
      </c>
      <c r="D120" s="82" t="s">
        <v>174</v>
      </c>
      <c r="F120" s="2">
        <v>93525233993</v>
      </c>
      <c r="G120" s="3" t="s">
        <v>143</v>
      </c>
      <c r="H120" s="3"/>
      <c r="J120" s="4" t="s">
        <v>21</v>
      </c>
      <c r="K120" s="62">
        <v>168300</v>
      </c>
      <c r="L120" s="1">
        <v>1</v>
      </c>
      <c r="M120" s="1">
        <v>122</v>
      </c>
      <c r="Q120" s="42" t="s">
        <v>0</v>
      </c>
      <c r="R120" s="7"/>
      <c r="S120" s="7"/>
      <c r="T120" s="7"/>
      <c r="U120" s="7"/>
      <c r="V120" s="7"/>
      <c r="W120" s="7"/>
      <c r="X120" s="7"/>
      <c r="Y120" s="7" t="s">
        <v>54</v>
      </c>
      <c r="Z120" s="7">
        <v>23</v>
      </c>
      <c r="AA120" s="7">
        <v>9</v>
      </c>
      <c r="AB120" s="7"/>
      <c r="AC120" s="7">
        <v>22</v>
      </c>
      <c r="AD120" s="7"/>
      <c r="AE120" s="7">
        <v>22</v>
      </c>
      <c r="AF120" s="7">
        <v>18</v>
      </c>
      <c r="AG120" s="7" t="s">
        <v>36</v>
      </c>
      <c r="AH120" s="7"/>
      <c r="AI120" s="7"/>
      <c r="AJ120" s="7"/>
      <c r="AK120" s="7">
        <v>20</v>
      </c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>
        <v>255</v>
      </c>
      <c r="BB120" s="7"/>
      <c r="BC120" s="7"/>
      <c r="BD120" s="7"/>
      <c r="BE120" s="7">
        <v>250</v>
      </c>
      <c r="BF120" s="7"/>
      <c r="BG120" s="7">
        <v>21</v>
      </c>
      <c r="BH120" s="7">
        <v>255</v>
      </c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>
        <v>87</v>
      </c>
      <c r="BT120" s="7"/>
      <c r="BU120" s="7">
        <v>20</v>
      </c>
      <c r="BV120" s="7"/>
      <c r="BW120" s="7"/>
    </row>
    <row r="121" spans="1:78" ht="20.100000000000001" customHeight="1" x14ac:dyDescent="0.3">
      <c r="A121" s="13">
        <v>115</v>
      </c>
      <c r="B121" s="91" t="s">
        <v>346</v>
      </c>
      <c r="C121" s="93" t="s">
        <v>161</v>
      </c>
      <c r="D121" s="94"/>
      <c r="E121" s="94"/>
      <c r="F121" s="96">
        <v>93525233993</v>
      </c>
      <c r="G121" s="97"/>
      <c r="H121" s="97"/>
      <c r="I121" s="97"/>
      <c r="J121" s="91" t="s">
        <v>18</v>
      </c>
      <c r="K121" s="62">
        <v>107300</v>
      </c>
      <c r="L121" s="98">
        <v>1</v>
      </c>
      <c r="M121" s="98">
        <v>128</v>
      </c>
      <c r="N121" s="98"/>
      <c r="O121" s="98"/>
      <c r="P121" s="98"/>
      <c r="Q121" s="42" t="s">
        <v>0</v>
      </c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>
        <v>61</v>
      </c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>
        <v>83</v>
      </c>
      <c r="BB121" s="7"/>
      <c r="BC121" s="7"/>
      <c r="BD121" s="7"/>
      <c r="BE121" s="7"/>
      <c r="BF121" s="7"/>
      <c r="BG121" s="7"/>
      <c r="BH121" s="7">
        <v>83</v>
      </c>
      <c r="BI121" s="7">
        <v>252</v>
      </c>
      <c r="BJ121" s="7"/>
      <c r="BK121" s="7"/>
      <c r="BL121" s="7"/>
      <c r="BM121" s="7"/>
      <c r="BN121" s="7">
        <v>235</v>
      </c>
      <c r="BO121" s="7"/>
      <c r="BP121" s="7"/>
      <c r="BQ121" s="7"/>
      <c r="BR121" s="7"/>
      <c r="BS121" s="7"/>
      <c r="BT121" s="7">
        <v>237</v>
      </c>
      <c r="BU121" s="7"/>
      <c r="BV121" s="7"/>
      <c r="BW121" s="7"/>
      <c r="BY121" s="91"/>
      <c r="BZ121" s="98"/>
    </row>
    <row r="122" spans="1:78" ht="20.100000000000001" customHeight="1" x14ac:dyDescent="0.3">
      <c r="A122" s="13">
        <v>116</v>
      </c>
      <c r="B122" s="91" t="s">
        <v>346</v>
      </c>
      <c r="C122" s="93" t="s">
        <v>161</v>
      </c>
      <c r="D122" s="94"/>
      <c r="E122" s="94"/>
      <c r="F122" s="96">
        <v>93525233993</v>
      </c>
      <c r="G122" s="97"/>
      <c r="H122" s="97"/>
      <c r="I122" s="97"/>
      <c r="J122" s="91" t="s">
        <v>17</v>
      </c>
      <c r="K122" s="62">
        <v>94500</v>
      </c>
      <c r="L122" s="98">
        <v>1</v>
      </c>
      <c r="M122" s="98">
        <v>127</v>
      </c>
      <c r="N122" s="98"/>
      <c r="O122" s="98"/>
      <c r="P122" s="98"/>
      <c r="Q122" s="42" t="s">
        <v>0</v>
      </c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>
        <v>32</v>
      </c>
      <c r="AL122" s="7"/>
      <c r="AM122" s="7"/>
      <c r="AN122" s="7"/>
      <c r="AO122" s="7"/>
      <c r="AP122" s="7"/>
      <c r="AQ122" s="7"/>
      <c r="AR122" s="7"/>
      <c r="AS122" s="7"/>
      <c r="AT122" s="7">
        <v>27</v>
      </c>
      <c r="AU122" s="7">
        <v>27</v>
      </c>
      <c r="AV122" s="7"/>
      <c r="AW122" s="7"/>
      <c r="AX122" s="7"/>
      <c r="AY122" s="7"/>
      <c r="AZ122" s="7"/>
      <c r="BA122" s="7">
        <v>75</v>
      </c>
      <c r="BB122" s="7"/>
      <c r="BC122" s="7"/>
      <c r="BD122" s="7"/>
      <c r="BE122" s="7">
        <v>209</v>
      </c>
      <c r="BF122" s="7"/>
      <c r="BG122" s="7"/>
      <c r="BH122" s="7">
        <v>75</v>
      </c>
      <c r="BI122" s="7">
        <v>234</v>
      </c>
      <c r="BJ122" s="7"/>
      <c r="BK122" s="7"/>
      <c r="BL122" s="7">
        <v>286</v>
      </c>
      <c r="BM122" s="7"/>
      <c r="BN122" s="7">
        <v>237</v>
      </c>
      <c r="BO122" s="7"/>
      <c r="BP122" s="7"/>
      <c r="BQ122" s="7"/>
      <c r="BR122" s="7"/>
      <c r="BS122" s="7">
        <v>243</v>
      </c>
      <c r="BT122" s="7">
        <v>254</v>
      </c>
      <c r="BU122" s="7"/>
      <c r="BV122" s="7"/>
      <c r="BW122" s="7"/>
      <c r="BY122" s="91"/>
      <c r="BZ122" s="98"/>
    </row>
    <row r="123" spans="1:78" ht="20.100000000000001" customHeight="1" x14ac:dyDescent="0.3">
      <c r="A123" s="13">
        <v>117</v>
      </c>
      <c r="B123" s="91" t="s">
        <v>346</v>
      </c>
      <c r="C123" s="93" t="s">
        <v>161</v>
      </c>
      <c r="D123" s="94"/>
      <c r="E123" s="94"/>
      <c r="F123" s="96">
        <v>93525233993</v>
      </c>
      <c r="G123" s="97"/>
      <c r="H123" s="97"/>
      <c r="I123" s="97"/>
      <c r="J123" s="91" t="s">
        <v>20</v>
      </c>
      <c r="K123" s="62">
        <v>89700</v>
      </c>
      <c r="L123" s="98">
        <v>1</v>
      </c>
      <c r="M123" s="98">
        <v>120</v>
      </c>
      <c r="N123" s="98"/>
      <c r="O123" s="98"/>
      <c r="P123" s="98"/>
      <c r="Q123" s="42" t="s">
        <v>0</v>
      </c>
      <c r="R123" s="7"/>
      <c r="S123" s="7"/>
      <c r="T123" s="7"/>
      <c r="U123" s="7"/>
      <c r="V123" s="7"/>
      <c r="W123" s="7"/>
      <c r="X123" s="7"/>
      <c r="Y123" s="7" t="s">
        <v>54</v>
      </c>
      <c r="Z123" s="7">
        <v>17</v>
      </c>
      <c r="AA123" s="7">
        <v>6</v>
      </c>
      <c r="AB123" s="7"/>
      <c r="AC123" s="7">
        <v>7</v>
      </c>
      <c r="AD123" s="7"/>
      <c r="AE123" s="7">
        <v>13</v>
      </c>
      <c r="AF123" s="7">
        <v>8</v>
      </c>
      <c r="AG123" s="7">
        <v>13</v>
      </c>
      <c r="AH123" s="7"/>
      <c r="AI123" s="7"/>
      <c r="AJ123" s="7"/>
      <c r="AK123" s="7">
        <v>10</v>
      </c>
      <c r="AL123" s="7"/>
      <c r="AM123" s="7"/>
      <c r="AN123" s="7"/>
      <c r="AO123" s="7"/>
      <c r="AP123" s="7"/>
      <c r="AQ123" s="7"/>
      <c r="AR123" s="7"/>
      <c r="AS123" s="7"/>
      <c r="AT123" s="7">
        <v>12</v>
      </c>
      <c r="AU123" s="7">
        <v>8</v>
      </c>
      <c r="AV123" s="7"/>
      <c r="AW123" s="7"/>
      <c r="AX123" s="7">
        <v>11</v>
      </c>
      <c r="AY123" s="7"/>
      <c r="AZ123" s="7">
        <v>10</v>
      </c>
      <c r="BA123" s="7">
        <v>11</v>
      </c>
      <c r="BB123" s="7">
        <v>12</v>
      </c>
      <c r="BC123" s="7"/>
      <c r="BD123" s="7"/>
      <c r="BE123" s="7">
        <v>16</v>
      </c>
      <c r="BF123" s="7">
        <v>10</v>
      </c>
      <c r="BG123" s="7">
        <v>17</v>
      </c>
      <c r="BH123" s="7">
        <v>11</v>
      </c>
      <c r="BI123" s="7">
        <v>10</v>
      </c>
      <c r="BJ123" s="7"/>
      <c r="BK123" s="7"/>
      <c r="BL123" s="7">
        <v>10</v>
      </c>
      <c r="BM123" s="7"/>
      <c r="BN123" s="7">
        <v>8</v>
      </c>
      <c r="BO123" s="7">
        <v>8</v>
      </c>
      <c r="BP123" s="7"/>
      <c r="BQ123" s="7"/>
      <c r="BR123" s="7"/>
      <c r="BS123" s="7">
        <v>8</v>
      </c>
      <c r="BT123" s="7">
        <v>8</v>
      </c>
      <c r="BU123" s="7">
        <v>8</v>
      </c>
      <c r="BV123" s="7"/>
      <c r="BW123" s="7"/>
      <c r="BY123" s="91"/>
      <c r="BZ123" s="98"/>
    </row>
    <row r="124" spans="1:78" ht="20.100000000000001" customHeight="1" x14ac:dyDescent="0.3">
      <c r="A124" s="13">
        <v>118</v>
      </c>
      <c r="B124" s="91" t="s">
        <v>346</v>
      </c>
      <c r="C124" s="93" t="s">
        <v>161</v>
      </c>
      <c r="D124" s="94"/>
      <c r="E124" s="94"/>
      <c r="F124" s="96">
        <v>93525233993</v>
      </c>
      <c r="G124" s="97"/>
      <c r="H124" s="97"/>
      <c r="I124" s="97"/>
      <c r="J124" s="91" t="s">
        <v>15</v>
      </c>
      <c r="K124" s="62">
        <v>59200</v>
      </c>
      <c r="L124" s="98">
        <v>1</v>
      </c>
      <c r="M124" s="98">
        <v>121</v>
      </c>
      <c r="N124" s="98"/>
      <c r="O124" s="98"/>
      <c r="P124" s="98"/>
      <c r="Q124" s="42" t="s">
        <v>0</v>
      </c>
      <c r="R124" s="7"/>
      <c r="S124" s="7"/>
      <c r="T124" s="7"/>
      <c r="U124" s="7"/>
      <c r="V124" s="7"/>
      <c r="W124" s="7"/>
      <c r="X124" s="7"/>
      <c r="Y124" s="7" t="s">
        <v>54</v>
      </c>
      <c r="Z124" s="7">
        <v>606</v>
      </c>
      <c r="AA124" s="7">
        <v>598</v>
      </c>
      <c r="AB124" s="7"/>
      <c r="AC124" s="7">
        <v>598</v>
      </c>
      <c r="AD124" s="7">
        <v>29</v>
      </c>
      <c r="AE124" s="7">
        <v>26</v>
      </c>
      <c r="AF124" s="7">
        <v>30</v>
      </c>
      <c r="AG124" s="7" t="s">
        <v>36</v>
      </c>
      <c r="AH124" s="7"/>
      <c r="AI124" s="7"/>
      <c r="AJ124" s="7"/>
      <c r="AK124" s="7">
        <v>54</v>
      </c>
      <c r="AL124" s="7"/>
      <c r="AM124" s="7"/>
      <c r="AN124" s="7"/>
      <c r="AO124" s="7"/>
      <c r="AP124" s="7"/>
      <c r="AQ124" s="7"/>
      <c r="AR124" s="7"/>
      <c r="AS124" s="7"/>
      <c r="AT124" s="7">
        <v>5</v>
      </c>
      <c r="AU124" s="7">
        <v>5</v>
      </c>
      <c r="AV124" s="7"/>
      <c r="AW124" s="7"/>
      <c r="AX124" s="7"/>
      <c r="AY124" s="7"/>
      <c r="AZ124" s="7">
        <v>13</v>
      </c>
      <c r="BA124" s="7">
        <v>59</v>
      </c>
      <c r="BB124" s="7">
        <v>241</v>
      </c>
      <c r="BC124" s="7"/>
      <c r="BD124" s="7"/>
      <c r="BE124" s="7">
        <v>241</v>
      </c>
      <c r="BF124" s="7"/>
      <c r="BG124" s="7">
        <v>200</v>
      </c>
      <c r="BH124" s="7">
        <v>59</v>
      </c>
      <c r="BI124" s="7">
        <v>227</v>
      </c>
      <c r="BJ124" s="7"/>
      <c r="BK124" s="7"/>
      <c r="BL124" s="7">
        <v>92</v>
      </c>
      <c r="BM124" s="7"/>
      <c r="BN124" s="7"/>
      <c r="BO124" s="7">
        <v>213</v>
      </c>
      <c r="BP124" s="7"/>
      <c r="BQ124" s="7"/>
      <c r="BR124" s="7"/>
      <c r="BS124" s="7">
        <v>90</v>
      </c>
      <c r="BT124" s="7">
        <v>87</v>
      </c>
      <c r="BU124" s="7"/>
      <c r="BV124" s="7"/>
      <c r="BW124" s="7"/>
      <c r="BY124" s="91"/>
      <c r="BZ124" s="98"/>
    </row>
    <row r="125" spans="1:78" ht="20.100000000000001" customHeight="1" x14ac:dyDescent="0.3">
      <c r="A125" s="13">
        <v>119</v>
      </c>
      <c r="B125" s="4" t="s">
        <v>346</v>
      </c>
      <c r="C125" s="69" t="s">
        <v>161</v>
      </c>
      <c r="D125" s="20"/>
      <c r="E125" s="20"/>
      <c r="F125" s="2">
        <v>93525233993</v>
      </c>
      <c r="H125" s="3"/>
      <c r="J125" s="4" t="s">
        <v>19</v>
      </c>
      <c r="K125" s="62">
        <v>34300</v>
      </c>
      <c r="L125" s="1">
        <v>1</v>
      </c>
      <c r="M125" s="1">
        <v>119</v>
      </c>
      <c r="Q125" s="42" t="s">
        <v>0</v>
      </c>
      <c r="R125" s="7"/>
      <c r="S125" s="7"/>
      <c r="T125" s="7"/>
      <c r="U125" s="7"/>
      <c r="V125" s="7"/>
      <c r="W125" s="7"/>
      <c r="X125" s="7"/>
      <c r="Y125" s="7" t="s">
        <v>54</v>
      </c>
      <c r="Z125" s="7" t="s">
        <v>36</v>
      </c>
      <c r="AA125" s="7" t="s">
        <v>36</v>
      </c>
      <c r="AB125" s="7"/>
      <c r="AC125" s="7" t="s">
        <v>36</v>
      </c>
      <c r="AD125" s="7" t="s">
        <v>36</v>
      </c>
      <c r="AE125" s="7" t="s">
        <v>36</v>
      </c>
      <c r="AF125" s="7"/>
      <c r="AG125" s="7" t="s">
        <v>32</v>
      </c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>
        <v>20</v>
      </c>
      <c r="BA125" s="7">
        <v>31</v>
      </c>
      <c r="BB125" s="7">
        <v>241</v>
      </c>
      <c r="BC125" s="7"/>
      <c r="BD125" s="7"/>
      <c r="BE125" s="7">
        <v>247</v>
      </c>
      <c r="BF125" s="7"/>
      <c r="BG125" s="7">
        <v>197</v>
      </c>
      <c r="BH125" s="7">
        <v>31</v>
      </c>
      <c r="BI125" s="7">
        <v>235</v>
      </c>
      <c r="BJ125" s="7"/>
      <c r="BK125" s="7"/>
      <c r="BL125" s="7">
        <v>81</v>
      </c>
      <c r="BM125" s="7"/>
      <c r="BN125" s="7"/>
      <c r="BO125" s="7">
        <v>216</v>
      </c>
      <c r="BP125" s="7"/>
      <c r="BQ125" s="7"/>
      <c r="BR125" s="7"/>
      <c r="BS125" s="7">
        <v>146</v>
      </c>
      <c r="BT125" s="7">
        <v>94</v>
      </c>
      <c r="BU125" s="7"/>
      <c r="BV125" s="7"/>
      <c r="BW125" s="7"/>
    </row>
    <row r="126" spans="1:78" ht="20.100000000000001" customHeight="1" x14ac:dyDescent="0.3">
      <c r="A126" s="13">
        <v>120</v>
      </c>
      <c r="B126" s="4" t="s">
        <v>346</v>
      </c>
      <c r="C126" s="69" t="s">
        <v>161</v>
      </c>
      <c r="F126" s="2">
        <v>93525233993</v>
      </c>
      <c r="H126" s="3"/>
      <c r="J126" s="4" t="s">
        <v>90</v>
      </c>
      <c r="K126" s="5">
        <v>2700</v>
      </c>
      <c r="L126" s="1">
        <v>1</v>
      </c>
      <c r="M126" s="1">
        <v>118</v>
      </c>
      <c r="Q126" s="42" t="s">
        <v>0</v>
      </c>
      <c r="R126" s="7"/>
      <c r="S126" s="7"/>
      <c r="T126" s="7">
        <v>28</v>
      </c>
      <c r="U126" s="7"/>
      <c r="V126" s="7">
        <v>19</v>
      </c>
      <c r="W126" s="7">
        <v>12</v>
      </c>
      <c r="X126" s="7">
        <v>12</v>
      </c>
      <c r="Y126" s="7" t="s">
        <v>54</v>
      </c>
      <c r="Z126" s="7">
        <v>20</v>
      </c>
      <c r="AA126" s="7">
        <v>13</v>
      </c>
      <c r="AB126" s="7"/>
      <c r="AC126" s="7">
        <v>14</v>
      </c>
      <c r="AD126" s="7">
        <v>14</v>
      </c>
      <c r="AE126" s="7">
        <v>16</v>
      </c>
      <c r="AF126" s="7">
        <v>16</v>
      </c>
      <c r="AG126" s="7">
        <v>14</v>
      </c>
      <c r="AH126" s="7"/>
      <c r="AI126" s="7"/>
      <c r="AJ126" s="7"/>
      <c r="AK126" s="7">
        <v>20</v>
      </c>
      <c r="AL126" s="7"/>
      <c r="AM126" s="7"/>
      <c r="AN126" s="7"/>
      <c r="AO126" s="7"/>
      <c r="AP126" s="7"/>
      <c r="AQ126" s="7"/>
      <c r="AR126" s="7"/>
      <c r="AS126" s="7"/>
      <c r="AT126" s="7">
        <v>7</v>
      </c>
      <c r="AU126" s="7">
        <v>19</v>
      </c>
      <c r="AV126" s="7"/>
      <c r="AW126" s="7"/>
      <c r="AX126" s="7">
        <v>17</v>
      </c>
      <c r="AY126" s="7"/>
      <c r="AZ126" s="7">
        <v>14</v>
      </c>
      <c r="BA126" s="7">
        <v>22</v>
      </c>
      <c r="BB126" s="7">
        <v>12</v>
      </c>
      <c r="BC126" s="7"/>
      <c r="BD126" s="7"/>
      <c r="BE126" s="7">
        <v>16</v>
      </c>
      <c r="BF126" s="7">
        <v>11</v>
      </c>
      <c r="BG126" s="7">
        <v>18</v>
      </c>
      <c r="BH126" s="7">
        <v>22</v>
      </c>
      <c r="BI126" s="7">
        <v>9</v>
      </c>
      <c r="BJ126" s="7"/>
      <c r="BK126" s="7"/>
      <c r="BL126" s="7">
        <v>9</v>
      </c>
      <c r="BM126" s="7"/>
      <c r="BN126" s="7">
        <v>9</v>
      </c>
      <c r="BO126" s="7">
        <v>9</v>
      </c>
      <c r="BP126" s="7"/>
      <c r="BQ126" s="7"/>
      <c r="BR126" s="7"/>
      <c r="BS126" s="7">
        <v>9</v>
      </c>
      <c r="BT126" s="7">
        <v>9</v>
      </c>
      <c r="BU126" s="7">
        <v>9</v>
      </c>
      <c r="BV126" s="7"/>
      <c r="BW126" s="7"/>
    </row>
    <row r="127" spans="1:78" ht="20.100000000000001" customHeight="1" x14ac:dyDescent="0.3">
      <c r="A127" s="13">
        <v>121</v>
      </c>
      <c r="B127" s="4" t="s">
        <v>346</v>
      </c>
      <c r="C127" s="69" t="s">
        <v>161</v>
      </c>
      <c r="D127" s="20"/>
      <c r="E127" s="20"/>
      <c r="F127" s="2">
        <v>93525233993</v>
      </c>
      <c r="H127" s="3"/>
      <c r="J127" s="4" t="s">
        <v>92</v>
      </c>
      <c r="K127" s="5">
        <v>1000</v>
      </c>
      <c r="L127" s="1">
        <v>1</v>
      </c>
      <c r="M127" s="1">
        <v>124</v>
      </c>
      <c r="Q127" s="42" t="s">
        <v>0</v>
      </c>
      <c r="R127" s="7"/>
      <c r="S127" s="7"/>
      <c r="T127" s="7">
        <v>466</v>
      </c>
      <c r="U127" s="7"/>
      <c r="V127" s="7">
        <v>8</v>
      </c>
      <c r="W127" s="7">
        <v>6</v>
      </c>
      <c r="X127" s="7">
        <v>6</v>
      </c>
      <c r="Y127" s="7">
        <v>6</v>
      </c>
      <c r="Z127" s="7">
        <v>6</v>
      </c>
      <c r="AA127" s="7">
        <v>6</v>
      </c>
      <c r="AB127" s="7"/>
      <c r="AC127" s="7">
        <v>5</v>
      </c>
      <c r="AD127" s="7">
        <v>6</v>
      </c>
      <c r="AE127" s="7">
        <v>8</v>
      </c>
      <c r="AF127" s="7">
        <v>6</v>
      </c>
      <c r="AG127" s="7">
        <v>4</v>
      </c>
      <c r="AH127" s="7"/>
      <c r="AI127" s="7"/>
      <c r="AJ127" s="7"/>
      <c r="AK127" s="7">
        <v>8</v>
      </c>
      <c r="AL127" s="7"/>
      <c r="AM127" s="7"/>
      <c r="AN127" s="7"/>
      <c r="AO127" s="7"/>
      <c r="AP127" s="7"/>
      <c r="AQ127" s="7"/>
      <c r="AR127" s="7"/>
      <c r="AS127" s="7"/>
      <c r="AT127" s="7">
        <v>8</v>
      </c>
      <c r="AU127" s="7">
        <v>8</v>
      </c>
      <c r="AV127" s="7"/>
      <c r="AW127" s="7"/>
      <c r="AX127" s="7">
        <v>6</v>
      </c>
      <c r="AY127" s="7"/>
      <c r="AZ127" s="7">
        <v>6</v>
      </c>
      <c r="BA127" s="7">
        <v>8</v>
      </c>
      <c r="BB127" s="7">
        <v>6</v>
      </c>
      <c r="BC127" s="7"/>
      <c r="BD127" s="7"/>
      <c r="BE127" s="7">
        <v>6</v>
      </c>
      <c r="BF127" s="7">
        <v>7</v>
      </c>
      <c r="BG127" s="7">
        <v>8</v>
      </c>
      <c r="BH127" s="7">
        <v>8</v>
      </c>
      <c r="BI127" s="7">
        <v>5</v>
      </c>
      <c r="BJ127" s="7"/>
      <c r="BK127" s="7"/>
      <c r="BL127" s="7">
        <v>5</v>
      </c>
      <c r="BM127" s="7"/>
      <c r="BN127" s="7">
        <v>5</v>
      </c>
      <c r="BO127" s="7">
        <v>5</v>
      </c>
      <c r="BP127" s="7"/>
      <c r="BQ127" s="7"/>
      <c r="BR127" s="7"/>
      <c r="BS127" s="7">
        <v>4</v>
      </c>
      <c r="BT127" s="7">
        <v>4</v>
      </c>
      <c r="BU127" s="7">
        <v>4</v>
      </c>
      <c r="BV127" s="7"/>
      <c r="BW127" s="7"/>
    </row>
    <row r="128" spans="1:78" ht="20.100000000000001" customHeight="1" x14ac:dyDescent="0.3">
      <c r="A128" s="13">
        <v>122</v>
      </c>
      <c r="B128" s="4" t="s">
        <v>346</v>
      </c>
      <c r="C128" s="69" t="s">
        <v>161</v>
      </c>
      <c r="D128" s="20"/>
      <c r="E128" s="20"/>
      <c r="F128" s="2">
        <v>93525233993</v>
      </c>
      <c r="H128" s="3"/>
      <c r="J128" s="4" t="s">
        <v>16</v>
      </c>
      <c r="K128" s="5">
        <v>800</v>
      </c>
      <c r="L128" s="1">
        <v>1</v>
      </c>
      <c r="M128" s="1">
        <v>125</v>
      </c>
      <c r="Q128" s="42" t="s">
        <v>0</v>
      </c>
      <c r="R128" s="7"/>
      <c r="S128" s="7"/>
      <c r="T128" s="7">
        <v>30</v>
      </c>
      <c r="U128" s="7"/>
      <c r="V128" s="7">
        <v>6</v>
      </c>
      <c r="W128" s="7">
        <v>9</v>
      </c>
      <c r="X128" s="7">
        <v>2</v>
      </c>
      <c r="Y128" s="7" t="s">
        <v>54</v>
      </c>
      <c r="Z128" s="7">
        <v>12</v>
      </c>
      <c r="AA128" s="7">
        <v>4</v>
      </c>
      <c r="AB128" s="7"/>
      <c r="AC128" s="7">
        <v>5</v>
      </c>
      <c r="AD128" s="7">
        <v>3</v>
      </c>
      <c r="AE128" s="7">
        <v>5</v>
      </c>
      <c r="AF128" s="7">
        <v>4</v>
      </c>
      <c r="AG128" s="7">
        <v>4</v>
      </c>
      <c r="AH128" s="7"/>
      <c r="AI128" s="7"/>
      <c r="AJ128" s="7"/>
      <c r="AK128" s="7">
        <v>17</v>
      </c>
      <c r="AL128" s="7"/>
      <c r="AM128" s="7"/>
      <c r="AN128" s="7"/>
      <c r="AO128" s="7"/>
      <c r="AP128" s="7"/>
      <c r="AQ128" s="7"/>
      <c r="AR128" s="7"/>
      <c r="AS128" s="7"/>
      <c r="AT128" s="7">
        <v>7</v>
      </c>
      <c r="AU128" s="7">
        <v>10</v>
      </c>
      <c r="AV128" s="7"/>
      <c r="AW128" s="7"/>
      <c r="AX128" s="7">
        <v>8</v>
      </c>
      <c r="AY128" s="7"/>
      <c r="AZ128" s="7">
        <v>4</v>
      </c>
      <c r="BA128" s="7">
        <v>9</v>
      </c>
      <c r="BB128" s="7">
        <v>5</v>
      </c>
      <c r="BC128" s="7"/>
      <c r="BD128" s="7"/>
      <c r="BE128" s="7">
        <v>7</v>
      </c>
      <c r="BF128" s="7">
        <v>5</v>
      </c>
      <c r="BG128" s="7">
        <v>6</v>
      </c>
      <c r="BH128" s="7">
        <v>9</v>
      </c>
      <c r="BI128" s="7">
        <v>5</v>
      </c>
      <c r="BJ128" s="7"/>
      <c r="BK128" s="7"/>
      <c r="BL128" s="7">
        <v>5</v>
      </c>
      <c r="BM128" s="7"/>
      <c r="BN128" s="7">
        <v>5</v>
      </c>
      <c r="BO128" s="7">
        <v>5</v>
      </c>
      <c r="BP128" s="7"/>
      <c r="BQ128" s="7"/>
      <c r="BR128" s="7"/>
      <c r="BS128" s="7">
        <v>5</v>
      </c>
      <c r="BT128" s="7">
        <v>5</v>
      </c>
      <c r="BU128" s="7">
        <v>5</v>
      </c>
      <c r="BV128" s="7"/>
      <c r="BW128" s="7"/>
    </row>
    <row r="129" spans="1:78" ht="20.100000000000001" customHeight="1" x14ac:dyDescent="0.3">
      <c r="A129" s="13">
        <v>123</v>
      </c>
      <c r="B129" s="91" t="s">
        <v>346</v>
      </c>
      <c r="C129" s="93" t="s">
        <v>161</v>
      </c>
      <c r="D129" s="94"/>
      <c r="E129" s="94"/>
      <c r="F129" s="96">
        <v>93525233993</v>
      </c>
      <c r="G129" s="97"/>
      <c r="H129" s="97"/>
      <c r="I129" s="97"/>
      <c r="J129" s="91" t="s">
        <v>91</v>
      </c>
      <c r="K129" s="5">
        <v>400</v>
      </c>
      <c r="L129" s="98">
        <v>1</v>
      </c>
      <c r="M129" s="98">
        <v>123</v>
      </c>
      <c r="N129" s="98"/>
      <c r="O129" s="98"/>
      <c r="P129" s="98"/>
      <c r="Q129" s="42" t="s">
        <v>0</v>
      </c>
      <c r="R129" s="7"/>
      <c r="S129" s="7"/>
      <c r="T129" s="7">
        <v>6</v>
      </c>
      <c r="U129" s="7"/>
      <c r="V129" s="7">
        <v>8</v>
      </c>
      <c r="W129" s="7">
        <v>7</v>
      </c>
      <c r="X129" s="7">
        <v>12</v>
      </c>
      <c r="Y129" s="7" t="s">
        <v>54</v>
      </c>
      <c r="Z129" s="7">
        <v>42</v>
      </c>
      <c r="AA129" s="7">
        <v>6</v>
      </c>
      <c r="AB129" s="7"/>
      <c r="AC129" s="7">
        <v>7</v>
      </c>
      <c r="AD129" s="7">
        <v>8</v>
      </c>
      <c r="AE129" s="7">
        <v>8</v>
      </c>
      <c r="AF129" s="7">
        <v>6</v>
      </c>
      <c r="AG129" s="7">
        <v>1</v>
      </c>
      <c r="AH129" s="7"/>
      <c r="AI129" s="7"/>
      <c r="AJ129" s="7"/>
      <c r="AK129" s="7">
        <v>8</v>
      </c>
      <c r="AL129" s="7"/>
      <c r="AM129" s="7"/>
      <c r="AN129" s="7"/>
      <c r="AO129" s="7"/>
      <c r="AP129" s="7"/>
      <c r="AQ129" s="7"/>
      <c r="AR129" s="7"/>
      <c r="AS129" s="7"/>
      <c r="AT129" s="7">
        <v>8</v>
      </c>
      <c r="AU129" s="7">
        <v>7</v>
      </c>
      <c r="AV129" s="7"/>
      <c r="AW129" s="7"/>
      <c r="AX129" s="7">
        <v>8</v>
      </c>
      <c r="AY129" s="7"/>
      <c r="AZ129" s="7">
        <v>7</v>
      </c>
      <c r="BA129" s="7">
        <v>8</v>
      </c>
      <c r="BB129" s="7">
        <v>8</v>
      </c>
      <c r="BC129" s="7"/>
      <c r="BD129" s="7"/>
      <c r="BE129" s="7">
        <v>8</v>
      </c>
      <c r="BF129" s="7">
        <v>8</v>
      </c>
      <c r="BG129" s="7">
        <v>10</v>
      </c>
      <c r="BH129" s="7">
        <v>8</v>
      </c>
      <c r="BI129" s="7">
        <v>7</v>
      </c>
      <c r="BJ129" s="7"/>
      <c r="BK129" s="7"/>
      <c r="BL129" s="7">
        <v>7</v>
      </c>
      <c r="BM129" s="7"/>
      <c r="BN129" s="7">
        <v>7</v>
      </c>
      <c r="BO129" s="7">
        <v>7</v>
      </c>
      <c r="BP129" s="7"/>
      <c r="BQ129" s="7"/>
      <c r="BR129" s="7"/>
      <c r="BS129" s="7">
        <v>7</v>
      </c>
      <c r="BT129" s="7">
        <v>7</v>
      </c>
      <c r="BU129" s="7">
        <v>7</v>
      </c>
      <c r="BV129" s="7"/>
      <c r="BW129" s="7"/>
      <c r="BY129" s="91"/>
      <c r="BZ129" s="98"/>
    </row>
    <row r="130" spans="1:78" ht="20.100000000000001" customHeight="1" thickBot="1" x14ac:dyDescent="0.35">
      <c r="A130" s="13">
        <v>124</v>
      </c>
      <c r="B130" s="91" t="s">
        <v>346</v>
      </c>
      <c r="C130" s="93" t="s">
        <v>161</v>
      </c>
      <c r="D130" s="94"/>
      <c r="E130" s="94"/>
      <c r="F130" s="96">
        <v>93525233993</v>
      </c>
      <c r="G130" s="97"/>
      <c r="H130" s="97"/>
      <c r="I130" s="97"/>
      <c r="J130" s="91" t="s">
        <v>93</v>
      </c>
      <c r="K130" s="5">
        <v>100</v>
      </c>
      <c r="L130" s="98">
        <v>1</v>
      </c>
      <c r="M130" s="98">
        <v>126</v>
      </c>
      <c r="N130" s="98"/>
      <c r="O130" s="98"/>
      <c r="P130" s="98"/>
      <c r="Q130" s="42" t="s">
        <v>0</v>
      </c>
      <c r="R130" s="7"/>
      <c r="S130" s="7"/>
      <c r="T130" s="7">
        <v>95</v>
      </c>
      <c r="U130" s="7"/>
      <c r="V130" s="7">
        <v>12</v>
      </c>
      <c r="W130" s="7">
        <v>9</v>
      </c>
      <c r="X130" s="7">
        <v>7</v>
      </c>
      <c r="Y130" s="7">
        <v>9</v>
      </c>
      <c r="Z130" s="7">
        <v>9</v>
      </c>
      <c r="AA130" s="7">
        <v>6</v>
      </c>
      <c r="AB130" s="7"/>
      <c r="AC130" s="7">
        <v>5</v>
      </c>
      <c r="AD130" s="7">
        <v>8</v>
      </c>
      <c r="AE130" s="7">
        <v>8</v>
      </c>
      <c r="AF130" s="7">
        <v>7</v>
      </c>
      <c r="AG130" s="7">
        <v>7</v>
      </c>
      <c r="AH130" s="7"/>
      <c r="AI130" s="7"/>
      <c r="AJ130" s="7"/>
      <c r="AK130" s="7">
        <v>18</v>
      </c>
      <c r="AL130" s="7"/>
      <c r="AM130" s="7"/>
      <c r="AN130" s="7"/>
      <c r="AO130" s="7"/>
      <c r="AP130" s="7"/>
      <c r="AQ130" s="7"/>
      <c r="AR130" s="7"/>
      <c r="AS130" s="7"/>
      <c r="AT130" s="7">
        <v>12</v>
      </c>
      <c r="AU130" s="7">
        <v>14</v>
      </c>
      <c r="AV130" s="7"/>
      <c r="AW130" s="7"/>
      <c r="AX130" s="7">
        <v>13</v>
      </c>
      <c r="AY130" s="7"/>
      <c r="AZ130" s="7">
        <v>13</v>
      </c>
      <c r="BA130" s="7">
        <v>17</v>
      </c>
      <c r="BB130" s="7">
        <v>14</v>
      </c>
      <c r="BC130" s="7"/>
      <c r="BD130" s="7"/>
      <c r="BE130" s="7">
        <v>11</v>
      </c>
      <c r="BF130" s="7">
        <v>10</v>
      </c>
      <c r="BG130" s="7">
        <v>11</v>
      </c>
      <c r="BH130" s="7">
        <v>17</v>
      </c>
      <c r="BI130" s="7">
        <v>8</v>
      </c>
      <c r="BJ130" s="7"/>
      <c r="BK130" s="7"/>
      <c r="BL130" s="7">
        <v>8</v>
      </c>
      <c r="BM130" s="7"/>
      <c r="BN130" s="7">
        <v>8</v>
      </c>
      <c r="BO130" s="7">
        <v>8</v>
      </c>
      <c r="BP130" s="7"/>
      <c r="BQ130" s="7"/>
      <c r="BR130" s="7"/>
      <c r="BS130" s="7">
        <v>7</v>
      </c>
      <c r="BT130" s="7">
        <v>7</v>
      </c>
      <c r="BU130" s="7">
        <v>7</v>
      </c>
      <c r="BV130" s="7"/>
      <c r="BW130" s="7"/>
      <c r="BY130" s="91"/>
      <c r="BZ130" s="98"/>
    </row>
    <row r="131" spans="1:78" s="8" customFormat="1" ht="20.100000000000001" customHeight="1" x14ac:dyDescent="0.3">
      <c r="A131" s="13">
        <v>125</v>
      </c>
      <c r="B131" s="9" t="s">
        <v>347</v>
      </c>
      <c r="C131" s="70" t="s">
        <v>161</v>
      </c>
      <c r="D131" s="46">
        <f>VLOOKUP(F133,[1]SKU리스트!$H:$L,5,FALSE)</f>
        <v>14900</v>
      </c>
      <c r="E131" s="47">
        <f>VLOOKUP(F133,[1]SKU리스트!$H:$AK,30,FALSE)</f>
        <v>9693.636363636364</v>
      </c>
      <c r="F131" s="10" t="s">
        <v>207</v>
      </c>
      <c r="G131" s="11"/>
      <c r="H131" s="11"/>
      <c r="I131" s="11"/>
      <c r="J131" s="9"/>
      <c r="K131" s="12"/>
      <c r="M131" s="8">
        <v>129</v>
      </c>
      <c r="Q131" s="44" t="s">
        <v>125</v>
      </c>
      <c r="R131" s="54">
        <v>45</v>
      </c>
      <c r="S131" s="54">
        <v>40</v>
      </c>
      <c r="T131" s="54">
        <v>37</v>
      </c>
      <c r="U131" s="54">
        <v>30</v>
      </c>
      <c r="V131" s="54">
        <v>33</v>
      </c>
      <c r="W131" s="54">
        <v>23</v>
      </c>
      <c r="X131" s="54">
        <v>60</v>
      </c>
      <c r="Y131" s="54">
        <v>45</v>
      </c>
      <c r="Z131" s="54">
        <v>28</v>
      </c>
      <c r="AA131" s="54">
        <v>36</v>
      </c>
      <c r="AB131" s="54">
        <v>41</v>
      </c>
      <c r="AC131" s="54">
        <v>28</v>
      </c>
      <c r="AD131" s="54">
        <v>32</v>
      </c>
      <c r="AE131" s="54">
        <v>35</v>
      </c>
      <c r="AF131" s="54">
        <v>29</v>
      </c>
      <c r="AG131" s="54">
        <v>16</v>
      </c>
      <c r="AH131" s="54">
        <v>29</v>
      </c>
      <c r="AI131" s="54">
        <v>32</v>
      </c>
      <c r="AJ131" s="54">
        <v>19</v>
      </c>
      <c r="AK131" s="54">
        <v>31</v>
      </c>
      <c r="AL131" s="54">
        <v>31</v>
      </c>
      <c r="AM131" s="54">
        <v>24</v>
      </c>
      <c r="AN131" s="54">
        <v>23</v>
      </c>
      <c r="AO131" s="54">
        <v>18</v>
      </c>
      <c r="AP131" s="54">
        <v>32</v>
      </c>
      <c r="AQ131" s="54">
        <v>23</v>
      </c>
      <c r="AR131" s="54">
        <v>33</v>
      </c>
      <c r="AS131" s="54">
        <v>25</v>
      </c>
      <c r="AT131" s="54">
        <v>19</v>
      </c>
      <c r="AU131" s="54">
        <v>23</v>
      </c>
      <c r="AV131" s="54">
        <v>23</v>
      </c>
      <c r="AW131" s="54">
        <v>24</v>
      </c>
      <c r="AX131" s="54">
        <v>25</v>
      </c>
      <c r="AY131" s="54">
        <v>22</v>
      </c>
      <c r="AZ131" s="54">
        <v>21</v>
      </c>
      <c r="BA131" s="54">
        <v>18</v>
      </c>
      <c r="BB131" s="54">
        <v>13</v>
      </c>
      <c r="BC131" s="54">
        <v>15</v>
      </c>
      <c r="BD131" s="54">
        <v>16</v>
      </c>
      <c r="BE131" s="54">
        <v>18</v>
      </c>
      <c r="BF131" s="54">
        <v>7</v>
      </c>
      <c r="BG131" s="54">
        <v>6</v>
      </c>
      <c r="BH131" s="54">
        <v>16</v>
      </c>
      <c r="BI131" s="54">
        <v>4</v>
      </c>
      <c r="BJ131" s="54">
        <v>12</v>
      </c>
      <c r="BK131" s="54">
        <v>14</v>
      </c>
      <c r="BL131" s="54">
        <v>9</v>
      </c>
      <c r="BM131" s="54">
        <v>11</v>
      </c>
      <c r="BN131" s="54">
        <v>17</v>
      </c>
      <c r="BO131" s="54">
        <v>18</v>
      </c>
      <c r="BP131" s="54">
        <v>12</v>
      </c>
      <c r="BQ131" s="54">
        <v>18</v>
      </c>
      <c r="BR131" s="54">
        <v>17</v>
      </c>
      <c r="BS131" s="54">
        <v>13</v>
      </c>
      <c r="BT131" s="54">
        <v>19</v>
      </c>
      <c r="BU131" s="54"/>
      <c r="BV131" s="54"/>
      <c r="BW131" s="54"/>
      <c r="BX131" s="85">
        <f>VLOOKUP(F131,[1]SKU리스트!$H:$AH,27,FALSE)</f>
        <v>618278</v>
      </c>
      <c r="BY131" s="9"/>
    </row>
    <row r="132" spans="1:78" ht="20.100000000000001" customHeight="1" x14ac:dyDescent="0.3">
      <c r="A132" s="13">
        <v>126</v>
      </c>
      <c r="B132" s="91" t="s">
        <v>347</v>
      </c>
      <c r="C132" s="93" t="s">
        <v>161</v>
      </c>
      <c r="D132" s="98"/>
      <c r="E132" s="98"/>
      <c r="F132" s="96" t="s">
        <v>294</v>
      </c>
      <c r="G132" s="97"/>
      <c r="H132" s="97"/>
      <c r="I132" s="97"/>
      <c r="J132" s="91"/>
      <c r="L132" s="98"/>
      <c r="M132" s="98">
        <v>130</v>
      </c>
      <c r="N132" s="98"/>
      <c r="O132" s="98"/>
      <c r="P132" s="98"/>
      <c r="Q132" s="39" t="s">
        <v>282</v>
      </c>
      <c r="R132" s="5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50"/>
      <c r="AL132" s="50"/>
      <c r="AM132" s="50"/>
      <c r="AN132" s="50"/>
      <c r="AO132" s="53">
        <f>SUM(AI131:AO131)</f>
        <v>178</v>
      </c>
      <c r="AP132" s="51">
        <v>193</v>
      </c>
      <c r="AQ132" s="50"/>
      <c r="AR132" s="50"/>
      <c r="AS132" s="50"/>
      <c r="AT132" s="50"/>
      <c r="AU132" s="50"/>
      <c r="AV132" s="53">
        <f>SUM(AP131:AV131)</f>
        <v>178</v>
      </c>
      <c r="AW132" s="50">
        <v>174</v>
      </c>
      <c r="AX132" s="50"/>
      <c r="AY132" s="50"/>
      <c r="AZ132" s="50"/>
      <c r="BA132" s="50"/>
      <c r="BB132" s="50"/>
      <c r="BC132" s="53">
        <f>SUM(AW131:BC131)</f>
        <v>138</v>
      </c>
      <c r="BD132" s="50">
        <v>148</v>
      </c>
      <c r="BE132" s="50"/>
      <c r="BF132" s="50"/>
      <c r="BG132" s="50"/>
      <c r="BH132" s="50"/>
      <c r="BI132" s="50"/>
      <c r="BJ132" s="53">
        <f>SUM(BD131:BJ131)</f>
        <v>79</v>
      </c>
      <c r="BK132" s="50">
        <v>74</v>
      </c>
      <c r="BL132" s="50"/>
      <c r="BM132" s="50"/>
      <c r="BN132" s="50"/>
      <c r="BO132" s="50"/>
      <c r="BP132" s="50"/>
      <c r="BQ132" s="53">
        <f>SUM(BK131:BQ131)</f>
        <v>99</v>
      </c>
      <c r="BR132" s="50">
        <v>93</v>
      </c>
      <c r="BS132" s="50"/>
      <c r="BT132" s="50"/>
      <c r="BU132" s="50"/>
      <c r="BV132" s="50"/>
      <c r="BW132" s="50"/>
      <c r="BY132" s="91"/>
      <c r="BZ132" s="98"/>
    </row>
    <row r="133" spans="1:78" ht="20.100000000000001" customHeight="1" x14ac:dyDescent="0.3">
      <c r="A133" s="13">
        <v>127</v>
      </c>
      <c r="B133" s="91" t="s">
        <v>347</v>
      </c>
      <c r="C133" s="93" t="s">
        <v>161</v>
      </c>
      <c r="D133" s="91"/>
      <c r="E133" s="91"/>
      <c r="F133" s="96">
        <v>91227676564</v>
      </c>
      <c r="G133" s="97"/>
      <c r="H133" s="97"/>
      <c r="I133" s="97"/>
      <c r="J133" s="91"/>
      <c r="L133" s="98"/>
      <c r="M133" s="98">
        <v>131</v>
      </c>
      <c r="N133" s="98"/>
      <c r="O133" s="98"/>
      <c r="P133" s="98"/>
      <c r="Q133" s="41" t="s">
        <v>1</v>
      </c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 t="str">
        <f>IFERROR(VLOOKUP($F133,[2]원본!$D:$BX,AI$1,FALSE),"")</f>
        <v/>
      </c>
      <c r="AJ133" s="40" t="str">
        <f>IFERROR(VLOOKUP($F133,[2]원본!$D:$BX,AJ$1,FALSE),"")</f>
        <v/>
      </c>
      <c r="AK133" s="40" t="str">
        <f>IFERROR(VLOOKUP($F133,[2]원본!$D:$BX,AK$1,FALSE),"")</f>
        <v/>
      </c>
      <c r="AL133" s="40" t="str">
        <f>IFERROR(VLOOKUP($F133,[2]원본!$D:$BX,AL$1,FALSE),"")</f>
        <v/>
      </c>
      <c r="AM133" s="40" t="str">
        <f>IFERROR(VLOOKUP($F133,[2]원본!$D:$BX,AM$1,FALSE),"")</f>
        <v/>
      </c>
      <c r="AN133" s="40" t="str">
        <f>IFERROR(VLOOKUP($F133,[2]원본!$D:$BX,AN$1,FALSE),"")</f>
        <v/>
      </c>
      <c r="AO133" s="40" t="str">
        <f>IFERROR(VLOOKUP($F133,[2]원본!$D:$BX,AO$1,FALSE),"")</f>
        <v/>
      </c>
      <c r="AP133" s="40" t="str">
        <f>IFERROR(VLOOKUP($F133,[2]원본!$D:$BX,AP$1,FALSE),"")</f>
        <v/>
      </c>
      <c r="AQ133" s="40" t="str">
        <f>IFERROR(VLOOKUP($F133,[2]원본!$D:$BX,AQ$1,FALSE),"")</f>
        <v/>
      </c>
      <c r="AR133" s="40" t="str">
        <f>IFERROR(VLOOKUP($F133,[2]원본!$D:$BX,AR$1,FALSE),"")</f>
        <v/>
      </c>
      <c r="AS133" s="40" t="str">
        <f>IFERROR(VLOOKUP($F133,[2]원본!$D:$BX,AS$1,FALSE),"")</f>
        <v/>
      </c>
      <c r="AT133" s="40" t="str">
        <f>IFERROR(VLOOKUP($F133,[2]원본!$D:$BX,AT$1,FALSE),"")</f>
        <v/>
      </c>
      <c r="AU133" s="40" t="str">
        <f>IFERROR(VLOOKUP($F133,[2]원본!$D:$BX,AU$1,FALSE),"")</f>
        <v/>
      </c>
      <c r="AV133" s="40" t="str">
        <f>IFERROR(VLOOKUP($F133,[2]원본!$D:$BX,AV$1,FALSE),"")</f>
        <v/>
      </c>
      <c r="AW133" s="40" t="str">
        <f>IFERROR(VLOOKUP($F133,[2]원본!$D:$BX,AW$1,FALSE),"")</f>
        <v/>
      </c>
      <c r="AX133" s="40" t="str">
        <f>IFERROR(VLOOKUP($F133,[2]원본!$D:$BX,AX$1,FALSE),"")</f>
        <v/>
      </c>
      <c r="AY133" s="40" t="str">
        <f>IFERROR(VLOOKUP($F133,[2]원본!$D:$BX,AY$1,FALSE),"")</f>
        <v/>
      </c>
      <c r="AZ133" s="40" t="str">
        <f>IFERROR(VLOOKUP($F133,[2]원본!$D:$BX,AZ$1,FALSE),"")</f>
        <v/>
      </c>
      <c r="BA133" s="40" t="str">
        <f>IFERROR(VLOOKUP($F133,[2]원본!$D:$BX,BA$1,FALSE),"")</f>
        <v/>
      </c>
      <c r="BB133" s="40" t="str">
        <f>IFERROR(VLOOKUP($F133,[2]원본!$D:$BX,BB$1,FALSE),"")</f>
        <v/>
      </c>
      <c r="BC133" s="40" t="str">
        <f>IFERROR(VLOOKUP($F133,[2]원본!$D:$BX,BC$1,FALSE),"")</f>
        <v/>
      </c>
      <c r="BD133" s="40" t="str">
        <f>IFERROR(VLOOKUP($F133,[2]원본!$D:$BX,BD$1,FALSE),"")</f>
        <v/>
      </c>
      <c r="BE133" s="40" t="str">
        <f>IFERROR(VLOOKUP($F133,[2]원본!$D:$BX,BE$1,FALSE),"")</f>
        <v/>
      </c>
      <c r="BF133" s="40" t="str">
        <f>IFERROR(VLOOKUP($F133,[2]원본!$D:$BX,BF$1,FALSE),"")</f>
        <v/>
      </c>
      <c r="BG133" s="40" t="str">
        <f>IFERROR(VLOOKUP($F133,[2]원본!$D:$BX,BG$1,FALSE),"")</f>
        <v/>
      </c>
      <c r="BH133" s="40" t="str">
        <f>IFERROR(VLOOKUP($F133,[2]원본!$D:$BX,BH$1,FALSE),"")</f>
        <v/>
      </c>
      <c r="BI133" s="40" t="str">
        <f>IFERROR(VLOOKUP($F133,[2]원본!$D:$BX,BI$1,FALSE),"")</f>
        <v/>
      </c>
      <c r="BJ133" s="40" t="str">
        <f>IFERROR(VLOOKUP($F133,[2]원본!$D:$BX,BJ$1,FALSE),"")</f>
        <v/>
      </c>
      <c r="BK133" s="40" t="str">
        <f>IFERROR(VLOOKUP($F133,[2]원본!$D:$BX,BK$1,FALSE),"")</f>
        <v/>
      </c>
      <c r="BL133" s="40" t="str">
        <f>IFERROR(VLOOKUP($F133,[2]원본!$D:$BX,BL$1,FALSE),"")</f>
        <v/>
      </c>
      <c r="BM133" s="40" t="str">
        <f>IFERROR(VLOOKUP($F133,[2]원본!$D:$BX,BM$1,FALSE),"")</f>
        <v/>
      </c>
      <c r="BN133" s="40" t="str">
        <f>IFERROR(VLOOKUP($F133,[2]원본!$D:$BX,BN$1,FALSE),"")</f>
        <v/>
      </c>
      <c r="BO133" s="40" t="str">
        <f>IFERROR(VLOOKUP($F133,[2]원본!$D:$BX,BO$1,FALSE),"")</f>
        <v/>
      </c>
      <c r="BP133" s="40" t="str">
        <f>IFERROR(VLOOKUP($F133,[2]원본!$D:$BX,BP$1,FALSE),"")</f>
        <v/>
      </c>
      <c r="BQ133" s="40" t="str">
        <f>IFERROR(VLOOKUP($F133,[2]원본!$D:$BX,BQ$1,FALSE),"")</f>
        <v/>
      </c>
      <c r="BR133" s="40" t="str">
        <f>IFERROR(VLOOKUP($F133,[2]원본!$D:$BX,BR$1,FALSE),"")</f>
        <v/>
      </c>
      <c r="BS133" s="40" t="str">
        <f>IFERROR(VLOOKUP($F133,[2]원본!$D:$BX,BS$1,FALSE),"")</f>
        <v/>
      </c>
      <c r="BT133" s="40" t="str">
        <f>IFERROR(VLOOKUP($F133,[2]원본!$D:$BX,BT$1,FALSE),"")</f>
        <v/>
      </c>
      <c r="BU133" s="40" t="str">
        <f>IFERROR(VLOOKUP($F133,[2]원본!$D:$BX,BU$1,FALSE),"")</f>
        <v/>
      </c>
      <c r="BV133" s="40" t="str">
        <f>IFERROR(VLOOKUP($F133,#REF!,BV$1,FALSE),"")</f>
        <v/>
      </c>
      <c r="BW133" s="40"/>
      <c r="BX133" s="26">
        <f>(SUM(R133:BW133)*D131)-(SUM(R133:BW133)*E131)</f>
        <v>0</v>
      </c>
      <c r="BY133" s="91"/>
      <c r="BZ133" s="100" t="str">
        <f>IFERROR(VLOOKUP($F133,#REF!,BZ$1,FALSE),"")</f>
        <v/>
      </c>
    </row>
    <row r="134" spans="1:78" ht="20.100000000000001" customHeight="1" x14ac:dyDescent="0.3">
      <c r="A134" s="13">
        <v>128</v>
      </c>
      <c r="B134" s="4" t="s">
        <v>347</v>
      </c>
      <c r="C134" s="69" t="s">
        <v>161</v>
      </c>
      <c r="D134" s="20"/>
      <c r="E134" s="20"/>
      <c r="F134" s="2">
        <v>91227676564</v>
      </c>
      <c r="H134" s="3"/>
      <c r="J134" s="4" t="s">
        <v>23</v>
      </c>
      <c r="K134" s="62">
        <v>261800</v>
      </c>
      <c r="M134" s="1">
        <v>132</v>
      </c>
      <c r="Q134" s="7" t="s">
        <v>185</v>
      </c>
      <c r="R134" s="7"/>
      <c r="S134" s="7"/>
      <c r="T134" s="7"/>
      <c r="U134" s="7"/>
      <c r="V134" s="7"/>
      <c r="W134" s="7"/>
      <c r="X134" s="7"/>
      <c r="Y134" s="7" t="s">
        <v>54</v>
      </c>
      <c r="Z134" s="7" t="s">
        <v>36</v>
      </c>
      <c r="AA134" s="7" t="s">
        <v>36</v>
      </c>
      <c r="AB134" s="7"/>
      <c r="AC134" s="7" t="s">
        <v>36</v>
      </c>
      <c r="AD134" s="7"/>
      <c r="AE134" s="7"/>
      <c r="AF134" s="7"/>
      <c r="AG134" s="7" t="s">
        <v>32</v>
      </c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2"/>
      <c r="BO134" s="22"/>
      <c r="BP134" s="22"/>
      <c r="BQ134" s="22"/>
      <c r="BR134" s="22"/>
      <c r="BS134" s="22"/>
      <c r="BT134" s="22"/>
      <c r="BU134" s="22"/>
      <c r="BV134" s="22"/>
      <c r="BW134" s="22"/>
    </row>
    <row r="135" spans="1:78" ht="20.100000000000001" customHeight="1" x14ac:dyDescent="0.3">
      <c r="A135" s="13">
        <v>129</v>
      </c>
      <c r="B135" s="4" t="s">
        <v>347</v>
      </c>
      <c r="C135" s="69" t="s">
        <v>161</v>
      </c>
      <c r="F135" s="2">
        <v>91227676564</v>
      </c>
      <c r="H135" s="3"/>
      <c r="J135" s="4" t="s">
        <v>71</v>
      </c>
      <c r="K135" s="62">
        <v>189400</v>
      </c>
      <c r="M135" s="1">
        <v>133</v>
      </c>
      <c r="Q135" s="7" t="s">
        <v>185</v>
      </c>
      <c r="R135" s="7"/>
      <c r="S135" s="7"/>
      <c r="T135" s="7"/>
      <c r="U135" s="7"/>
      <c r="V135" s="7"/>
      <c r="W135" s="7"/>
      <c r="X135" s="7"/>
      <c r="Y135" s="7" t="s">
        <v>54</v>
      </c>
      <c r="Z135" s="7" t="s">
        <v>36</v>
      </c>
      <c r="AA135" s="7" t="s">
        <v>36</v>
      </c>
      <c r="AB135" s="7"/>
      <c r="AC135" s="7" t="s">
        <v>36</v>
      </c>
      <c r="AD135" s="7"/>
      <c r="AE135" s="7"/>
      <c r="AF135" s="7"/>
      <c r="AG135" s="7" t="s">
        <v>32</v>
      </c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2"/>
      <c r="BO135" s="22"/>
      <c r="BP135" s="22"/>
      <c r="BQ135" s="22"/>
      <c r="BR135" s="22"/>
      <c r="BS135" s="22"/>
      <c r="BT135" s="22"/>
      <c r="BU135" s="22"/>
      <c r="BV135" s="22"/>
      <c r="BW135" s="22"/>
    </row>
    <row r="136" spans="1:78" ht="20.100000000000001" customHeight="1" x14ac:dyDescent="0.3">
      <c r="A136" s="13">
        <v>130</v>
      </c>
      <c r="B136" s="4" t="s">
        <v>347</v>
      </c>
      <c r="C136" s="69" t="s">
        <v>161</v>
      </c>
      <c r="D136" s="82" t="s">
        <v>22</v>
      </c>
      <c r="F136" s="2">
        <v>91227676564</v>
      </c>
      <c r="G136" s="3" t="s">
        <v>144</v>
      </c>
      <c r="H136" s="3"/>
      <c r="J136" s="4" t="s">
        <v>24</v>
      </c>
      <c r="K136" s="62">
        <v>20400</v>
      </c>
      <c r="L136" s="1">
        <v>1</v>
      </c>
      <c r="M136" s="1">
        <v>134</v>
      </c>
      <c r="Q136" s="42" t="s">
        <v>0</v>
      </c>
      <c r="R136" s="7"/>
      <c r="S136" s="7"/>
      <c r="T136" s="7"/>
      <c r="U136" s="7"/>
      <c r="V136" s="7"/>
      <c r="W136" s="7"/>
      <c r="X136" s="7"/>
      <c r="Y136" s="7" t="s">
        <v>54</v>
      </c>
      <c r="Z136" s="7">
        <v>36</v>
      </c>
      <c r="AA136" s="7">
        <v>14</v>
      </c>
      <c r="AB136" s="7"/>
      <c r="AC136" s="7">
        <v>8</v>
      </c>
      <c r="AD136" s="7">
        <v>9</v>
      </c>
      <c r="AE136" s="7">
        <v>9</v>
      </c>
      <c r="AF136" s="7">
        <v>8</v>
      </c>
      <c r="AG136" s="7">
        <v>7</v>
      </c>
      <c r="AH136" s="7"/>
      <c r="AI136" s="7"/>
      <c r="AJ136" s="7"/>
      <c r="AK136" s="7">
        <v>7</v>
      </c>
      <c r="AL136" s="7"/>
      <c r="AM136" s="7"/>
      <c r="AN136" s="7"/>
      <c r="AO136" s="7"/>
      <c r="AP136" s="7"/>
      <c r="AQ136" s="7"/>
      <c r="AR136" s="7"/>
      <c r="AS136" s="7"/>
      <c r="AT136" s="7">
        <v>3</v>
      </c>
      <c r="AU136" s="7">
        <v>13</v>
      </c>
      <c r="AV136" s="7"/>
      <c r="AW136" s="7"/>
      <c r="AX136" s="7">
        <v>9</v>
      </c>
      <c r="AY136" s="7"/>
      <c r="AZ136" s="7">
        <v>7</v>
      </c>
      <c r="BA136" s="7">
        <v>7</v>
      </c>
      <c r="BB136" s="7">
        <v>7</v>
      </c>
      <c r="BC136" s="7"/>
      <c r="BD136" s="7"/>
      <c r="BE136" s="7">
        <v>9</v>
      </c>
      <c r="BF136" s="7">
        <v>9</v>
      </c>
      <c r="BG136" s="7">
        <v>9</v>
      </c>
      <c r="BH136" s="7">
        <v>7</v>
      </c>
      <c r="BI136" s="7">
        <v>9</v>
      </c>
      <c r="BJ136" s="7"/>
      <c r="BK136" s="7"/>
      <c r="BL136" s="7">
        <v>4</v>
      </c>
      <c r="BM136" s="7"/>
      <c r="BN136" s="7">
        <v>4</v>
      </c>
      <c r="BO136" s="7">
        <v>4</v>
      </c>
      <c r="BP136" s="7"/>
      <c r="BQ136" s="7"/>
      <c r="BR136" s="7"/>
      <c r="BS136" s="7">
        <v>4</v>
      </c>
      <c r="BT136" s="7">
        <v>4</v>
      </c>
      <c r="BU136" s="7">
        <v>4</v>
      </c>
      <c r="BV136" s="7"/>
      <c r="BW136" s="7"/>
    </row>
    <row r="137" spans="1:78" ht="20.100000000000001" customHeight="1" x14ac:dyDescent="0.3">
      <c r="A137" s="13">
        <v>131</v>
      </c>
      <c r="B137" s="4" t="s">
        <v>347</v>
      </c>
      <c r="C137" s="69" t="s">
        <v>161</v>
      </c>
      <c r="F137" s="2">
        <v>91227676564</v>
      </c>
      <c r="H137" s="3"/>
      <c r="J137" s="4" t="s">
        <v>95</v>
      </c>
      <c r="K137" s="62">
        <v>12400</v>
      </c>
      <c r="L137" s="1">
        <v>1</v>
      </c>
      <c r="M137" s="1">
        <v>135</v>
      </c>
      <c r="Q137" s="42" t="s">
        <v>0</v>
      </c>
      <c r="R137" s="7"/>
      <c r="S137" s="7"/>
      <c r="T137" s="7"/>
      <c r="U137" s="7"/>
      <c r="V137" s="7"/>
      <c r="W137" s="7"/>
      <c r="X137" s="7"/>
      <c r="Y137" s="7"/>
      <c r="Z137" s="7"/>
      <c r="AA137" s="7">
        <v>8</v>
      </c>
      <c r="AB137" s="7"/>
      <c r="AC137" s="7">
        <v>5</v>
      </c>
      <c r="AD137" s="7">
        <v>6</v>
      </c>
      <c r="AE137" s="7">
        <v>4</v>
      </c>
      <c r="AF137" s="7">
        <v>5</v>
      </c>
      <c r="AG137" s="7">
        <v>4</v>
      </c>
      <c r="AH137" s="7"/>
      <c r="AI137" s="7"/>
      <c r="AJ137" s="7"/>
      <c r="AK137" s="7">
        <v>4</v>
      </c>
      <c r="AL137" s="7"/>
      <c r="AM137" s="7"/>
      <c r="AN137" s="7"/>
      <c r="AO137" s="7"/>
      <c r="AP137" s="7"/>
      <c r="AQ137" s="7"/>
      <c r="AR137" s="7"/>
      <c r="AS137" s="7"/>
      <c r="AT137" s="7">
        <v>6</v>
      </c>
      <c r="AU137" s="7">
        <v>6</v>
      </c>
      <c r="AV137" s="7"/>
      <c r="AW137" s="7"/>
      <c r="AX137" s="7">
        <v>5</v>
      </c>
      <c r="AY137" s="7"/>
      <c r="AZ137" s="7">
        <v>6</v>
      </c>
      <c r="BA137" s="7">
        <v>4</v>
      </c>
      <c r="BB137" s="7">
        <v>6</v>
      </c>
      <c r="BC137" s="7"/>
      <c r="BD137" s="7"/>
      <c r="BE137" s="7">
        <v>5</v>
      </c>
      <c r="BF137" s="7">
        <v>5</v>
      </c>
      <c r="BG137" s="7">
        <v>5</v>
      </c>
      <c r="BH137" s="7">
        <v>4</v>
      </c>
      <c r="BI137" s="7">
        <v>5</v>
      </c>
      <c r="BJ137" s="7"/>
      <c r="BK137" s="7"/>
      <c r="BL137" s="7">
        <v>4</v>
      </c>
      <c r="BM137" s="7"/>
      <c r="BN137" s="7">
        <v>4</v>
      </c>
      <c r="BO137" s="7">
        <v>4</v>
      </c>
      <c r="BP137" s="7"/>
      <c r="BQ137" s="7"/>
      <c r="BR137" s="7"/>
      <c r="BS137" s="7">
        <v>4</v>
      </c>
      <c r="BT137" s="7">
        <v>4</v>
      </c>
      <c r="BU137" s="7">
        <v>4</v>
      </c>
      <c r="BV137" s="7"/>
      <c r="BW137" s="7"/>
    </row>
    <row r="138" spans="1:78" ht="20.100000000000001" customHeight="1" thickBot="1" x14ac:dyDescent="0.35">
      <c r="A138" s="13">
        <v>132</v>
      </c>
      <c r="B138" s="4" t="s">
        <v>347</v>
      </c>
      <c r="C138" s="69" t="s">
        <v>161</v>
      </c>
      <c r="D138" s="20"/>
      <c r="E138" s="20"/>
      <c r="F138" s="2">
        <v>91227676564</v>
      </c>
      <c r="H138" s="3"/>
      <c r="J138" s="4" t="s">
        <v>94</v>
      </c>
      <c r="K138" s="5">
        <v>9400</v>
      </c>
      <c r="M138" s="1">
        <v>136</v>
      </c>
      <c r="Q138" s="7" t="s">
        <v>185</v>
      </c>
      <c r="R138" s="7"/>
      <c r="S138" s="7"/>
      <c r="T138" s="7"/>
      <c r="U138" s="7"/>
      <c r="V138" s="7"/>
      <c r="W138" s="7"/>
      <c r="X138" s="7"/>
      <c r="Y138" s="7" t="s">
        <v>54</v>
      </c>
      <c r="Z138" s="7" t="s">
        <v>36</v>
      </c>
      <c r="AA138" s="7" t="s">
        <v>36</v>
      </c>
      <c r="AB138" s="7"/>
      <c r="AC138" s="7" t="s">
        <v>36</v>
      </c>
      <c r="AD138" s="7"/>
      <c r="AE138" s="7"/>
      <c r="AF138" s="7"/>
      <c r="AG138" s="7" t="s">
        <v>32</v>
      </c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2"/>
      <c r="BO138" s="22"/>
      <c r="BP138" s="22"/>
      <c r="BQ138" s="22"/>
      <c r="BR138" s="22"/>
      <c r="BS138" s="22"/>
      <c r="BT138" s="22"/>
      <c r="BU138" s="22"/>
      <c r="BV138" s="22"/>
      <c r="BW138" s="22"/>
    </row>
    <row r="139" spans="1:78" s="8" customFormat="1" ht="20.100000000000001" customHeight="1" x14ac:dyDescent="0.3">
      <c r="A139" s="13">
        <v>133</v>
      </c>
      <c r="B139" s="9" t="s">
        <v>347</v>
      </c>
      <c r="C139" s="70" t="s">
        <v>161</v>
      </c>
      <c r="D139" s="46">
        <f>VLOOKUP(F141,[1]SKU리스트!$H:$L,5,FALSE)</f>
        <v>14900</v>
      </c>
      <c r="E139" s="47">
        <f>VLOOKUP(F141,[1]SKU리스트!$H:$AK,30,FALSE)</f>
        <v>9870</v>
      </c>
      <c r="F139" s="10" t="s">
        <v>208</v>
      </c>
      <c r="G139" s="11"/>
      <c r="H139" s="11"/>
      <c r="I139" s="11"/>
      <c r="J139" s="9"/>
      <c r="K139" s="12"/>
      <c r="M139" s="8">
        <v>137</v>
      </c>
      <c r="Q139" s="44" t="s">
        <v>125</v>
      </c>
      <c r="R139" s="54">
        <v>83</v>
      </c>
      <c r="S139" s="54">
        <v>67</v>
      </c>
      <c r="T139" s="54">
        <v>59</v>
      </c>
      <c r="U139" s="54">
        <v>54</v>
      </c>
      <c r="V139" s="54">
        <v>81</v>
      </c>
      <c r="W139" s="54">
        <v>67</v>
      </c>
      <c r="X139" s="54">
        <v>76</v>
      </c>
      <c r="Y139" s="54">
        <v>91</v>
      </c>
      <c r="Z139" s="54">
        <v>78</v>
      </c>
      <c r="AA139" s="54">
        <v>80</v>
      </c>
      <c r="AB139" s="54">
        <v>49</v>
      </c>
      <c r="AC139" s="54">
        <v>42</v>
      </c>
      <c r="AD139" s="54">
        <v>56</v>
      </c>
      <c r="AE139" s="54">
        <v>47</v>
      </c>
      <c r="AF139" s="54">
        <v>53</v>
      </c>
      <c r="AG139" s="54">
        <v>39</v>
      </c>
      <c r="AH139" s="54">
        <v>49</v>
      </c>
      <c r="AI139" s="54">
        <v>61</v>
      </c>
      <c r="AJ139" s="54">
        <v>103</v>
      </c>
      <c r="AK139" s="54">
        <v>77</v>
      </c>
      <c r="AL139" s="54">
        <v>77</v>
      </c>
      <c r="AM139" s="54">
        <v>75</v>
      </c>
      <c r="AN139" s="54">
        <v>75</v>
      </c>
      <c r="AO139" s="54">
        <v>61</v>
      </c>
      <c r="AP139" s="54">
        <v>69</v>
      </c>
      <c r="AQ139" s="54">
        <v>89</v>
      </c>
      <c r="AR139" s="54">
        <v>91</v>
      </c>
      <c r="AS139" s="54">
        <v>77</v>
      </c>
      <c r="AT139" s="54">
        <v>57</v>
      </c>
      <c r="AU139" s="54">
        <v>74</v>
      </c>
      <c r="AV139" s="54">
        <v>73</v>
      </c>
      <c r="AW139" s="54">
        <v>82</v>
      </c>
      <c r="AX139" s="54">
        <v>74</v>
      </c>
      <c r="AY139" s="54">
        <v>81</v>
      </c>
      <c r="AZ139" s="54">
        <v>69</v>
      </c>
      <c r="BA139" s="54">
        <v>60</v>
      </c>
      <c r="BB139" s="54">
        <v>36</v>
      </c>
      <c r="BC139" s="54">
        <v>48</v>
      </c>
      <c r="BD139" s="54">
        <v>39</v>
      </c>
      <c r="BE139" s="54">
        <v>43</v>
      </c>
      <c r="BF139" s="54">
        <v>43</v>
      </c>
      <c r="BG139" s="54">
        <v>49</v>
      </c>
      <c r="BH139" s="54">
        <v>57</v>
      </c>
      <c r="BI139" s="54">
        <v>46</v>
      </c>
      <c r="BJ139" s="54">
        <v>49</v>
      </c>
      <c r="BK139" s="54">
        <v>43</v>
      </c>
      <c r="BL139" s="54">
        <v>63</v>
      </c>
      <c r="BM139" s="54">
        <v>51</v>
      </c>
      <c r="BN139" s="54">
        <v>47</v>
      </c>
      <c r="BO139" s="54">
        <v>24</v>
      </c>
      <c r="BP139" s="54">
        <v>44</v>
      </c>
      <c r="BQ139" s="54">
        <v>40</v>
      </c>
      <c r="BR139" s="54">
        <v>50</v>
      </c>
      <c r="BS139" s="54">
        <v>50</v>
      </c>
      <c r="BT139" s="54">
        <v>52</v>
      </c>
      <c r="BU139" s="54"/>
      <c r="BV139" s="54"/>
      <c r="BW139" s="54"/>
      <c r="BX139" s="85">
        <f>VLOOKUP(F139,[1]SKU리스트!$H:$AH,27,FALSE)</f>
        <v>1875342</v>
      </c>
      <c r="BY139" s="9"/>
    </row>
    <row r="140" spans="1:78" ht="20.100000000000001" customHeight="1" x14ac:dyDescent="0.3">
      <c r="A140" s="13">
        <v>134</v>
      </c>
      <c r="B140" s="4" t="s">
        <v>347</v>
      </c>
      <c r="C140" s="69" t="s">
        <v>161</v>
      </c>
      <c r="D140" s="1"/>
      <c r="E140" s="1"/>
      <c r="F140" s="2" t="s">
        <v>295</v>
      </c>
      <c r="H140" s="3"/>
      <c r="M140" s="1">
        <v>138</v>
      </c>
      <c r="Q140" s="39" t="s">
        <v>282</v>
      </c>
      <c r="R140" s="5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50"/>
      <c r="AL140" s="50"/>
      <c r="AM140" s="50"/>
      <c r="AN140" s="50"/>
      <c r="AO140" s="53">
        <f>SUM(AI139:AO139)</f>
        <v>529</v>
      </c>
      <c r="AP140" s="51">
        <v>501</v>
      </c>
      <c r="AQ140" s="50"/>
      <c r="AR140" s="50"/>
      <c r="AS140" s="50"/>
      <c r="AT140" s="50"/>
      <c r="AU140" s="50"/>
      <c r="AV140" s="53">
        <f>SUM(AP139:AV139)</f>
        <v>530</v>
      </c>
      <c r="AW140" s="50">
        <v>496</v>
      </c>
      <c r="AX140" s="50"/>
      <c r="AY140" s="50"/>
      <c r="AZ140" s="50"/>
      <c r="BA140" s="50"/>
      <c r="BB140" s="50"/>
      <c r="BC140" s="53">
        <f>SUM(AW139:BC139)</f>
        <v>450</v>
      </c>
      <c r="BD140" s="50">
        <v>411</v>
      </c>
      <c r="BE140" s="50"/>
      <c r="BF140" s="50"/>
      <c r="BG140" s="50"/>
      <c r="BH140" s="50"/>
      <c r="BI140" s="50"/>
      <c r="BJ140" s="53">
        <f>SUM(BD139:BJ139)</f>
        <v>326</v>
      </c>
      <c r="BK140" s="50">
        <v>301</v>
      </c>
      <c r="BL140" s="50"/>
      <c r="BM140" s="50"/>
      <c r="BN140" s="50"/>
      <c r="BO140" s="50"/>
      <c r="BP140" s="50"/>
      <c r="BQ140" s="53">
        <f>SUM(BK139:BQ139)</f>
        <v>312</v>
      </c>
      <c r="BR140" s="50">
        <v>288</v>
      </c>
      <c r="BS140" s="50"/>
      <c r="BT140" s="50"/>
      <c r="BU140" s="50"/>
      <c r="BV140" s="50"/>
      <c r="BW140" s="50"/>
    </row>
    <row r="141" spans="1:78" ht="20.100000000000001" customHeight="1" x14ac:dyDescent="0.3">
      <c r="A141" s="13">
        <v>135</v>
      </c>
      <c r="B141" s="91" t="s">
        <v>347</v>
      </c>
      <c r="C141" s="93" t="s">
        <v>161</v>
      </c>
      <c r="D141" s="91"/>
      <c r="E141" s="91"/>
      <c r="F141" s="96">
        <v>91227676572</v>
      </c>
      <c r="G141" s="97"/>
      <c r="H141" s="97"/>
      <c r="I141" s="97"/>
      <c r="J141" s="91"/>
      <c r="L141" s="98"/>
      <c r="M141" s="98">
        <v>139</v>
      </c>
      <c r="N141" s="98"/>
      <c r="O141" s="98"/>
      <c r="P141" s="98"/>
      <c r="Q141" s="41" t="s">
        <v>1</v>
      </c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 t="str">
        <f>IFERROR(VLOOKUP($F141,[2]원본!$D:$BX,AI$1,FALSE),"")</f>
        <v/>
      </c>
      <c r="AJ141" s="40" t="str">
        <f>IFERROR(VLOOKUP($F141,[2]원본!$D:$BX,AJ$1,FALSE),"")</f>
        <v/>
      </c>
      <c r="AK141" s="40" t="str">
        <f>IFERROR(VLOOKUP($F141,[2]원본!$D:$BX,AK$1,FALSE),"")</f>
        <v/>
      </c>
      <c r="AL141" s="40" t="str">
        <f>IFERROR(VLOOKUP($F141,[2]원본!$D:$BX,AL$1,FALSE),"")</f>
        <v/>
      </c>
      <c r="AM141" s="40" t="str">
        <f>IFERROR(VLOOKUP($F141,[2]원본!$D:$BX,AM$1,FALSE),"")</f>
        <v/>
      </c>
      <c r="AN141" s="40" t="str">
        <f>IFERROR(VLOOKUP($F141,[2]원본!$D:$BX,AN$1,FALSE),"")</f>
        <v/>
      </c>
      <c r="AO141" s="40" t="str">
        <f>IFERROR(VLOOKUP($F141,[2]원본!$D:$BX,AO$1,FALSE),"")</f>
        <v/>
      </c>
      <c r="AP141" s="40" t="str">
        <f>IFERROR(VLOOKUP($F141,[2]원본!$D:$BX,AP$1,FALSE),"")</f>
        <v/>
      </c>
      <c r="AQ141" s="40" t="str">
        <f>IFERROR(VLOOKUP($F141,[2]원본!$D:$BX,AQ$1,FALSE),"")</f>
        <v/>
      </c>
      <c r="AR141" s="40" t="str">
        <f>IFERROR(VLOOKUP($F141,[2]원본!$D:$BX,AR$1,FALSE),"")</f>
        <v/>
      </c>
      <c r="AS141" s="40" t="str">
        <f>IFERROR(VLOOKUP($F141,[2]원본!$D:$BX,AS$1,FALSE),"")</f>
        <v/>
      </c>
      <c r="AT141" s="40" t="str">
        <f>IFERROR(VLOOKUP($F141,[2]원본!$D:$BX,AT$1,FALSE),"")</f>
        <v/>
      </c>
      <c r="AU141" s="40" t="str">
        <f>IFERROR(VLOOKUP($F141,[2]원본!$D:$BX,AU$1,FALSE),"")</f>
        <v/>
      </c>
      <c r="AV141" s="40" t="str">
        <f>IFERROR(VLOOKUP($F141,[2]원본!$D:$BX,AV$1,FALSE),"")</f>
        <v/>
      </c>
      <c r="AW141" s="40" t="str">
        <f>IFERROR(VLOOKUP($F141,[2]원본!$D:$BX,AW$1,FALSE),"")</f>
        <v/>
      </c>
      <c r="AX141" s="40" t="str">
        <f>IFERROR(VLOOKUP($F141,[2]원본!$D:$BX,AX$1,FALSE),"")</f>
        <v/>
      </c>
      <c r="AY141" s="40" t="str">
        <f>IFERROR(VLOOKUP($F141,[2]원본!$D:$BX,AY$1,FALSE),"")</f>
        <v/>
      </c>
      <c r="AZ141" s="40" t="str">
        <f>IFERROR(VLOOKUP($F141,[2]원본!$D:$BX,AZ$1,FALSE),"")</f>
        <v/>
      </c>
      <c r="BA141" s="40" t="str">
        <f>IFERROR(VLOOKUP($F141,[2]원본!$D:$BX,BA$1,FALSE),"")</f>
        <v/>
      </c>
      <c r="BB141" s="40" t="str">
        <f>IFERROR(VLOOKUP($F141,[2]원본!$D:$BX,BB$1,FALSE),"")</f>
        <v/>
      </c>
      <c r="BC141" s="40" t="str">
        <f>IFERROR(VLOOKUP($F141,[2]원본!$D:$BX,BC$1,FALSE),"")</f>
        <v/>
      </c>
      <c r="BD141" s="40" t="str">
        <f>IFERROR(VLOOKUP($F141,[2]원본!$D:$BX,BD$1,FALSE),"")</f>
        <v/>
      </c>
      <c r="BE141" s="40" t="str">
        <f>IFERROR(VLOOKUP($F141,[2]원본!$D:$BX,BE$1,FALSE),"")</f>
        <v/>
      </c>
      <c r="BF141" s="40" t="str">
        <f>IFERROR(VLOOKUP($F141,[2]원본!$D:$BX,BF$1,FALSE),"")</f>
        <v/>
      </c>
      <c r="BG141" s="40" t="str">
        <f>IFERROR(VLOOKUP($F141,[2]원본!$D:$BX,BG$1,FALSE),"")</f>
        <v/>
      </c>
      <c r="BH141" s="40" t="str">
        <f>IFERROR(VLOOKUP($F141,[2]원본!$D:$BX,BH$1,FALSE),"")</f>
        <v/>
      </c>
      <c r="BI141" s="40" t="str">
        <f>IFERROR(VLOOKUP($F141,[2]원본!$D:$BX,BI$1,FALSE),"")</f>
        <v/>
      </c>
      <c r="BJ141" s="40" t="str">
        <f>IFERROR(VLOOKUP($F141,[2]원본!$D:$BX,BJ$1,FALSE),"")</f>
        <v/>
      </c>
      <c r="BK141" s="40" t="str">
        <f>IFERROR(VLOOKUP($F141,[2]원본!$D:$BX,BK$1,FALSE),"")</f>
        <v/>
      </c>
      <c r="BL141" s="40" t="str">
        <f>IFERROR(VLOOKUP($F141,[2]원본!$D:$BX,BL$1,FALSE),"")</f>
        <v/>
      </c>
      <c r="BM141" s="40" t="str">
        <f>IFERROR(VLOOKUP($F141,[2]원본!$D:$BX,BM$1,FALSE),"")</f>
        <v/>
      </c>
      <c r="BN141" s="40" t="str">
        <f>IFERROR(VLOOKUP($F141,[2]원본!$D:$BX,BN$1,FALSE),"")</f>
        <v/>
      </c>
      <c r="BO141" s="40" t="str">
        <f>IFERROR(VLOOKUP($F141,[2]원본!$D:$BX,BO$1,FALSE),"")</f>
        <v/>
      </c>
      <c r="BP141" s="40" t="str">
        <f>IFERROR(VLOOKUP($F141,[2]원본!$D:$BX,BP$1,FALSE),"")</f>
        <v/>
      </c>
      <c r="BQ141" s="40" t="str">
        <f>IFERROR(VLOOKUP($F141,[2]원본!$D:$BX,BQ$1,FALSE),"")</f>
        <v/>
      </c>
      <c r="BR141" s="40" t="str">
        <f>IFERROR(VLOOKUP($F141,[2]원본!$D:$BX,BR$1,FALSE),"")</f>
        <v/>
      </c>
      <c r="BS141" s="40" t="str">
        <f>IFERROR(VLOOKUP($F141,[2]원본!$D:$BX,BS$1,FALSE),"")</f>
        <v/>
      </c>
      <c r="BT141" s="40" t="str">
        <f>IFERROR(VLOOKUP($F141,[2]원본!$D:$BX,BT$1,FALSE),"")</f>
        <v/>
      </c>
      <c r="BU141" s="40" t="str">
        <f>IFERROR(VLOOKUP($F141,[2]원본!$D:$BX,BU$1,FALSE),"")</f>
        <v/>
      </c>
      <c r="BV141" s="40" t="str">
        <f>IFERROR(VLOOKUP($F141,#REF!,BV$1,FALSE),"")</f>
        <v/>
      </c>
      <c r="BW141" s="40"/>
      <c r="BX141" s="26">
        <f>(SUM(R141:BW141)*D139)-(SUM(R141:BW141)*E139)</f>
        <v>0</v>
      </c>
      <c r="BY141" s="91"/>
      <c r="BZ141" s="100" t="str">
        <f>IFERROR(VLOOKUP($F141,#REF!,BZ$1,FALSE),"")</f>
        <v/>
      </c>
    </row>
    <row r="142" spans="1:78" ht="20.100000000000001" customHeight="1" x14ac:dyDescent="0.3">
      <c r="A142" s="13">
        <v>136</v>
      </c>
      <c r="B142" s="91" t="s">
        <v>347</v>
      </c>
      <c r="C142" s="93" t="s">
        <v>161</v>
      </c>
      <c r="D142" s="95"/>
      <c r="E142" s="91"/>
      <c r="F142" s="96">
        <v>91227676572</v>
      </c>
      <c r="G142" s="97"/>
      <c r="H142" s="97"/>
      <c r="I142" s="97"/>
      <c r="J142" s="91" t="s">
        <v>71</v>
      </c>
      <c r="K142" s="62">
        <v>189400</v>
      </c>
      <c r="L142" s="98"/>
      <c r="M142" s="98">
        <v>140</v>
      </c>
      <c r="N142" s="98"/>
      <c r="O142" s="98"/>
      <c r="P142" s="98"/>
      <c r="Q142" s="7" t="s">
        <v>185</v>
      </c>
      <c r="R142" s="7"/>
      <c r="S142" s="7"/>
      <c r="T142" s="7"/>
      <c r="U142" s="7"/>
      <c r="V142" s="7"/>
      <c r="W142" s="7"/>
      <c r="X142" s="7"/>
      <c r="Y142" s="7"/>
      <c r="Z142" s="7"/>
      <c r="AA142" s="7" t="s">
        <v>36</v>
      </c>
      <c r="AB142" s="7"/>
      <c r="AC142" s="7" t="s">
        <v>36</v>
      </c>
      <c r="AD142" s="7" t="s">
        <v>36</v>
      </c>
      <c r="AE142" s="7" t="s">
        <v>36</v>
      </c>
      <c r="AF142" s="7" t="s">
        <v>36</v>
      </c>
      <c r="AG142" s="7" t="s">
        <v>36</v>
      </c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  <c r="BO142" s="22"/>
      <c r="BP142" s="22"/>
      <c r="BQ142" s="22"/>
      <c r="BR142" s="22"/>
      <c r="BS142" s="22"/>
      <c r="BT142" s="22"/>
      <c r="BU142" s="22"/>
      <c r="BV142" s="22"/>
      <c r="BW142" s="22"/>
      <c r="BY142" s="91"/>
      <c r="BZ142" s="98"/>
    </row>
    <row r="143" spans="1:78" ht="20.100000000000001" customHeight="1" x14ac:dyDescent="0.3">
      <c r="A143" s="13">
        <v>137</v>
      </c>
      <c r="B143" s="4" t="s">
        <v>347</v>
      </c>
      <c r="C143" s="69" t="s">
        <v>161</v>
      </c>
      <c r="D143" s="82" t="s">
        <v>25</v>
      </c>
      <c r="E143" s="20"/>
      <c r="F143" s="2">
        <v>91227676572</v>
      </c>
      <c r="G143" s="3" t="s">
        <v>145</v>
      </c>
      <c r="H143" s="3"/>
      <c r="J143" s="4" t="s">
        <v>96</v>
      </c>
      <c r="K143" s="62">
        <v>102800</v>
      </c>
      <c r="L143" s="1">
        <v>1</v>
      </c>
      <c r="M143" s="1">
        <v>141</v>
      </c>
      <c r="Q143" s="42" t="s">
        <v>0</v>
      </c>
      <c r="R143" s="7"/>
      <c r="S143" s="7"/>
      <c r="T143" s="7"/>
      <c r="U143" s="7"/>
      <c r="V143" s="7"/>
      <c r="W143" s="7"/>
      <c r="X143" s="7"/>
      <c r="Y143" s="7" t="s">
        <v>54</v>
      </c>
      <c r="Z143" s="7">
        <v>29</v>
      </c>
      <c r="AA143" s="7" t="s">
        <v>36</v>
      </c>
      <c r="AB143" s="7"/>
      <c r="AC143" s="7">
        <v>9</v>
      </c>
      <c r="AD143" s="7">
        <v>13</v>
      </c>
      <c r="AE143" s="7">
        <v>19</v>
      </c>
      <c r="AF143" s="7">
        <v>19</v>
      </c>
      <c r="AG143" s="7">
        <v>19</v>
      </c>
      <c r="AH143" s="7"/>
      <c r="AI143" s="7"/>
      <c r="AJ143" s="7"/>
      <c r="AK143" s="7" t="s">
        <v>36</v>
      </c>
      <c r="AL143" s="7"/>
      <c r="AM143" s="7"/>
      <c r="AN143" s="7"/>
      <c r="AO143" s="7"/>
      <c r="AP143" s="7"/>
      <c r="AQ143" s="7"/>
      <c r="AR143" s="7"/>
      <c r="AS143" s="7"/>
      <c r="AT143" s="7">
        <v>34</v>
      </c>
      <c r="AU143" s="7">
        <v>27</v>
      </c>
      <c r="AV143" s="7"/>
      <c r="AW143" s="7"/>
      <c r="AX143" s="7">
        <v>22</v>
      </c>
      <c r="AY143" s="7"/>
      <c r="AZ143" s="7">
        <v>16</v>
      </c>
      <c r="BA143" s="7">
        <v>61</v>
      </c>
      <c r="BB143" s="7">
        <v>14</v>
      </c>
      <c r="BC143" s="7"/>
      <c r="BD143" s="7"/>
      <c r="BE143" s="7">
        <v>18</v>
      </c>
      <c r="BF143" s="7">
        <v>18</v>
      </c>
      <c r="BG143" s="7">
        <v>17</v>
      </c>
      <c r="BH143" s="7">
        <v>61</v>
      </c>
      <c r="BI143" s="7">
        <v>17</v>
      </c>
      <c r="BJ143" s="7"/>
      <c r="BK143" s="7"/>
      <c r="BL143" s="7">
        <v>17</v>
      </c>
      <c r="BM143" s="7"/>
      <c r="BN143" s="7">
        <v>17</v>
      </c>
      <c r="BO143" s="7">
        <v>16</v>
      </c>
      <c r="BP143" s="7"/>
      <c r="BQ143" s="7"/>
      <c r="BR143" s="7"/>
      <c r="BS143" s="7">
        <v>16</v>
      </c>
      <c r="BT143" s="7">
        <v>16</v>
      </c>
      <c r="BU143" s="7">
        <v>16</v>
      </c>
      <c r="BV143" s="7"/>
      <c r="BW143" s="7"/>
    </row>
    <row r="144" spans="1:78" ht="20.100000000000001" customHeight="1" x14ac:dyDescent="0.3">
      <c r="A144" s="13">
        <v>138</v>
      </c>
      <c r="B144" s="4" t="s">
        <v>347</v>
      </c>
      <c r="C144" s="69" t="s">
        <v>161</v>
      </c>
      <c r="D144" s="20"/>
      <c r="E144" s="20"/>
      <c r="F144" s="2">
        <v>91227676572</v>
      </c>
      <c r="H144" s="3"/>
      <c r="J144" s="4" t="s">
        <v>26</v>
      </c>
      <c r="K144" s="62">
        <v>16300</v>
      </c>
      <c r="L144" s="1">
        <v>1</v>
      </c>
      <c r="M144" s="1">
        <v>143</v>
      </c>
      <c r="Q144" s="42" t="s">
        <v>0</v>
      </c>
      <c r="R144" s="7"/>
      <c r="S144" s="7"/>
      <c r="T144" s="7"/>
      <c r="U144" s="7"/>
      <c r="V144" s="7"/>
      <c r="W144" s="7"/>
      <c r="X144" s="7"/>
      <c r="Y144" s="7" t="s">
        <v>54</v>
      </c>
      <c r="Z144" s="7">
        <v>29</v>
      </c>
      <c r="AA144" s="7" t="s">
        <v>36</v>
      </c>
      <c r="AB144" s="7"/>
      <c r="AC144" s="7" t="s">
        <v>36</v>
      </c>
      <c r="AD144" s="7">
        <v>24</v>
      </c>
      <c r="AE144" s="7">
        <v>27</v>
      </c>
      <c r="AF144" s="7">
        <v>18</v>
      </c>
      <c r="AG144" s="7">
        <v>22</v>
      </c>
      <c r="AH144" s="7"/>
      <c r="AI144" s="7"/>
      <c r="AJ144" s="7"/>
      <c r="AK144" s="7">
        <v>12</v>
      </c>
      <c r="AL144" s="7"/>
      <c r="AM144" s="7"/>
      <c r="AN144" s="7"/>
      <c r="AO144" s="7"/>
      <c r="AP144" s="7"/>
      <c r="AQ144" s="7"/>
      <c r="AR144" s="7"/>
      <c r="AS144" s="7"/>
      <c r="AT144" s="7">
        <v>24</v>
      </c>
      <c r="AU144" s="7">
        <v>24</v>
      </c>
      <c r="AV144" s="7"/>
      <c r="AW144" s="7"/>
      <c r="AX144" s="7">
        <v>18</v>
      </c>
      <c r="AY144" s="7"/>
      <c r="AZ144" s="7">
        <v>13</v>
      </c>
      <c r="BA144" s="7">
        <v>28</v>
      </c>
      <c r="BB144" s="7">
        <v>13</v>
      </c>
      <c r="BC144" s="7"/>
      <c r="BD144" s="7"/>
      <c r="BE144" s="7">
        <v>16</v>
      </c>
      <c r="BF144" s="7">
        <v>13</v>
      </c>
      <c r="BG144" s="7">
        <v>15</v>
      </c>
      <c r="BH144" s="7">
        <v>28</v>
      </c>
      <c r="BI144" s="7">
        <v>12</v>
      </c>
      <c r="BJ144" s="7"/>
      <c r="BK144" s="7"/>
      <c r="BL144" s="7">
        <v>12</v>
      </c>
      <c r="BM144" s="7"/>
      <c r="BN144" s="7">
        <v>12</v>
      </c>
      <c r="BO144" s="7">
        <v>12</v>
      </c>
      <c r="BP144" s="7"/>
      <c r="BQ144" s="7"/>
      <c r="BR144" s="7"/>
      <c r="BS144" s="7">
        <v>12</v>
      </c>
      <c r="BT144" s="7">
        <v>12</v>
      </c>
      <c r="BU144" s="7">
        <v>12</v>
      </c>
      <c r="BV144" s="7"/>
      <c r="BW144" s="7"/>
    </row>
    <row r="145" spans="1:78" ht="20.100000000000001" customHeight="1" thickBot="1" x14ac:dyDescent="0.35">
      <c r="A145" s="13">
        <v>139</v>
      </c>
      <c r="B145" s="4" t="s">
        <v>347</v>
      </c>
      <c r="C145" s="69" t="s">
        <v>161</v>
      </c>
      <c r="D145" s="20"/>
      <c r="E145" s="20"/>
      <c r="F145" s="2">
        <v>91227676572</v>
      </c>
      <c r="H145" s="3"/>
      <c r="J145" s="4" t="s">
        <v>97</v>
      </c>
      <c r="K145" s="62">
        <v>12500</v>
      </c>
      <c r="L145" s="1">
        <v>1</v>
      </c>
      <c r="M145" s="1">
        <v>142</v>
      </c>
      <c r="Q145" s="42" t="s">
        <v>0</v>
      </c>
      <c r="R145" s="7"/>
      <c r="S145" s="7"/>
      <c r="T145" s="7"/>
      <c r="U145" s="7"/>
      <c r="V145" s="7"/>
      <c r="W145" s="7"/>
      <c r="X145" s="7"/>
      <c r="Y145" s="7" t="s">
        <v>54</v>
      </c>
      <c r="Z145" s="7">
        <v>144</v>
      </c>
      <c r="AA145" s="7">
        <v>260</v>
      </c>
      <c r="AB145" s="7"/>
      <c r="AC145" s="7">
        <v>42</v>
      </c>
      <c r="AD145" s="7">
        <v>44</v>
      </c>
      <c r="AE145" s="7">
        <v>47</v>
      </c>
      <c r="AF145" s="7">
        <v>41</v>
      </c>
      <c r="AG145" s="7">
        <v>41</v>
      </c>
      <c r="AH145" s="7"/>
      <c r="AI145" s="7"/>
      <c r="AJ145" s="7"/>
      <c r="AK145" s="7" t="s">
        <v>36</v>
      </c>
      <c r="AL145" s="7"/>
      <c r="AM145" s="7"/>
      <c r="AN145" s="7"/>
      <c r="AO145" s="7"/>
      <c r="AP145" s="7"/>
      <c r="AQ145" s="7"/>
      <c r="AR145" s="7"/>
      <c r="AS145" s="7"/>
      <c r="AT145" s="7">
        <v>5</v>
      </c>
      <c r="AU145" s="7">
        <v>5</v>
      </c>
      <c r="AV145" s="7"/>
      <c r="AW145" s="7"/>
      <c r="AX145" s="7">
        <v>5</v>
      </c>
      <c r="AY145" s="7"/>
      <c r="AZ145" s="7">
        <v>5</v>
      </c>
      <c r="BA145" s="7">
        <v>5</v>
      </c>
      <c r="BB145" s="7">
        <v>44</v>
      </c>
      <c r="BC145" s="7"/>
      <c r="BD145" s="7"/>
      <c r="BE145" s="7">
        <v>62</v>
      </c>
      <c r="BF145" s="7">
        <v>51</v>
      </c>
      <c r="BG145" s="7">
        <v>57</v>
      </c>
      <c r="BH145" s="7">
        <v>5</v>
      </c>
      <c r="BI145" s="7">
        <v>56</v>
      </c>
      <c r="BJ145" s="7"/>
      <c r="BK145" s="7"/>
      <c r="BL145" s="7">
        <v>45</v>
      </c>
      <c r="BM145" s="7"/>
      <c r="BN145" s="7">
        <v>45</v>
      </c>
      <c r="BO145" s="7">
        <v>37</v>
      </c>
      <c r="BP145" s="7"/>
      <c r="BQ145" s="7"/>
      <c r="BR145" s="7"/>
      <c r="BS145" s="7">
        <v>37</v>
      </c>
      <c r="BT145" s="7">
        <v>37</v>
      </c>
      <c r="BU145" s="7">
        <v>37</v>
      </c>
      <c r="BV145" s="7"/>
      <c r="BW145" s="7"/>
    </row>
    <row r="146" spans="1:78" s="8" customFormat="1" ht="20.100000000000001" customHeight="1" x14ac:dyDescent="0.3">
      <c r="A146" s="13">
        <v>140</v>
      </c>
      <c r="B146" s="108" t="s">
        <v>423</v>
      </c>
      <c r="C146" s="70" t="s">
        <v>161</v>
      </c>
      <c r="D146" s="46">
        <f>VLOOKUP(F148,[1]SKU리스트!$H:$L,5,FALSE)</f>
        <v>12900</v>
      </c>
      <c r="E146" s="47">
        <f>VLOOKUP(F148,[1]SKU리스트!$H:$AK,30,FALSE)</f>
        <v>7788.181818181818</v>
      </c>
      <c r="F146" s="10" t="s">
        <v>414</v>
      </c>
      <c r="G146" s="11"/>
      <c r="H146" s="11"/>
      <c r="I146" s="11"/>
      <c r="J146" s="9"/>
      <c r="K146" s="12"/>
      <c r="M146" s="8">
        <v>295</v>
      </c>
      <c r="Q146" s="44" t="s">
        <v>125</v>
      </c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54">
        <v>18</v>
      </c>
      <c r="BT146" s="54">
        <v>20</v>
      </c>
      <c r="BU146" s="54"/>
      <c r="BV146" s="54"/>
      <c r="BW146" s="54"/>
      <c r="BX146" s="85">
        <f>VLOOKUP(F146,[1]SKU리스트!$H:$AH,27,FALSE)</f>
        <v>73960</v>
      </c>
      <c r="BY146" s="9"/>
    </row>
    <row r="147" spans="1:78" ht="20.100000000000001" customHeight="1" x14ac:dyDescent="0.3">
      <c r="A147" s="13">
        <v>141</v>
      </c>
      <c r="B147" s="109" t="s">
        <v>423</v>
      </c>
      <c r="C147" s="69" t="s">
        <v>161</v>
      </c>
      <c r="D147" s="1"/>
      <c r="E147" s="1"/>
      <c r="F147" s="2" t="s">
        <v>415</v>
      </c>
      <c r="H147" s="3"/>
      <c r="M147" s="1">
        <v>296</v>
      </c>
      <c r="Q147" s="39" t="s">
        <v>282</v>
      </c>
      <c r="R147" s="5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50"/>
      <c r="AL147" s="50"/>
      <c r="AM147" s="50"/>
      <c r="AN147" s="50"/>
      <c r="AO147" s="53"/>
      <c r="AP147" s="51"/>
      <c r="AQ147" s="50"/>
      <c r="AR147" s="50"/>
      <c r="AS147" s="50"/>
      <c r="AT147" s="50"/>
      <c r="AU147" s="50"/>
      <c r="AV147" s="53"/>
      <c r="AW147" s="50"/>
      <c r="AX147" s="50"/>
      <c r="AY147" s="50"/>
      <c r="AZ147" s="50"/>
      <c r="BA147" s="50"/>
      <c r="BB147" s="50"/>
      <c r="BC147" s="53"/>
      <c r="BD147" s="50"/>
      <c r="BE147" s="50"/>
      <c r="BF147" s="50"/>
      <c r="BG147" s="50"/>
      <c r="BH147" s="50"/>
      <c r="BI147" s="50"/>
      <c r="BJ147" s="53"/>
      <c r="BK147" s="50"/>
      <c r="BL147" s="50"/>
      <c r="BM147" s="50"/>
      <c r="BN147" s="50"/>
      <c r="BO147" s="50"/>
      <c r="BP147" s="50"/>
      <c r="BQ147" s="53"/>
      <c r="BR147" s="50"/>
      <c r="BS147" s="50"/>
      <c r="BT147" s="50"/>
      <c r="BU147" s="50"/>
      <c r="BV147" s="50"/>
      <c r="BW147" s="50"/>
    </row>
    <row r="148" spans="1:78" ht="20.100000000000001" customHeight="1" x14ac:dyDescent="0.3">
      <c r="A148" s="13">
        <v>142</v>
      </c>
      <c r="B148" s="109" t="s">
        <v>423</v>
      </c>
      <c r="C148" s="69" t="s">
        <v>161</v>
      </c>
      <c r="F148" s="2">
        <v>94114222340</v>
      </c>
      <c r="H148" s="3"/>
      <c r="M148" s="1">
        <v>297</v>
      </c>
      <c r="Q148" s="41" t="s">
        <v>1</v>
      </c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>
        <f>IFERROR(VLOOKUP($F148,[2]원본!$D:$BX,AI$1,FALSE),"")</f>
        <v>0</v>
      </c>
      <c r="AJ148" s="40">
        <f>IFERROR(VLOOKUP($F148,[2]원본!$D:$BX,AJ$1,FALSE),"")</f>
        <v>2</v>
      </c>
      <c r="AK148" s="40">
        <f>IFERROR(VLOOKUP($F148,[2]원본!$D:$BX,AK$1,FALSE),"")</f>
        <v>0</v>
      </c>
      <c r="AL148" s="40">
        <f>IFERROR(VLOOKUP($F148,[2]원본!$D:$BX,AL$1,FALSE),"")</f>
        <v>0</v>
      </c>
      <c r="AM148" s="40">
        <f>IFERROR(VLOOKUP($F148,[2]원본!$D:$BX,AM$1,FALSE),"")</f>
        <v>0</v>
      </c>
      <c r="AN148" s="40">
        <f>IFERROR(VLOOKUP($F148,[2]원본!$D:$BX,AN$1,FALSE),"")</f>
        <v>0</v>
      </c>
      <c r="AO148" s="40">
        <f>IFERROR(VLOOKUP($F148,[2]원본!$D:$BX,AO$1,FALSE),"")</f>
        <v>5</v>
      </c>
      <c r="AP148" s="40">
        <f>IFERROR(VLOOKUP($F148,[2]원본!$D:$BX,AP$1,FALSE),"")</f>
        <v>0</v>
      </c>
      <c r="AQ148" s="40">
        <f>IFERROR(VLOOKUP($F148,[2]원본!$D:$BX,AQ$1,FALSE),"")</f>
        <v>0</v>
      </c>
      <c r="AR148" s="40">
        <f>IFERROR(VLOOKUP($F148,[2]원본!$D:$BX,AR$1,FALSE),"")</f>
        <v>0</v>
      </c>
      <c r="AS148" s="40">
        <f>IFERROR(VLOOKUP($F148,[2]원본!$D:$BX,AS$1,FALSE),"")</f>
        <v>0</v>
      </c>
      <c r="AT148" s="40">
        <f>IFERROR(VLOOKUP($F148,[2]원본!$D:$BX,AT$1,FALSE),"")</f>
        <v>0</v>
      </c>
      <c r="AU148" s="40">
        <f>IFERROR(VLOOKUP($F148,[2]원본!$D:$BX,AU$1,FALSE),"")</f>
        <v>0</v>
      </c>
      <c r="AV148" s="40">
        <f>IFERROR(VLOOKUP($F148,[2]원본!$D:$BX,AV$1,FALSE),"")</f>
        <v>0</v>
      </c>
      <c r="AW148" s="40">
        <f>IFERROR(VLOOKUP($F148,[2]원본!$D:$BX,AW$1,FALSE),"")</f>
        <v>0</v>
      </c>
      <c r="AX148" s="40">
        <f>IFERROR(VLOOKUP($F148,[2]원본!$D:$BX,AX$1,FALSE),"")</f>
        <v>9</v>
      </c>
      <c r="AY148" s="40">
        <f>IFERROR(VLOOKUP($F148,[2]원본!$D:$BX,AY$1,FALSE),"")</f>
        <v>10</v>
      </c>
      <c r="AZ148" s="40">
        <f>IFERROR(VLOOKUP($F148,[2]원본!$D:$BX,AZ$1,FALSE),"")</f>
        <v>10</v>
      </c>
      <c r="BA148" s="40">
        <f>IFERROR(VLOOKUP($F148,[2]원본!$D:$BX,BA$1,FALSE),"")</f>
        <v>10</v>
      </c>
      <c r="BB148" s="40">
        <f>IFERROR(VLOOKUP($F148,[2]원본!$D:$BX,BB$1,FALSE),"")</f>
        <v>10</v>
      </c>
      <c r="BC148" s="40">
        <f>IFERROR(VLOOKUP($F148,[2]원본!$D:$BX,BC$1,FALSE),"")</f>
        <v>20</v>
      </c>
      <c r="BD148" s="40">
        <f>IFERROR(VLOOKUP($F148,[2]원본!$D:$BX,BD$1,FALSE),"")</f>
        <v>5</v>
      </c>
      <c r="BE148" s="40">
        <f>IFERROR(VLOOKUP($F148,[2]원본!$D:$BX,BE$1,FALSE),"")</f>
        <v>0</v>
      </c>
      <c r="BF148" s="40">
        <f>IFERROR(VLOOKUP($F148,[2]원본!$D:$BX,BF$1,FALSE),"")</f>
        <v>0</v>
      </c>
      <c r="BG148" s="40">
        <f>IFERROR(VLOOKUP($F148,[2]원본!$D:$BX,BG$1,FALSE),"")</f>
        <v>0</v>
      </c>
      <c r="BH148" s="40">
        <f>IFERROR(VLOOKUP($F148,[2]원본!$D:$BX,BH$1,FALSE),"")</f>
        <v>0</v>
      </c>
      <c r="BI148" s="40">
        <f>IFERROR(VLOOKUP($F148,[2]원본!$D:$BX,BI$1,FALSE),"")</f>
        <v>0</v>
      </c>
      <c r="BJ148" s="40">
        <f>IFERROR(VLOOKUP($F148,[2]원본!$D:$BX,BJ$1,FALSE),"")</f>
        <v>1</v>
      </c>
      <c r="BK148" s="40">
        <f>IFERROR(VLOOKUP($F148,[2]원본!$D:$BX,BK$1,FALSE),"")</f>
        <v>0</v>
      </c>
      <c r="BL148" s="40">
        <f>IFERROR(VLOOKUP($F148,[2]원본!$D:$BX,BL$1,FALSE),"")</f>
        <v>2</v>
      </c>
      <c r="BM148" s="40">
        <f>IFERROR(VLOOKUP($F148,[2]원본!$D:$BX,BM$1,FALSE),"")</f>
        <v>20</v>
      </c>
      <c r="BN148" s="40">
        <f>IFERROR(VLOOKUP($F148,[2]원본!$D:$BX,BN$1,FALSE),"")</f>
        <v>20</v>
      </c>
      <c r="BO148" s="40">
        <f>IFERROR(VLOOKUP($F148,[2]원본!$D:$BX,BO$1,FALSE),"")</f>
        <v>0</v>
      </c>
      <c r="BP148" s="40">
        <f>IFERROR(VLOOKUP($F148,[2]원본!$D:$BX,BP$1,FALSE),"")</f>
        <v>20</v>
      </c>
      <c r="BQ148" s="40">
        <f>IFERROR(VLOOKUP($F148,[2]원본!$D:$BX,BQ$1,FALSE),"")</f>
        <v>21</v>
      </c>
      <c r="BR148" s="40">
        <f>IFERROR(VLOOKUP($F148,[2]원본!$D:$BX,BR$1,FALSE),"")</f>
        <v>20</v>
      </c>
      <c r="BS148" s="40">
        <f>IFERROR(VLOOKUP($F148,[2]원본!$D:$BX,BS$1,FALSE),"")</f>
        <v>0</v>
      </c>
      <c r="BT148" s="40">
        <f>IFERROR(VLOOKUP($F148,[2]원본!$D:$BX,BT$1,FALSE),"")</f>
        <v>0</v>
      </c>
      <c r="BU148" s="40">
        <f>IFERROR(VLOOKUP($F148,[2]원본!$D:$BX,BU$1,FALSE),"")</f>
        <v>0</v>
      </c>
      <c r="BV148" s="40" t="str">
        <f>IFERROR(VLOOKUP($F148,#REF!,BV$1,FALSE),"")</f>
        <v/>
      </c>
      <c r="BW148" s="40"/>
      <c r="BX148" s="26">
        <f>(SUM(R148:BW148)*D146)-(SUM(R148:BW148)*E146)</f>
        <v>945686.36363636376</v>
      </c>
      <c r="BZ148" s="100" t="str">
        <f>IFERROR(VLOOKUP($F148,#REF!,BZ$1,FALSE),"")</f>
        <v/>
      </c>
    </row>
    <row r="149" spans="1:78" ht="20.100000000000001" customHeight="1" x14ac:dyDescent="0.3">
      <c r="A149" s="13">
        <v>143</v>
      </c>
      <c r="B149" s="110" t="s">
        <v>423</v>
      </c>
      <c r="C149" s="69" t="s">
        <v>161</v>
      </c>
      <c r="D149" s="95" t="s">
        <v>416</v>
      </c>
      <c r="E149" s="91"/>
      <c r="F149" s="96">
        <v>94114222340</v>
      </c>
      <c r="G149" s="97" t="s">
        <v>417</v>
      </c>
      <c r="H149" s="97"/>
      <c r="I149" s="97"/>
      <c r="J149" s="91" t="s">
        <v>410</v>
      </c>
      <c r="K149" s="62">
        <v>116300</v>
      </c>
      <c r="L149" s="98">
        <v>1</v>
      </c>
      <c r="M149" s="98">
        <v>298</v>
      </c>
      <c r="N149" s="98"/>
      <c r="O149" s="98"/>
      <c r="P149" s="98"/>
      <c r="Q149" s="105" t="s">
        <v>0</v>
      </c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22" t="s">
        <v>422</v>
      </c>
      <c r="BT149" s="7"/>
      <c r="BU149" s="7"/>
      <c r="BV149" s="7"/>
      <c r="BW149" s="7"/>
      <c r="BY149" s="91"/>
      <c r="BZ149" s="98"/>
    </row>
    <row r="150" spans="1:78" s="14" customFormat="1" ht="20.100000000000001" customHeight="1" thickBot="1" x14ac:dyDescent="0.35">
      <c r="A150" s="13">
        <v>144</v>
      </c>
      <c r="B150" s="111" t="s">
        <v>423</v>
      </c>
      <c r="C150" s="71" t="s">
        <v>161</v>
      </c>
      <c r="D150" s="21"/>
      <c r="E150" s="21"/>
      <c r="F150" s="16">
        <v>94114222340</v>
      </c>
      <c r="G150" s="17"/>
      <c r="H150" s="17"/>
      <c r="I150" s="17"/>
      <c r="J150" s="15" t="s">
        <v>411</v>
      </c>
      <c r="K150" s="63">
        <v>22200</v>
      </c>
      <c r="L150" s="14">
        <v>1</v>
      </c>
      <c r="M150" s="14">
        <v>299</v>
      </c>
      <c r="Q150" s="45" t="s">
        <v>0</v>
      </c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3"/>
      <c r="BP150" s="23"/>
      <c r="BQ150" s="23"/>
      <c r="BR150" s="23"/>
      <c r="BS150" s="23" t="s">
        <v>54</v>
      </c>
      <c r="BT150" s="7"/>
      <c r="BU150" s="7"/>
      <c r="BV150" s="7"/>
      <c r="BW150" s="7"/>
      <c r="BX150" s="18"/>
      <c r="BY150" s="15"/>
    </row>
    <row r="151" spans="1:78" s="8" customFormat="1" ht="20.100000000000001" customHeight="1" x14ac:dyDescent="0.3">
      <c r="A151" s="13">
        <v>145</v>
      </c>
      <c r="B151" s="108" t="s">
        <v>423</v>
      </c>
      <c r="C151" s="70" t="s">
        <v>161</v>
      </c>
      <c r="D151" s="46">
        <f>VLOOKUP(F153,[1]SKU리스트!$H:$L,5,FALSE)</f>
        <v>12900</v>
      </c>
      <c r="E151" s="47">
        <f>VLOOKUP(F153,[1]SKU리스트!$H:$AK,30,FALSE)</f>
        <v>7570.9090909090901</v>
      </c>
      <c r="F151" s="10" t="s">
        <v>420</v>
      </c>
      <c r="G151" s="11"/>
      <c r="H151" s="11"/>
      <c r="I151" s="11"/>
      <c r="J151" s="9"/>
      <c r="K151" s="12"/>
      <c r="M151" s="8">
        <v>300</v>
      </c>
      <c r="Q151" s="44" t="s">
        <v>125</v>
      </c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54">
        <v>19</v>
      </c>
      <c r="BT151" s="54">
        <v>20</v>
      </c>
      <c r="BU151" s="54"/>
      <c r="BV151" s="54"/>
      <c r="BW151" s="54"/>
      <c r="BX151" s="85">
        <f>VLOOKUP(F151,[1]SKU리스트!$H:$AH,27,FALSE)</f>
        <v>59548</v>
      </c>
      <c r="BY151" s="9"/>
    </row>
    <row r="152" spans="1:78" ht="20.100000000000001" customHeight="1" x14ac:dyDescent="0.3">
      <c r="A152" s="13">
        <v>146</v>
      </c>
      <c r="B152" s="110" t="s">
        <v>423</v>
      </c>
      <c r="C152" s="93" t="s">
        <v>161</v>
      </c>
      <c r="D152" s="98"/>
      <c r="E152" s="98"/>
      <c r="F152" s="96" t="s">
        <v>421</v>
      </c>
      <c r="G152" s="97"/>
      <c r="H152" s="97"/>
      <c r="I152" s="97"/>
      <c r="J152" s="91"/>
      <c r="L152" s="98"/>
      <c r="M152" s="98">
        <v>301</v>
      </c>
      <c r="N152" s="98"/>
      <c r="O152" s="98"/>
      <c r="P152" s="98"/>
      <c r="Q152" s="39" t="s">
        <v>282</v>
      </c>
      <c r="R152" s="5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50"/>
      <c r="AL152" s="50"/>
      <c r="AM152" s="50"/>
      <c r="AN152" s="50"/>
      <c r="AO152" s="53"/>
      <c r="AP152" s="51"/>
      <c r="AQ152" s="50"/>
      <c r="AR152" s="50"/>
      <c r="AS152" s="50"/>
      <c r="AT152" s="50"/>
      <c r="AU152" s="50"/>
      <c r="AV152" s="53"/>
      <c r="AW152" s="50"/>
      <c r="AX152" s="50"/>
      <c r="AY152" s="50"/>
      <c r="AZ152" s="50"/>
      <c r="BA152" s="50"/>
      <c r="BB152" s="50"/>
      <c r="BC152" s="53"/>
      <c r="BD152" s="50"/>
      <c r="BE152" s="50"/>
      <c r="BF152" s="50"/>
      <c r="BG152" s="50"/>
      <c r="BH152" s="50"/>
      <c r="BI152" s="50"/>
      <c r="BJ152" s="53"/>
      <c r="BK152" s="50"/>
      <c r="BL152" s="50"/>
      <c r="BM152" s="50"/>
      <c r="BN152" s="50"/>
      <c r="BO152" s="50"/>
      <c r="BP152" s="50"/>
      <c r="BQ152" s="53"/>
      <c r="BR152" s="50"/>
      <c r="BS152" s="50"/>
      <c r="BT152" s="50"/>
      <c r="BU152" s="50"/>
      <c r="BV152" s="50"/>
      <c r="BW152" s="50"/>
      <c r="BY152" s="91"/>
      <c r="BZ152" s="98"/>
    </row>
    <row r="153" spans="1:78" ht="20.100000000000001" customHeight="1" x14ac:dyDescent="0.3">
      <c r="A153" s="13">
        <v>147</v>
      </c>
      <c r="B153" s="110" t="s">
        <v>423</v>
      </c>
      <c r="C153" s="93" t="s">
        <v>161</v>
      </c>
      <c r="D153" s="91"/>
      <c r="E153" s="91"/>
      <c r="F153" s="96">
        <v>94114222345</v>
      </c>
      <c r="G153" s="97"/>
      <c r="H153" s="97"/>
      <c r="I153" s="97"/>
      <c r="J153" s="91"/>
      <c r="L153" s="98"/>
      <c r="M153" s="98">
        <v>302</v>
      </c>
      <c r="N153" s="98"/>
      <c r="O153" s="98"/>
      <c r="P153" s="98"/>
      <c r="Q153" s="41" t="s">
        <v>1</v>
      </c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>
        <f>IFERROR(VLOOKUP($F153,[2]원본!$D:$BX,AI$1,FALSE),"")</f>
        <v>0</v>
      </c>
      <c r="AJ153" s="40">
        <f>IFERROR(VLOOKUP($F153,[2]원본!$D:$BX,AJ$1,FALSE),"")</f>
        <v>2</v>
      </c>
      <c r="AK153" s="40">
        <f>IFERROR(VLOOKUP($F153,[2]원본!$D:$BX,AK$1,FALSE),"")</f>
        <v>0</v>
      </c>
      <c r="AL153" s="40">
        <f>IFERROR(VLOOKUP($F153,[2]원본!$D:$BX,AL$1,FALSE),"")</f>
        <v>0</v>
      </c>
      <c r="AM153" s="40">
        <f>IFERROR(VLOOKUP($F153,[2]원본!$D:$BX,AM$1,FALSE),"")</f>
        <v>0</v>
      </c>
      <c r="AN153" s="40">
        <f>IFERROR(VLOOKUP($F153,[2]원본!$D:$BX,AN$1,FALSE),"")</f>
        <v>0</v>
      </c>
      <c r="AO153" s="40">
        <f>IFERROR(VLOOKUP($F153,[2]원본!$D:$BX,AO$1,FALSE),"")</f>
        <v>5</v>
      </c>
      <c r="AP153" s="40">
        <f>IFERROR(VLOOKUP($F153,[2]원본!$D:$BX,AP$1,FALSE),"")</f>
        <v>0</v>
      </c>
      <c r="AQ153" s="40">
        <f>IFERROR(VLOOKUP($F153,[2]원본!$D:$BX,AQ$1,FALSE),"")</f>
        <v>0</v>
      </c>
      <c r="AR153" s="40">
        <f>IFERROR(VLOOKUP($F153,[2]원본!$D:$BX,AR$1,FALSE),"")</f>
        <v>0</v>
      </c>
      <c r="AS153" s="40">
        <f>IFERROR(VLOOKUP($F153,[2]원본!$D:$BX,AS$1,FALSE),"")</f>
        <v>0</v>
      </c>
      <c r="AT153" s="40">
        <f>IFERROR(VLOOKUP($F153,[2]원본!$D:$BX,AT$1,FALSE),"")</f>
        <v>0</v>
      </c>
      <c r="AU153" s="40">
        <f>IFERROR(VLOOKUP($F153,[2]원본!$D:$BX,AU$1,FALSE),"")</f>
        <v>0</v>
      </c>
      <c r="AV153" s="40">
        <f>IFERROR(VLOOKUP($F153,[2]원본!$D:$BX,AV$1,FALSE),"")</f>
        <v>0</v>
      </c>
      <c r="AW153" s="40">
        <f>IFERROR(VLOOKUP($F153,[2]원본!$D:$BX,AW$1,FALSE),"")</f>
        <v>0</v>
      </c>
      <c r="AX153" s="40">
        <f>IFERROR(VLOOKUP($F153,[2]원본!$D:$BX,AX$1,FALSE),"")</f>
        <v>9</v>
      </c>
      <c r="AY153" s="40">
        <f>IFERROR(VLOOKUP($F153,[2]원본!$D:$BX,AY$1,FALSE),"")</f>
        <v>10</v>
      </c>
      <c r="AZ153" s="40">
        <f>IFERROR(VLOOKUP($F153,[2]원본!$D:$BX,AZ$1,FALSE),"")</f>
        <v>10</v>
      </c>
      <c r="BA153" s="40">
        <f>IFERROR(VLOOKUP($F153,[2]원본!$D:$BX,BA$1,FALSE),"")</f>
        <v>10</v>
      </c>
      <c r="BB153" s="40">
        <f>IFERROR(VLOOKUP($F153,[2]원본!$D:$BX,BB$1,FALSE),"")</f>
        <v>10</v>
      </c>
      <c r="BC153" s="40">
        <f>IFERROR(VLOOKUP($F153,[2]원본!$D:$BX,BC$1,FALSE),"")</f>
        <v>14</v>
      </c>
      <c r="BD153" s="40">
        <f>IFERROR(VLOOKUP($F153,[2]원본!$D:$BX,BD$1,FALSE),"")</f>
        <v>0</v>
      </c>
      <c r="BE153" s="40">
        <f>IFERROR(VLOOKUP($F153,[2]원본!$D:$BX,BE$1,FALSE),"")</f>
        <v>0</v>
      </c>
      <c r="BF153" s="40">
        <f>IFERROR(VLOOKUP($F153,[2]원본!$D:$BX,BF$1,FALSE),"")</f>
        <v>0</v>
      </c>
      <c r="BG153" s="40">
        <f>IFERROR(VLOOKUP($F153,[2]원본!$D:$BX,BG$1,FALSE),"")</f>
        <v>0</v>
      </c>
      <c r="BH153" s="40">
        <f>IFERROR(VLOOKUP($F153,[2]원본!$D:$BX,BH$1,FALSE),"")</f>
        <v>0</v>
      </c>
      <c r="BI153" s="40">
        <f>IFERROR(VLOOKUP($F153,[2]원본!$D:$BX,BI$1,FALSE),"")</f>
        <v>0</v>
      </c>
      <c r="BJ153" s="40">
        <f>IFERROR(VLOOKUP($F153,[2]원본!$D:$BX,BJ$1,FALSE),"")</f>
        <v>0</v>
      </c>
      <c r="BK153" s="40">
        <f>IFERROR(VLOOKUP($F153,[2]원본!$D:$BX,BK$1,FALSE),"")</f>
        <v>0</v>
      </c>
      <c r="BL153" s="40">
        <f>IFERROR(VLOOKUP($F153,[2]원본!$D:$BX,BL$1,FALSE),"")</f>
        <v>20</v>
      </c>
      <c r="BM153" s="40">
        <f>IFERROR(VLOOKUP($F153,[2]원본!$D:$BX,BM$1,FALSE),"")</f>
        <v>20</v>
      </c>
      <c r="BN153" s="40">
        <f>IFERROR(VLOOKUP($F153,[2]원본!$D:$BX,BN$1,FALSE),"")</f>
        <v>20</v>
      </c>
      <c r="BO153" s="40">
        <f>IFERROR(VLOOKUP($F153,[2]원본!$D:$BX,BO$1,FALSE),"")</f>
        <v>0</v>
      </c>
      <c r="BP153" s="40">
        <f>IFERROR(VLOOKUP($F153,[2]원본!$D:$BX,BP$1,FALSE),"")</f>
        <v>20</v>
      </c>
      <c r="BQ153" s="40">
        <f>IFERROR(VLOOKUP($F153,[2]원본!$D:$BX,BQ$1,FALSE),"")</f>
        <v>21</v>
      </c>
      <c r="BR153" s="40">
        <f>IFERROR(VLOOKUP($F153,[2]원본!$D:$BX,BR$1,FALSE),"")</f>
        <v>20</v>
      </c>
      <c r="BS153" s="40">
        <f>IFERROR(VLOOKUP($F153,[2]원본!$D:$BX,BS$1,FALSE),"")</f>
        <v>0</v>
      </c>
      <c r="BT153" s="40">
        <f>IFERROR(VLOOKUP($F153,[2]원본!$D:$BX,BT$1,FALSE),"")</f>
        <v>0</v>
      </c>
      <c r="BU153" s="40">
        <f>IFERROR(VLOOKUP($F153,[2]원본!$D:$BX,BU$1,FALSE),"")</f>
        <v>0</v>
      </c>
      <c r="BV153" s="40" t="str">
        <f>IFERROR(VLOOKUP($F153,#REF!,BV$1,FALSE),"")</f>
        <v/>
      </c>
      <c r="BW153" s="40"/>
      <c r="BX153" s="26">
        <f>(SUM(R153:BW153)*D151)-(SUM(R153:BW153)*E151)</f>
        <v>1017856.3636363638</v>
      </c>
      <c r="BY153" s="91"/>
      <c r="BZ153" s="100" t="str">
        <f>IFERROR(VLOOKUP($F153,#REF!,BZ$1,FALSE),"")</f>
        <v/>
      </c>
    </row>
    <row r="154" spans="1:78" ht="20.100000000000001" customHeight="1" x14ac:dyDescent="0.3">
      <c r="A154" s="13">
        <v>148</v>
      </c>
      <c r="B154" s="110" t="s">
        <v>423</v>
      </c>
      <c r="C154" s="93" t="s">
        <v>161</v>
      </c>
      <c r="D154" s="95" t="s">
        <v>419</v>
      </c>
      <c r="E154" s="91"/>
      <c r="F154" s="96">
        <v>94114222345</v>
      </c>
      <c r="G154" s="97" t="s">
        <v>418</v>
      </c>
      <c r="H154" s="97"/>
      <c r="I154" s="97"/>
      <c r="J154" s="91" t="s">
        <v>413</v>
      </c>
      <c r="K154" s="62">
        <v>158000</v>
      </c>
      <c r="L154" s="98">
        <v>1</v>
      </c>
      <c r="M154" s="98">
        <v>303</v>
      </c>
      <c r="N154" s="98"/>
      <c r="O154" s="98"/>
      <c r="P154" s="98"/>
      <c r="Q154" s="105" t="s">
        <v>0</v>
      </c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2"/>
      <c r="BO154" s="22"/>
      <c r="BP154" s="22"/>
      <c r="BQ154" s="22"/>
      <c r="BR154" s="22"/>
      <c r="BS154" s="22" t="s">
        <v>54</v>
      </c>
      <c r="BT154" s="7"/>
      <c r="BU154" s="7"/>
      <c r="BV154" s="7"/>
      <c r="BW154" s="7"/>
      <c r="BY154" s="91"/>
      <c r="BZ154" s="98"/>
    </row>
    <row r="155" spans="1:78" s="14" customFormat="1" ht="20.100000000000001" customHeight="1" thickBot="1" x14ac:dyDescent="0.35">
      <c r="A155" s="13">
        <v>149</v>
      </c>
      <c r="B155" s="111" t="s">
        <v>423</v>
      </c>
      <c r="C155" s="71" t="s">
        <v>161</v>
      </c>
      <c r="D155" s="21"/>
      <c r="E155" s="21"/>
      <c r="F155" s="16">
        <v>94114222345</v>
      </c>
      <c r="G155" s="17"/>
      <c r="H155" s="17"/>
      <c r="I155" s="17"/>
      <c r="J155" s="15" t="s">
        <v>412</v>
      </c>
      <c r="K155" s="63">
        <v>99700</v>
      </c>
      <c r="L155" s="14">
        <v>1</v>
      </c>
      <c r="M155" s="14">
        <v>304</v>
      </c>
      <c r="Q155" s="45" t="s">
        <v>0</v>
      </c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3"/>
      <c r="BP155" s="23"/>
      <c r="BQ155" s="23"/>
      <c r="BR155" s="23"/>
      <c r="BS155" s="23" t="s">
        <v>54</v>
      </c>
      <c r="BT155" s="7"/>
      <c r="BU155" s="7"/>
      <c r="BV155" s="7"/>
      <c r="BW155" s="7"/>
      <c r="BX155" s="18"/>
      <c r="BY155" s="15"/>
    </row>
    <row r="156" spans="1:78" s="8" customFormat="1" ht="20.100000000000001" customHeight="1" x14ac:dyDescent="0.3">
      <c r="A156" s="13">
        <v>150</v>
      </c>
      <c r="B156" s="9" t="s">
        <v>348</v>
      </c>
      <c r="C156" s="70" t="s">
        <v>161</v>
      </c>
      <c r="D156" s="46">
        <f>VLOOKUP(F158,[1]SKU리스트!$H:$L,5,FALSE)</f>
        <v>7900</v>
      </c>
      <c r="E156" s="47">
        <f>VLOOKUP(F158,[1]SKU리스트!$H:$AK,30,FALSE)</f>
        <v>4419.090909090909</v>
      </c>
      <c r="F156" s="10" t="s">
        <v>209</v>
      </c>
      <c r="G156" s="11"/>
      <c r="H156" s="11"/>
      <c r="I156" s="11"/>
      <c r="J156" s="9"/>
      <c r="K156" s="12"/>
      <c r="M156" s="8">
        <v>144</v>
      </c>
      <c r="Q156" s="44" t="s">
        <v>125</v>
      </c>
      <c r="R156" s="54" t="s">
        <v>221</v>
      </c>
      <c r="S156" s="54" t="s">
        <v>221</v>
      </c>
      <c r="T156" s="54" t="s">
        <v>221</v>
      </c>
      <c r="U156" s="54" t="s">
        <v>221</v>
      </c>
      <c r="V156" s="54" t="s">
        <v>221</v>
      </c>
      <c r="W156" s="54" t="s">
        <v>221</v>
      </c>
      <c r="X156" s="54" t="s">
        <v>221</v>
      </c>
      <c r="Y156" s="54" t="s">
        <v>221</v>
      </c>
      <c r="Z156" s="54" t="s">
        <v>221</v>
      </c>
      <c r="AA156" s="54" t="s">
        <v>221</v>
      </c>
      <c r="AB156" s="54" t="s">
        <v>221</v>
      </c>
      <c r="AC156" s="54" t="s">
        <v>221</v>
      </c>
      <c r="AD156" s="54" t="s">
        <v>221</v>
      </c>
      <c r="AE156" s="54" t="s">
        <v>221</v>
      </c>
      <c r="AF156" s="54">
        <v>2</v>
      </c>
      <c r="AG156" s="54">
        <v>2</v>
      </c>
      <c r="AH156" s="54" t="s">
        <v>221</v>
      </c>
      <c r="AI156" s="54" t="s">
        <v>221</v>
      </c>
      <c r="AJ156" s="54" t="s">
        <v>221</v>
      </c>
      <c r="AK156" s="54" t="s">
        <v>221</v>
      </c>
      <c r="AL156" s="54" t="s">
        <v>221</v>
      </c>
      <c r="AM156" s="54">
        <v>1</v>
      </c>
      <c r="AN156" s="54" t="s">
        <v>221</v>
      </c>
      <c r="AO156" s="54" t="s">
        <v>221</v>
      </c>
      <c r="AP156" s="54" t="s">
        <v>221</v>
      </c>
      <c r="AQ156" s="54" t="s">
        <v>221</v>
      </c>
      <c r="AR156" s="54" t="s">
        <v>221</v>
      </c>
      <c r="AS156" s="54" t="s">
        <v>221</v>
      </c>
      <c r="AT156" s="54">
        <v>-1</v>
      </c>
      <c r="AU156" s="54" t="s">
        <v>221</v>
      </c>
      <c r="AV156" s="54" t="s">
        <v>221</v>
      </c>
      <c r="AW156" s="54" t="s">
        <v>221</v>
      </c>
      <c r="AX156" s="54" t="s">
        <v>221</v>
      </c>
      <c r="AY156" s="54" t="s">
        <v>221</v>
      </c>
      <c r="AZ156" s="54" t="s">
        <v>221</v>
      </c>
      <c r="BA156" s="54" t="s">
        <v>221</v>
      </c>
      <c r="BB156" s="54" t="s">
        <v>221</v>
      </c>
      <c r="BC156" s="54" t="s">
        <v>221</v>
      </c>
      <c r="BD156" s="54" t="s">
        <v>221</v>
      </c>
      <c r="BE156" s="54" t="s">
        <v>221</v>
      </c>
      <c r="BF156" s="54" t="s">
        <v>221</v>
      </c>
      <c r="BG156" s="54" t="s">
        <v>221</v>
      </c>
      <c r="BH156" s="54">
        <v>1</v>
      </c>
      <c r="BI156" s="54">
        <v>1</v>
      </c>
      <c r="BJ156" s="54" t="s">
        <v>221</v>
      </c>
      <c r="BK156" s="54" t="s">
        <v>221</v>
      </c>
      <c r="BL156" s="54" t="s">
        <v>221</v>
      </c>
      <c r="BM156" s="54" t="s">
        <v>221</v>
      </c>
      <c r="BN156" s="54">
        <v>1</v>
      </c>
      <c r="BO156" s="54" t="s">
        <v>221</v>
      </c>
      <c r="BP156" s="54">
        <v>1</v>
      </c>
      <c r="BQ156" s="54">
        <v>1</v>
      </c>
      <c r="BR156" s="54" t="s">
        <v>221</v>
      </c>
      <c r="BS156" s="54" t="s">
        <v>221</v>
      </c>
      <c r="BT156" s="54">
        <v>-1</v>
      </c>
      <c r="BU156" s="54"/>
      <c r="BV156" s="54"/>
      <c r="BW156" s="54"/>
      <c r="BX156" s="85">
        <f>VLOOKUP(F156,[1]SKU리스트!$H:$AH,27,FALSE)</f>
        <v>3773</v>
      </c>
      <c r="BY156" s="9"/>
    </row>
    <row r="157" spans="1:78" ht="20.100000000000001" customHeight="1" x14ac:dyDescent="0.3">
      <c r="A157" s="13">
        <v>151</v>
      </c>
      <c r="B157" s="91" t="s">
        <v>348</v>
      </c>
      <c r="C157" s="93" t="s">
        <v>161</v>
      </c>
      <c r="D157" s="98"/>
      <c r="E157" s="98"/>
      <c r="F157" s="96" t="s">
        <v>296</v>
      </c>
      <c r="G157" s="97"/>
      <c r="H157" s="97"/>
      <c r="I157" s="97"/>
      <c r="J157" s="91"/>
      <c r="L157" s="98"/>
      <c r="M157" s="98">
        <v>145</v>
      </c>
      <c r="N157" s="98"/>
      <c r="O157" s="98"/>
      <c r="P157" s="98"/>
      <c r="Q157" s="39" t="s">
        <v>282</v>
      </c>
      <c r="R157" s="5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50"/>
      <c r="AL157" s="50"/>
      <c r="AM157" s="50"/>
      <c r="AN157" s="50"/>
      <c r="AO157" s="53">
        <f>SUM(AI156:AO156)</f>
        <v>1</v>
      </c>
      <c r="AP157" s="51">
        <v>0</v>
      </c>
      <c r="AQ157" s="50"/>
      <c r="AR157" s="50"/>
      <c r="AS157" s="50"/>
      <c r="AT157" s="50"/>
      <c r="AU157" s="50"/>
      <c r="AV157" s="53">
        <f>SUM(AP156:AV156)</f>
        <v>-1</v>
      </c>
      <c r="AW157" s="50">
        <v>1</v>
      </c>
      <c r="AX157" s="50"/>
      <c r="AY157" s="50"/>
      <c r="AZ157" s="50"/>
      <c r="BA157" s="50"/>
      <c r="BB157" s="50"/>
      <c r="BC157" s="53">
        <f>SUM(AW156:BC156)</f>
        <v>0</v>
      </c>
      <c r="BD157" s="50">
        <v>0</v>
      </c>
      <c r="BE157" s="50"/>
      <c r="BF157" s="50"/>
      <c r="BG157" s="50"/>
      <c r="BH157" s="50"/>
      <c r="BI157" s="50"/>
      <c r="BJ157" s="53">
        <f>SUM(BD156:BJ156)</f>
        <v>2</v>
      </c>
      <c r="BK157" s="50">
        <v>0</v>
      </c>
      <c r="BL157" s="50"/>
      <c r="BM157" s="50"/>
      <c r="BN157" s="50"/>
      <c r="BO157" s="50"/>
      <c r="BP157" s="50"/>
      <c r="BQ157" s="53">
        <f>SUM(BK156:BQ156)</f>
        <v>3</v>
      </c>
      <c r="BR157" s="50">
        <v>0</v>
      </c>
      <c r="BS157" s="50"/>
      <c r="BT157" s="50"/>
      <c r="BU157" s="50"/>
      <c r="BV157" s="50"/>
      <c r="BW157" s="50"/>
      <c r="BY157" s="91"/>
      <c r="BZ157" s="98"/>
    </row>
    <row r="158" spans="1:78" ht="20.100000000000001" customHeight="1" x14ac:dyDescent="0.3">
      <c r="A158" s="13">
        <v>152</v>
      </c>
      <c r="B158" s="4" t="s">
        <v>348</v>
      </c>
      <c r="C158" s="69" t="s">
        <v>161</v>
      </c>
      <c r="F158" s="2">
        <v>92680186435</v>
      </c>
      <c r="H158" s="3"/>
      <c r="M158" s="1">
        <v>146</v>
      </c>
      <c r="Q158" s="41" t="s">
        <v>1</v>
      </c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 t="str">
        <f>IFERROR(VLOOKUP($F158,[2]원본!$D:$BX,AI$1,FALSE),"")</f>
        <v/>
      </c>
      <c r="AJ158" s="40" t="str">
        <f>IFERROR(VLOOKUP($F158,[2]원본!$D:$BX,AJ$1,FALSE),"")</f>
        <v/>
      </c>
      <c r="AK158" s="40" t="str">
        <f>IFERROR(VLOOKUP($F158,[2]원본!$D:$BX,AK$1,FALSE),"")</f>
        <v/>
      </c>
      <c r="AL158" s="40" t="str">
        <f>IFERROR(VLOOKUP($F158,[2]원본!$D:$BX,AL$1,FALSE),"")</f>
        <v/>
      </c>
      <c r="AM158" s="40" t="str">
        <f>IFERROR(VLOOKUP($F158,[2]원본!$D:$BX,AM$1,FALSE),"")</f>
        <v/>
      </c>
      <c r="AN158" s="40" t="str">
        <f>IFERROR(VLOOKUP($F158,[2]원본!$D:$BX,AN$1,FALSE),"")</f>
        <v/>
      </c>
      <c r="AO158" s="40" t="str">
        <f>IFERROR(VLOOKUP($F158,[2]원본!$D:$BX,AO$1,FALSE),"")</f>
        <v/>
      </c>
      <c r="AP158" s="40" t="str">
        <f>IFERROR(VLOOKUP($F158,[2]원본!$D:$BX,AP$1,FALSE),"")</f>
        <v/>
      </c>
      <c r="AQ158" s="40" t="str">
        <f>IFERROR(VLOOKUP($F158,[2]원본!$D:$BX,AQ$1,FALSE),"")</f>
        <v/>
      </c>
      <c r="AR158" s="40" t="str">
        <f>IFERROR(VLOOKUP($F158,[2]원본!$D:$BX,AR$1,FALSE),"")</f>
        <v/>
      </c>
      <c r="AS158" s="40" t="str">
        <f>IFERROR(VLOOKUP($F158,[2]원본!$D:$BX,AS$1,FALSE),"")</f>
        <v/>
      </c>
      <c r="AT158" s="40" t="str">
        <f>IFERROR(VLOOKUP($F158,[2]원본!$D:$BX,AT$1,FALSE),"")</f>
        <v/>
      </c>
      <c r="AU158" s="40" t="str">
        <f>IFERROR(VLOOKUP($F158,[2]원본!$D:$BX,AU$1,FALSE),"")</f>
        <v/>
      </c>
      <c r="AV158" s="40" t="str">
        <f>IFERROR(VLOOKUP($F158,[2]원본!$D:$BX,AV$1,FALSE),"")</f>
        <v/>
      </c>
      <c r="AW158" s="40" t="str">
        <f>IFERROR(VLOOKUP($F158,[2]원본!$D:$BX,AW$1,FALSE),"")</f>
        <v/>
      </c>
      <c r="AX158" s="40" t="str">
        <f>IFERROR(VLOOKUP($F158,[2]원본!$D:$BX,AX$1,FALSE),"")</f>
        <v/>
      </c>
      <c r="AY158" s="40" t="str">
        <f>IFERROR(VLOOKUP($F158,[2]원본!$D:$BX,AY$1,FALSE),"")</f>
        <v/>
      </c>
      <c r="AZ158" s="40" t="str">
        <f>IFERROR(VLOOKUP($F158,[2]원본!$D:$BX,AZ$1,FALSE),"")</f>
        <v/>
      </c>
      <c r="BA158" s="40" t="str">
        <f>IFERROR(VLOOKUP($F158,[2]원본!$D:$BX,BA$1,FALSE),"")</f>
        <v/>
      </c>
      <c r="BB158" s="40" t="str">
        <f>IFERROR(VLOOKUP($F158,[2]원본!$D:$BX,BB$1,FALSE),"")</f>
        <v/>
      </c>
      <c r="BC158" s="40" t="str">
        <f>IFERROR(VLOOKUP($F158,[2]원본!$D:$BX,BC$1,FALSE),"")</f>
        <v/>
      </c>
      <c r="BD158" s="40" t="str">
        <f>IFERROR(VLOOKUP($F158,[2]원본!$D:$BX,BD$1,FALSE),"")</f>
        <v/>
      </c>
      <c r="BE158" s="40" t="str">
        <f>IFERROR(VLOOKUP($F158,[2]원본!$D:$BX,BE$1,FALSE),"")</f>
        <v/>
      </c>
      <c r="BF158" s="40" t="str">
        <f>IFERROR(VLOOKUP($F158,[2]원본!$D:$BX,BF$1,FALSE),"")</f>
        <v/>
      </c>
      <c r="BG158" s="40" t="str">
        <f>IFERROR(VLOOKUP($F158,[2]원본!$D:$BX,BG$1,FALSE),"")</f>
        <v/>
      </c>
      <c r="BH158" s="40" t="str">
        <f>IFERROR(VLOOKUP($F158,[2]원본!$D:$BX,BH$1,FALSE),"")</f>
        <v/>
      </c>
      <c r="BI158" s="40" t="str">
        <f>IFERROR(VLOOKUP($F158,[2]원본!$D:$BX,BI$1,FALSE),"")</f>
        <v/>
      </c>
      <c r="BJ158" s="40" t="str">
        <f>IFERROR(VLOOKUP($F158,[2]원본!$D:$BX,BJ$1,FALSE),"")</f>
        <v/>
      </c>
      <c r="BK158" s="40" t="str">
        <f>IFERROR(VLOOKUP($F158,[2]원본!$D:$BX,BK$1,FALSE),"")</f>
        <v/>
      </c>
      <c r="BL158" s="40" t="str">
        <f>IFERROR(VLOOKUP($F158,[2]원본!$D:$BX,BL$1,FALSE),"")</f>
        <v/>
      </c>
      <c r="BM158" s="40" t="str">
        <f>IFERROR(VLOOKUP($F158,[2]원본!$D:$BX,BM$1,FALSE),"")</f>
        <v/>
      </c>
      <c r="BN158" s="40" t="str">
        <f>IFERROR(VLOOKUP($F158,[2]원본!$D:$BX,BN$1,FALSE),"")</f>
        <v/>
      </c>
      <c r="BO158" s="40" t="str">
        <f>IFERROR(VLOOKUP($F158,[2]원본!$D:$BX,BO$1,FALSE),"")</f>
        <v/>
      </c>
      <c r="BP158" s="40" t="str">
        <f>IFERROR(VLOOKUP($F158,[2]원본!$D:$BX,BP$1,FALSE),"")</f>
        <v/>
      </c>
      <c r="BQ158" s="40" t="str">
        <f>IFERROR(VLOOKUP($F158,[2]원본!$D:$BX,BQ$1,FALSE),"")</f>
        <v/>
      </c>
      <c r="BR158" s="40" t="str">
        <f>IFERROR(VLOOKUP($F158,[2]원본!$D:$BX,BR$1,FALSE),"")</f>
        <v/>
      </c>
      <c r="BS158" s="40" t="str">
        <f>IFERROR(VLOOKUP($F158,[2]원본!$D:$BX,BS$1,FALSE),"")</f>
        <v/>
      </c>
      <c r="BT158" s="40" t="str">
        <f>IFERROR(VLOOKUP($F158,[2]원본!$D:$BX,BT$1,FALSE),"")</f>
        <v/>
      </c>
      <c r="BU158" s="40" t="str">
        <f>IFERROR(VLOOKUP($F158,[2]원본!$D:$BX,BU$1,FALSE),"")</f>
        <v/>
      </c>
      <c r="BV158" s="40" t="str">
        <f>IFERROR(VLOOKUP($F158,#REF!,BV$1,FALSE),"")</f>
        <v/>
      </c>
      <c r="BW158" s="40"/>
      <c r="BX158" s="26">
        <f>(SUM(R158:BW158)*D156)-(SUM(R158:BW158)*E156)</f>
        <v>0</v>
      </c>
      <c r="BZ158" s="100" t="str">
        <f>IFERROR(VLOOKUP($F158,#REF!,BZ$1,FALSE),"")</f>
        <v/>
      </c>
    </row>
    <row r="159" spans="1:78" ht="20.100000000000001" customHeight="1" x14ac:dyDescent="0.3">
      <c r="A159" s="13">
        <v>153</v>
      </c>
      <c r="B159" s="4" t="s">
        <v>348</v>
      </c>
      <c r="C159" s="69" t="s">
        <v>161</v>
      </c>
      <c r="D159" s="82" t="s">
        <v>175</v>
      </c>
      <c r="F159" s="2">
        <v>92680186435</v>
      </c>
      <c r="G159" s="3" t="s">
        <v>146</v>
      </c>
      <c r="H159" s="3"/>
      <c r="J159" s="4" t="s">
        <v>98</v>
      </c>
      <c r="K159" s="62">
        <v>39400</v>
      </c>
      <c r="M159" s="1">
        <v>147</v>
      </c>
      <c r="Q159" s="7" t="s">
        <v>185</v>
      </c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>
        <v>145</v>
      </c>
      <c r="AE159" s="7">
        <v>119</v>
      </c>
      <c r="AF159" s="7"/>
      <c r="AG159" s="7">
        <v>130</v>
      </c>
      <c r="AH159" s="7">
        <v>129</v>
      </c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>
        <v>128</v>
      </c>
      <c r="AU159" s="7">
        <v>116</v>
      </c>
      <c r="AV159" s="7"/>
      <c r="AW159" s="7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2"/>
      <c r="BO159" s="22"/>
      <c r="BP159" s="22"/>
      <c r="BQ159" s="22"/>
      <c r="BR159" s="22"/>
      <c r="BS159" s="22"/>
      <c r="BT159" s="22"/>
      <c r="BU159" s="22"/>
      <c r="BV159" s="22"/>
      <c r="BW159" s="22"/>
    </row>
    <row r="160" spans="1:78" ht="20.100000000000001" customHeight="1" x14ac:dyDescent="0.3">
      <c r="A160" s="13">
        <v>154</v>
      </c>
      <c r="B160" s="91" t="s">
        <v>348</v>
      </c>
      <c r="C160" s="93" t="s">
        <v>161</v>
      </c>
      <c r="D160" s="94"/>
      <c r="E160" s="94"/>
      <c r="F160" s="96">
        <v>92680186435</v>
      </c>
      <c r="G160" s="97"/>
      <c r="H160" s="97"/>
      <c r="I160" s="97"/>
      <c r="J160" s="91" t="s">
        <v>99</v>
      </c>
      <c r="K160" s="5">
        <v>1000</v>
      </c>
      <c r="L160" s="98"/>
      <c r="M160" s="98">
        <v>148</v>
      </c>
      <c r="N160" s="98"/>
      <c r="O160" s="98"/>
      <c r="P160" s="98"/>
      <c r="Q160" s="7" t="s">
        <v>363</v>
      </c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>
        <v>81</v>
      </c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>
        <v>63</v>
      </c>
      <c r="AU160" s="7">
        <v>68</v>
      </c>
      <c r="AV160" s="7"/>
      <c r="AW160" s="7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2"/>
      <c r="BO160" s="22"/>
      <c r="BP160" s="22"/>
      <c r="BQ160" s="22"/>
      <c r="BR160" s="22"/>
      <c r="BS160" s="22"/>
      <c r="BT160" s="22"/>
      <c r="BU160" s="22"/>
      <c r="BV160" s="22"/>
      <c r="BW160" s="22"/>
      <c r="BY160" s="91"/>
      <c r="BZ160" s="98"/>
    </row>
    <row r="161" spans="1:78" ht="20.100000000000001" customHeight="1" x14ac:dyDescent="0.3">
      <c r="A161" s="13">
        <v>155</v>
      </c>
      <c r="B161" s="91" t="s">
        <v>348</v>
      </c>
      <c r="C161" s="93" t="s">
        <v>161</v>
      </c>
      <c r="D161" s="94"/>
      <c r="E161" s="94"/>
      <c r="F161" s="96">
        <v>92680186435</v>
      </c>
      <c r="G161" s="97"/>
      <c r="H161" s="97"/>
      <c r="I161" s="97"/>
      <c r="J161" s="91" t="s">
        <v>100</v>
      </c>
      <c r="K161" s="5">
        <v>400</v>
      </c>
      <c r="L161" s="98"/>
      <c r="M161" s="98">
        <v>149</v>
      </c>
      <c r="N161" s="98"/>
      <c r="O161" s="98"/>
      <c r="P161" s="98"/>
      <c r="Q161" s="7" t="s">
        <v>185</v>
      </c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>
        <v>139</v>
      </c>
      <c r="AG161" s="7" t="s">
        <v>32</v>
      </c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2"/>
      <c r="BO161" s="22"/>
      <c r="BP161" s="22"/>
      <c r="BQ161" s="22"/>
      <c r="BR161" s="22"/>
      <c r="BS161" s="22"/>
      <c r="BT161" s="22"/>
      <c r="BU161" s="22"/>
      <c r="BV161" s="22"/>
      <c r="BW161" s="22"/>
      <c r="BY161" s="91"/>
      <c r="BZ161" s="98"/>
    </row>
    <row r="162" spans="1:78" ht="20.100000000000001" customHeight="1" x14ac:dyDescent="0.3">
      <c r="A162" s="13">
        <v>156</v>
      </c>
      <c r="B162" s="4" t="s">
        <v>348</v>
      </c>
      <c r="C162" s="69" t="s">
        <v>161</v>
      </c>
      <c r="D162" s="20"/>
      <c r="E162" s="20"/>
      <c r="F162" s="2">
        <v>92680186435</v>
      </c>
      <c r="H162" s="3"/>
      <c r="J162" s="4" t="s">
        <v>101</v>
      </c>
      <c r="K162" s="5">
        <v>200</v>
      </c>
      <c r="M162" s="1">
        <v>150</v>
      </c>
      <c r="Q162" s="7" t="s">
        <v>185</v>
      </c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>
        <v>41</v>
      </c>
      <c r="AG162" s="7">
        <v>60</v>
      </c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2"/>
      <c r="BO162" s="22"/>
      <c r="BP162" s="22"/>
      <c r="BQ162" s="22"/>
      <c r="BR162" s="22"/>
      <c r="BS162" s="22"/>
      <c r="BT162" s="22"/>
      <c r="BU162" s="22"/>
      <c r="BV162" s="22"/>
      <c r="BW162" s="22"/>
    </row>
    <row r="163" spans="1:78" s="14" customFormat="1" ht="20.100000000000001" customHeight="1" thickBot="1" x14ac:dyDescent="0.35">
      <c r="A163" s="13">
        <v>157</v>
      </c>
      <c r="B163" s="15" t="s">
        <v>348</v>
      </c>
      <c r="C163" s="71" t="s">
        <v>161</v>
      </c>
      <c r="D163" s="21"/>
      <c r="E163" s="21"/>
      <c r="F163" s="16">
        <v>92680186435</v>
      </c>
      <c r="G163" s="17"/>
      <c r="H163" s="17"/>
      <c r="I163" s="17"/>
      <c r="J163" s="15" t="s">
        <v>102</v>
      </c>
      <c r="K163" s="18">
        <v>200</v>
      </c>
      <c r="M163" s="14">
        <v>151</v>
      </c>
      <c r="Q163" s="19" t="s">
        <v>185</v>
      </c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 t="s">
        <v>32</v>
      </c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  <c r="BI163" s="23"/>
      <c r="BJ163" s="23"/>
      <c r="BK163" s="23"/>
      <c r="BL163" s="23"/>
      <c r="BM163" s="23"/>
      <c r="BN163" s="23"/>
      <c r="BO163" s="23"/>
      <c r="BP163" s="23"/>
      <c r="BQ163" s="23"/>
      <c r="BR163" s="23"/>
      <c r="BS163" s="23"/>
      <c r="BT163" s="23"/>
      <c r="BU163" s="23"/>
      <c r="BV163" s="23"/>
      <c r="BW163" s="23"/>
      <c r="BX163" s="18"/>
      <c r="BY163" s="15"/>
    </row>
    <row r="164" spans="1:78" s="8" customFormat="1" ht="20.100000000000001" customHeight="1" x14ac:dyDescent="0.3">
      <c r="A164" s="13">
        <v>158</v>
      </c>
      <c r="B164" s="9" t="s">
        <v>348</v>
      </c>
      <c r="C164" s="70" t="s">
        <v>161</v>
      </c>
      <c r="D164" s="46">
        <f>VLOOKUP(F166,[1]SKU리스트!$H:$L,5,FALSE)</f>
        <v>7900</v>
      </c>
      <c r="E164" s="47">
        <f>VLOOKUP(F166,[1]SKU리스트!$H:$AK,30,FALSE)</f>
        <v>4419.090909090909</v>
      </c>
      <c r="F164" s="10" t="s">
        <v>210</v>
      </c>
      <c r="G164" s="11"/>
      <c r="H164" s="11"/>
      <c r="I164" s="11"/>
      <c r="J164" s="9"/>
      <c r="K164" s="12"/>
      <c r="M164" s="8">
        <v>152</v>
      </c>
      <c r="Q164" s="44" t="s">
        <v>125</v>
      </c>
      <c r="R164" s="54" t="s">
        <v>221</v>
      </c>
      <c r="S164" s="54" t="s">
        <v>221</v>
      </c>
      <c r="T164" s="54" t="s">
        <v>221</v>
      </c>
      <c r="U164" s="54" t="s">
        <v>221</v>
      </c>
      <c r="V164" s="54" t="s">
        <v>221</v>
      </c>
      <c r="W164" s="54" t="s">
        <v>221</v>
      </c>
      <c r="X164" s="54" t="s">
        <v>221</v>
      </c>
      <c r="Y164" s="54" t="s">
        <v>221</v>
      </c>
      <c r="Z164" s="54" t="s">
        <v>221</v>
      </c>
      <c r="AA164" s="54" t="s">
        <v>221</v>
      </c>
      <c r="AB164" s="54" t="s">
        <v>221</v>
      </c>
      <c r="AC164" s="54" t="s">
        <v>221</v>
      </c>
      <c r="AD164" s="54" t="s">
        <v>221</v>
      </c>
      <c r="AE164" s="54" t="s">
        <v>221</v>
      </c>
      <c r="AF164" s="54" t="s">
        <v>221</v>
      </c>
      <c r="AG164" s="54">
        <v>1</v>
      </c>
      <c r="AH164" s="54" t="s">
        <v>221</v>
      </c>
      <c r="AI164" s="54">
        <v>1</v>
      </c>
      <c r="AJ164" s="54" t="s">
        <v>221</v>
      </c>
      <c r="AK164" s="54" t="s">
        <v>221</v>
      </c>
      <c r="AL164" s="54" t="s">
        <v>221</v>
      </c>
      <c r="AM164" s="54">
        <v>4</v>
      </c>
      <c r="AN164" s="54">
        <v>4</v>
      </c>
      <c r="AO164" s="54">
        <v>3</v>
      </c>
      <c r="AP164" s="54" t="s">
        <v>221</v>
      </c>
      <c r="AQ164" s="54" t="s">
        <v>221</v>
      </c>
      <c r="AR164" s="54" t="s">
        <v>221</v>
      </c>
      <c r="AS164" s="54" t="s">
        <v>221</v>
      </c>
      <c r="AT164" s="54" t="s">
        <v>221</v>
      </c>
      <c r="AU164" s="54" t="s">
        <v>221</v>
      </c>
      <c r="AV164" s="54" t="s">
        <v>221</v>
      </c>
      <c r="AW164" s="54" t="s">
        <v>221</v>
      </c>
      <c r="AX164" s="54" t="s">
        <v>221</v>
      </c>
      <c r="AY164" s="54" t="s">
        <v>221</v>
      </c>
      <c r="AZ164" s="54">
        <v>1</v>
      </c>
      <c r="BA164" s="54" t="s">
        <v>221</v>
      </c>
      <c r="BB164" s="54" t="s">
        <v>221</v>
      </c>
      <c r="BC164" s="54" t="s">
        <v>221</v>
      </c>
      <c r="BD164" s="54" t="s">
        <v>221</v>
      </c>
      <c r="BE164" s="54" t="s">
        <v>221</v>
      </c>
      <c r="BF164" s="54" t="s">
        <v>221</v>
      </c>
      <c r="BG164" s="54" t="s">
        <v>221</v>
      </c>
      <c r="BH164" s="54" t="s">
        <v>221</v>
      </c>
      <c r="BI164" s="54" t="s">
        <v>221</v>
      </c>
      <c r="BJ164" s="54" t="s">
        <v>221</v>
      </c>
      <c r="BK164" s="54" t="s">
        <v>221</v>
      </c>
      <c r="BL164" s="54" t="s">
        <v>221</v>
      </c>
      <c r="BM164" s="54" t="s">
        <v>221</v>
      </c>
      <c r="BN164" s="54" t="s">
        <v>221</v>
      </c>
      <c r="BO164" s="54" t="s">
        <v>221</v>
      </c>
      <c r="BP164" s="54" t="s">
        <v>221</v>
      </c>
      <c r="BQ164" s="54" t="s">
        <v>221</v>
      </c>
      <c r="BR164" s="54" t="s">
        <v>221</v>
      </c>
      <c r="BS164" s="54" t="s">
        <v>221</v>
      </c>
      <c r="BT164" s="54" t="s">
        <v>221</v>
      </c>
      <c r="BU164" s="54"/>
      <c r="BV164" s="54"/>
      <c r="BW164" s="54"/>
      <c r="BX164" s="85">
        <f>VLOOKUP(F164,[1]SKU리스트!$H:$AH,27,FALSE)</f>
        <v>2929</v>
      </c>
      <c r="BY164" s="9"/>
    </row>
    <row r="165" spans="1:78" ht="20.100000000000001" customHeight="1" x14ac:dyDescent="0.3">
      <c r="A165" s="13">
        <v>159</v>
      </c>
      <c r="B165" s="91" t="s">
        <v>348</v>
      </c>
      <c r="C165" s="93" t="s">
        <v>161</v>
      </c>
      <c r="D165" s="98"/>
      <c r="E165" s="98"/>
      <c r="F165" s="96" t="s">
        <v>297</v>
      </c>
      <c r="G165" s="97"/>
      <c r="H165" s="97"/>
      <c r="I165" s="97"/>
      <c r="J165" s="91"/>
      <c r="L165" s="98"/>
      <c r="M165" s="98">
        <v>153</v>
      </c>
      <c r="N165" s="98"/>
      <c r="O165" s="98"/>
      <c r="P165" s="98"/>
      <c r="Q165" s="39" t="s">
        <v>282</v>
      </c>
      <c r="R165" s="5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50"/>
      <c r="AL165" s="50"/>
      <c r="AM165" s="50"/>
      <c r="AN165" s="50"/>
      <c r="AO165" s="53">
        <f>SUM(AI164:AO164)</f>
        <v>12</v>
      </c>
      <c r="AP165" s="51">
        <v>0</v>
      </c>
      <c r="AQ165" s="50"/>
      <c r="AR165" s="50"/>
      <c r="AS165" s="50"/>
      <c r="AT165" s="50"/>
      <c r="AU165" s="50"/>
      <c r="AV165" s="53">
        <f>SUM(AP164:AV164)</f>
        <v>0</v>
      </c>
      <c r="AW165" s="50">
        <v>0</v>
      </c>
      <c r="AX165" s="50"/>
      <c r="AY165" s="50"/>
      <c r="AZ165" s="50"/>
      <c r="BA165" s="50"/>
      <c r="BB165" s="50"/>
      <c r="BC165" s="53">
        <f>SUM(AW164:BC164)</f>
        <v>1</v>
      </c>
      <c r="BD165" s="50">
        <v>0</v>
      </c>
      <c r="BE165" s="50"/>
      <c r="BF165" s="50"/>
      <c r="BG165" s="50"/>
      <c r="BH165" s="50"/>
      <c r="BI165" s="50"/>
      <c r="BJ165" s="53">
        <f>SUM(BD164:BJ164)</f>
        <v>0</v>
      </c>
      <c r="BK165" s="50">
        <v>0</v>
      </c>
      <c r="BL165" s="50"/>
      <c r="BM165" s="50"/>
      <c r="BN165" s="50"/>
      <c r="BO165" s="50"/>
      <c r="BP165" s="50"/>
      <c r="BQ165" s="53">
        <f>SUM(BK164:BQ164)</f>
        <v>0</v>
      </c>
      <c r="BR165" s="50">
        <v>0</v>
      </c>
      <c r="BS165" s="50"/>
      <c r="BT165" s="50"/>
      <c r="BU165" s="50"/>
      <c r="BV165" s="50"/>
      <c r="BW165" s="50"/>
      <c r="BY165" s="91"/>
      <c r="BZ165" s="98"/>
    </row>
    <row r="166" spans="1:78" ht="20.100000000000001" customHeight="1" x14ac:dyDescent="0.3">
      <c r="A166" s="13">
        <v>160</v>
      </c>
      <c r="B166" s="91" t="s">
        <v>348</v>
      </c>
      <c r="C166" s="93" t="s">
        <v>161</v>
      </c>
      <c r="D166" s="91"/>
      <c r="E166" s="91"/>
      <c r="F166" s="96">
        <v>92680186415</v>
      </c>
      <c r="G166" s="97"/>
      <c r="H166" s="97"/>
      <c r="I166" s="97"/>
      <c r="J166" s="91"/>
      <c r="L166" s="98"/>
      <c r="M166" s="98">
        <v>154</v>
      </c>
      <c r="N166" s="98"/>
      <c r="O166" s="98"/>
      <c r="P166" s="98"/>
      <c r="Q166" s="41" t="s">
        <v>1</v>
      </c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 t="str">
        <f>IFERROR(VLOOKUP($F166,[2]원본!$D:$BX,AI$1,FALSE),"")</f>
        <v/>
      </c>
      <c r="AJ166" s="40" t="str">
        <f>IFERROR(VLOOKUP($F166,[2]원본!$D:$BX,AJ$1,FALSE),"")</f>
        <v/>
      </c>
      <c r="AK166" s="40" t="str">
        <f>IFERROR(VLOOKUP($F166,[2]원본!$D:$BX,AK$1,FALSE),"")</f>
        <v/>
      </c>
      <c r="AL166" s="40" t="str">
        <f>IFERROR(VLOOKUP($F166,[2]원본!$D:$BX,AL$1,FALSE),"")</f>
        <v/>
      </c>
      <c r="AM166" s="40" t="str">
        <f>IFERROR(VLOOKUP($F166,[2]원본!$D:$BX,AM$1,FALSE),"")</f>
        <v/>
      </c>
      <c r="AN166" s="40" t="str">
        <f>IFERROR(VLOOKUP($F166,[2]원본!$D:$BX,AN$1,FALSE),"")</f>
        <v/>
      </c>
      <c r="AO166" s="40" t="str">
        <f>IFERROR(VLOOKUP($F166,[2]원본!$D:$BX,AO$1,FALSE),"")</f>
        <v/>
      </c>
      <c r="AP166" s="40" t="str">
        <f>IFERROR(VLOOKUP($F166,[2]원본!$D:$BX,AP$1,FALSE),"")</f>
        <v/>
      </c>
      <c r="AQ166" s="40" t="str">
        <f>IFERROR(VLOOKUP($F166,[2]원본!$D:$BX,AQ$1,FALSE),"")</f>
        <v/>
      </c>
      <c r="AR166" s="40" t="str">
        <f>IFERROR(VLOOKUP($F166,[2]원본!$D:$BX,AR$1,FALSE),"")</f>
        <v/>
      </c>
      <c r="AS166" s="40" t="str">
        <f>IFERROR(VLOOKUP($F166,[2]원본!$D:$BX,AS$1,FALSE),"")</f>
        <v/>
      </c>
      <c r="AT166" s="40" t="str">
        <f>IFERROR(VLOOKUP($F166,[2]원본!$D:$BX,AT$1,FALSE),"")</f>
        <v/>
      </c>
      <c r="AU166" s="40" t="str">
        <f>IFERROR(VLOOKUP($F166,[2]원본!$D:$BX,AU$1,FALSE),"")</f>
        <v/>
      </c>
      <c r="AV166" s="40" t="str">
        <f>IFERROR(VLOOKUP($F166,[2]원본!$D:$BX,AV$1,FALSE),"")</f>
        <v/>
      </c>
      <c r="AW166" s="40" t="str">
        <f>IFERROR(VLOOKUP($F166,[2]원본!$D:$BX,AW$1,FALSE),"")</f>
        <v/>
      </c>
      <c r="AX166" s="40" t="str">
        <f>IFERROR(VLOOKUP($F166,[2]원본!$D:$BX,AX$1,FALSE),"")</f>
        <v/>
      </c>
      <c r="AY166" s="40" t="str">
        <f>IFERROR(VLOOKUP($F166,[2]원본!$D:$BX,AY$1,FALSE),"")</f>
        <v/>
      </c>
      <c r="AZ166" s="40" t="str">
        <f>IFERROR(VLOOKUP($F166,[2]원본!$D:$BX,AZ$1,FALSE),"")</f>
        <v/>
      </c>
      <c r="BA166" s="40" t="str">
        <f>IFERROR(VLOOKUP($F166,[2]원본!$D:$BX,BA$1,FALSE),"")</f>
        <v/>
      </c>
      <c r="BB166" s="40" t="str">
        <f>IFERROR(VLOOKUP($F166,[2]원본!$D:$BX,BB$1,FALSE),"")</f>
        <v/>
      </c>
      <c r="BC166" s="40" t="str">
        <f>IFERROR(VLOOKUP($F166,[2]원본!$D:$BX,BC$1,FALSE),"")</f>
        <v/>
      </c>
      <c r="BD166" s="40" t="str">
        <f>IFERROR(VLOOKUP($F166,[2]원본!$D:$BX,BD$1,FALSE),"")</f>
        <v/>
      </c>
      <c r="BE166" s="40" t="str">
        <f>IFERROR(VLOOKUP($F166,[2]원본!$D:$BX,BE$1,FALSE),"")</f>
        <v/>
      </c>
      <c r="BF166" s="40" t="str">
        <f>IFERROR(VLOOKUP($F166,[2]원본!$D:$BX,BF$1,FALSE),"")</f>
        <v/>
      </c>
      <c r="BG166" s="40" t="str">
        <f>IFERROR(VLOOKUP($F166,[2]원본!$D:$BX,BG$1,FALSE),"")</f>
        <v/>
      </c>
      <c r="BH166" s="40" t="str">
        <f>IFERROR(VLOOKUP($F166,[2]원본!$D:$BX,BH$1,FALSE),"")</f>
        <v/>
      </c>
      <c r="BI166" s="40" t="str">
        <f>IFERROR(VLOOKUP($F166,[2]원본!$D:$BX,BI$1,FALSE),"")</f>
        <v/>
      </c>
      <c r="BJ166" s="40" t="str">
        <f>IFERROR(VLOOKUP($F166,[2]원본!$D:$BX,BJ$1,FALSE),"")</f>
        <v/>
      </c>
      <c r="BK166" s="40" t="str">
        <f>IFERROR(VLOOKUP($F166,[2]원본!$D:$BX,BK$1,FALSE),"")</f>
        <v/>
      </c>
      <c r="BL166" s="40" t="str">
        <f>IFERROR(VLOOKUP($F166,[2]원본!$D:$BX,BL$1,FALSE),"")</f>
        <v/>
      </c>
      <c r="BM166" s="40" t="str">
        <f>IFERROR(VLOOKUP($F166,[2]원본!$D:$BX,BM$1,FALSE),"")</f>
        <v/>
      </c>
      <c r="BN166" s="40" t="str">
        <f>IFERROR(VLOOKUP($F166,[2]원본!$D:$BX,BN$1,FALSE),"")</f>
        <v/>
      </c>
      <c r="BO166" s="40" t="str">
        <f>IFERROR(VLOOKUP($F166,[2]원본!$D:$BX,BO$1,FALSE),"")</f>
        <v/>
      </c>
      <c r="BP166" s="40" t="str">
        <f>IFERROR(VLOOKUP($F166,[2]원본!$D:$BX,BP$1,FALSE),"")</f>
        <v/>
      </c>
      <c r="BQ166" s="40" t="str">
        <f>IFERROR(VLOOKUP($F166,[2]원본!$D:$BX,BQ$1,FALSE),"")</f>
        <v/>
      </c>
      <c r="BR166" s="40" t="str">
        <f>IFERROR(VLOOKUP($F166,[2]원본!$D:$BX,BR$1,FALSE),"")</f>
        <v/>
      </c>
      <c r="BS166" s="40" t="str">
        <f>IFERROR(VLOOKUP($F166,[2]원본!$D:$BX,BS$1,FALSE),"")</f>
        <v/>
      </c>
      <c r="BT166" s="40" t="str">
        <f>IFERROR(VLOOKUP($F166,[2]원본!$D:$BX,BT$1,FALSE),"")</f>
        <v/>
      </c>
      <c r="BU166" s="40" t="str">
        <f>IFERROR(VLOOKUP($F166,[2]원본!$D:$BX,BU$1,FALSE),"")</f>
        <v/>
      </c>
      <c r="BV166" s="40" t="str">
        <f>IFERROR(VLOOKUP($F166,#REF!,BV$1,FALSE),"")</f>
        <v/>
      </c>
      <c r="BW166" s="40"/>
      <c r="BX166" s="26">
        <f>(SUM(R166:BW166)*D164)-(SUM(R166:BW166)*E164)</f>
        <v>0</v>
      </c>
      <c r="BY166" s="91"/>
      <c r="BZ166" s="100" t="str">
        <f>IFERROR(VLOOKUP($F166,#REF!,BZ$1,FALSE),"")</f>
        <v/>
      </c>
    </row>
    <row r="167" spans="1:78" ht="20.100000000000001" customHeight="1" x14ac:dyDescent="0.3">
      <c r="A167" s="13">
        <v>161</v>
      </c>
      <c r="B167" s="91" t="s">
        <v>348</v>
      </c>
      <c r="C167" s="93" t="s">
        <v>161</v>
      </c>
      <c r="D167" s="95" t="s">
        <v>27</v>
      </c>
      <c r="E167" s="91"/>
      <c r="F167" s="96">
        <v>92680186415</v>
      </c>
      <c r="G167" s="97" t="s">
        <v>103</v>
      </c>
      <c r="H167" s="97"/>
      <c r="I167" s="97"/>
      <c r="J167" s="91" t="s">
        <v>98</v>
      </c>
      <c r="K167" s="62">
        <v>39400</v>
      </c>
      <c r="L167" s="98"/>
      <c r="M167" s="98">
        <v>155</v>
      </c>
      <c r="N167" s="98"/>
      <c r="O167" s="98"/>
      <c r="P167" s="98"/>
      <c r="Q167" s="7" t="s">
        <v>185</v>
      </c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 t="s">
        <v>36</v>
      </c>
      <c r="AI167" s="7"/>
      <c r="AJ167" s="7"/>
      <c r="AK167" s="7" t="s">
        <v>36</v>
      </c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22"/>
      <c r="AY167" s="22"/>
      <c r="AZ167" s="22"/>
      <c r="BA167" s="22"/>
      <c r="BB167" s="22"/>
      <c r="BC167" s="22"/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  <c r="BN167" s="22"/>
      <c r="BO167" s="22"/>
      <c r="BP167" s="22"/>
      <c r="BQ167" s="22"/>
      <c r="BR167" s="22"/>
      <c r="BS167" s="22"/>
      <c r="BT167" s="22"/>
      <c r="BU167" s="22"/>
      <c r="BV167" s="22"/>
      <c r="BW167" s="22"/>
      <c r="BY167" s="91"/>
      <c r="BZ167" s="98"/>
    </row>
    <row r="168" spans="1:78" ht="20.100000000000001" customHeight="1" x14ac:dyDescent="0.3">
      <c r="A168" s="13">
        <v>162</v>
      </c>
      <c r="B168" s="91" t="s">
        <v>348</v>
      </c>
      <c r="C168" s="93" t="s">
        <v>161</v>
      </c>
      <c r="D168" s="94"/>
      <c r="E168" s="94"/>
      <c r="F168" s="96">
        <v>92680186415</v>
      </c>
      <c r="G168" s="97"/>
      <c r="H168" s="97"/>
      <c r="I168" s="97"/>
      <c r="J168" s="91" t="s">
        <v>99</v>
      </c>
      <c r="K168" s="5">
        <v>1000</v>
      </c>
      <c r="L168" s="98"/>
      <c r="M168" s="98">
        <v>156</v>
      </c>
      <c r="N168" s="98"/>
      <c r="O168" s="98"/>
      <c r="P168" s="98"/>
      <c r="Q168" s="7" t="s">
        <v>185</v>
      </c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 t="s">
        <v>36</v>
      </c>
      <c r="AI168" s="7"/>
      <c r="AJ168" s="7"/>
      <c r="AK168" s="7" t="s">
        <v>36</v>
      </c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  <c r="BN168" s="22"/>
      <c r="BO168" s="22"/>
      <c r="BP168" s="22"/>
      <c r="BQ168" s="22"/>
      <c r="BR168" s="22"/>
      <c r="BS168" s="22"/>
      <c r="BT168" s="22"/>
      <c r="BU168" s="22"/>
      <c r="BV168" s="22"/>
      <c r="BW168" s="22"/>
      <c r="BY168" s="91"/>
      <c r="BZ168" s="98"/>
    </row>
    <row r="169" spans="1:78" s="14" customFormat="1" ht="20.100000000000001" customHeight="1" thickBot="1" x14ac:dyDescent="0.35">
      <c r="A169" s="13">
        <v>163</v>
      </c>
      <c r="B169" s="15" t="s">
        <v>348</v>
      </c>
      <c r="C169" s="71" t="s">
        <v>161</v>
      </c>
      <c r="D169" s="21"/>
      <c r="E169" s="21"/>
      <c r="F169" s="16">
        <v>92680186415</v>
      </c>
      <c r="G169" s="17"/>
      <c r="H169" s="17"/>
      <c r="I169" s="17"/>
      <c r="J169" s="15" t="s">
        <v>101</v>
      </c>
      <c r="K169" s="18">
        <v>200</v>
      </c>
      <c r="M169" s="14">
        <v>157</v>
      </c>
      <c r="Q169" s="19" t="s">
        <v>185</v>
      </c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 t="s">
        <v>36</v>
      </c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18"/>
      <c r="BY169" s="15"/>
    </row>
    <row r="170" spans="1:78" s="8" customFormat="1" ht="20.100000000000001" customHeight="1" x14ac:dyDescent="0.3">
      <c r="A170" s="13">
        <v>164</v>
      </c>
      <c r="B170" s="9" t="s">
        <v>348</v>
      </c>
      <c r="C170" s="70" t="s">
        <v>161</v>
      </c>
      <c r="D170" s="46">
        <f>VLOOKUP(F172,[1]SKU리스트!$H:$L,5,FALSE)</f>
        <v>7900</v>
      </c>
      <c r="E170" s="47">
        <f>VLOOKUP(F172,[1]SKU리스트!$H:$AK,30,FALSE)</f>
        <v>4419.090909090909</v>
      </c>
      <c r="F170" s="10" t="s">
        <v>211</v>
      </c>
      <c r="G170" s="11"/>
      <c r="H170" s="11"/>
      <c r="I170" s="11"/>
      <c r="J170" s="9"/>
      <c r="K170" s="12"/>
      <c r="M170" s="8">
        <v>158</v>
      </c>
      <c r="Q170" s="44" t="s">
        <v>125</v>
      </c>
      <c r="R170" s="54" t="s">
        <v>221</v>
      </c>
      <c r="S170" s="54" t="s">
        <v>221</v>
      </c>
      <c r="T170" s="54" t="s">
        <v>221</v>
      </c>
      <c r="U170" s="54" t="s">
        <v>221</v>
      </c>
      <c r="V170" s="54" t="s">
        <v>221</v>
      </c>
      <c r="W170" s="54">
        <v>1</v>
      </c>
      <c r="X170" s="54">
        <v>1</v>
      </c>
      <c r="Y170" s="54" t="s">
        <v>221</v>
      </c>
      <c r="Z170" s="54" t="s">
        <v>221</v>
      </c>
      <c r="AA170" s="54" t="s">
        <v>221</v>
      </c>
      <c r="AB170" s="54" t="s">
        <v>221</v>
      </c>
      <c r="AC170" s="54" t="s">
        <v>221</v>
      </c>
      <c r="AD170" s="54" t="s">
        <v>221</v>
      </c>
      <c r="AE170" s="54">
        <v>1</v>
      </c>
      <c r="AF170" s="54">
        <v>3</v>
      </c>
      <c r="AG170" s="54">
        <v>1</v>
      </c>
      <c r="AH170" s="54">
        <v>2</v>
      </c>
      <c r="AI170" s="54" t="s">
        <v>221</v>
      </c>
      <c r="AJ170" s="54" t="s">
        <v>221</v>
      </c>
      <c r="AK170" s="54">
        <v>1</v>
      </c>
      <c r="AL170" s="54" t="s">
        <v>221</v>
      </c>
      <c r="AM170" s="54">
        <v>2</v>
      </c>
      <c r="AN170" s="54" t="s">
        <v>221</v>
      </c>
      <c r="AO170" s="54" t="s">
        <v>221</v>
      </c>
      <c r="AP170" s="54" t="s">
        <v>221</v>
      </c>
      <c r="AQ170" s="54" t="s">
        <v>221</v>
      </c>
      <c r="AR170" s="54">
        <v>1</v>
      </c>
      <c r="AS170" s="54" t="s">
        <v>221</v>
      </c>
      <c r="AT170" s="54">
        <v>1</v>
      </c>
      <c r="AU170" s="54" t="s">
        <v>221</v>
      </c>
      <c r="AV170" s="54" t="s">
        <v>221</v>
      </c>
      <c r="AW170" s="54">
        <v>1</v>
      </c>
      <c r="AX170" s="54" t="s">
        <v>221</v>
      </c>
      <c r="AY170" s="54">
        <v>0</v>
      </c>
      <c r="AZ170" s="54">
        <v>1</v>
      </c>
      <c r="BA170" s="54" t="s">
        <v>221</v>
      </c>
      <c r="BB170" s="54">
        <v>1</v>
      </c>
      <c r="BC170" s="54" t="s">
        <v>221</v>
      </c>
      <c r="BD170" s="54" t="s">
        <v>221</v>
      </c>
      <c r="BE170" s="54" t="s">
        <v>221</v>
      </c>
      <c r="BF170" s="54" t="s">
        <v>221</v>
      </c>
      <c r="BG170" s="54" t="s">
        <v>221</v>
      </c>
      <c r="BH170" s="54" t="s">
        <v>221</v>
      </c>
      <c r="BI170" s="54" t="s">
        <v>221</v>
      </c>
      <c r="BJ170" s="54" t="s">
        <v>221</v>
      </c>
      <c r="BK170" s="54">
        <v>1</v>
      </c>
      <c r="BL170" s="54" t="s">
        <v>221</v>
      </c>
      <c r="BM170" s="54" t="s">
        <v>221</v>
      </c>
      <c r="BN170" s="54">
        <v>1</v>
      </c>
      <c r="BO170" s="54">
        <v>1</v>
      </c>
      <c r="BP170" s="54" t="s">
        <v>221</v>
      </c>
      <c r="BQ170" s="54" t="s">
        <v>221</v>
      </c>
      <c r="BR170" s="54">
        <v>1</v>
      </c>
      <c r="BS170" s="54">
        <v>1</v>
      </c>
      <c r="BT170" s="54">
        <v>2</v>
      </c>
      <c r="BU170" s="54"/>
      <c r="BV170" s="54"/>
      <c r="BW170" s="54"/>
      <c r="BX170" s="85">
        <f>VLOOKUP(F170,[1]SKU리스트!$H:$AH,27,FALSE)</f>
        <v>2163</v>
      </c>
      <c r="BY170" s="9"/>
    </row>
    <row r="171" spans="1:78" ht="20.100000000000001" customHeight="1" x14ac:dyDescent="0.3">
      <c r="A171" s="13">
        <v>165</v>
      </c>
      <c r="B171" s="4" t="s">
        <v>348</v>
      </c>
      <c r="C171" s="69" t="s">
        <v>161</v>
      </c>
      <c r="D171" s="1"/>
      <c r="E171" s="1"/>
      <c r="F171" s="2" t="s">
        <v>298</v>
      </c>
      <c r="H171" s="3"/>
      <c r="M171" s="1">
        <v>159</v>
      </c>
      <c r="Q171" s="39" t="s">
        <v>282</v>
      </c>
      <c r="R171" s="5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50"/>
      <c r="AL171" s="50"/>
      <c r="AM171" s="50"/>
      <c r="AN171" s="50"/>
      <c r="AO171" s="53">
        <f>SUM(AI170:AO170)</f>
        <v>3</v>
      </c>
      <c r="AP171" s="51">
        <v>0</v>
      </c>
      <c r="AQ171" s="50"/>
      <c r="AR171" s="50"/>
      <c r="AS171" s="50"/>
      <c r="AT171" s="50"/>
      <c r="AU171" s="50"/>
      <c r="AV171" s="53">
        <f>SUM(AP170:AV170)</f>
        <v>2</v>
      </c>
      <c r="AW171" s="50">
        <v>0</v>
      </c>
      <c r="AX171" s="50"/>
      <c r="AY171" s="50"/>
      <c r="AZ171" s="50"/>
      <c r="BA171" s="50"/>
      <c r="BB171" s="50"/>
      <c r="BC171" s="53">
        <f>SUM(AW170:BC170)</f>
        <v>3</v>
      </c>
      <c r="BD171" s="50">
        <v>1</v>
      </c>
      <c r="BE171" s="50"/>
      <c r="BF171" s="50"/>
      <c r="BG171" s="50"/>
      <c r="BH171" s="50"/>
      <c r="BI171" s="50"/>
      <c r="BJ171" s="53">
        <f>SUM(BD170:BJ170)</f>
        <v>0</v>
      </c>
      <c r="BK171" s="50">
        <v>2</v>
      </c>
      <c r="BL171" s="50"/>
      <c r="BM171" s="50"/>
      <c r="BN171" s="50"/>
      <c r="BO171" s="50"/>
      <c r="BP171" s="50"/>
      <c r="BQ171" s="53">
        <f>SUM(BK170:BQ170)</f>
        <v>3</v>
      </c>
      <c r="BR171" s="50">
        <v>0</v>
      </c>
      <c r="BS171" s="50"/>
      <c r="BT171" s="50"/>
      <c r="BU171" s="50"/>
      <c r="BV171" s="50"/>
      <c r="BW171" s="50"/>
    </row>
    <row r="172" spans="1:78" ht="20.100000000000001" customHeight="1" x14ac:dyDescent="0.3">
      <c r="A172" s="13">
        <v>166</v>
      </c>
      <c r="B172" s="4" t="s">
        <v>348</v>
      </c>
      <c r="C172" s="69" t="s">
        <v>161</v>
      </c>
      <c r="F172" s="2">
        <v>92680186297</v>
      </c>
      <c r="H172" s="3"/>
      <c r="M172" s="1">
        <v>160</v>
      </c>
      <c r="Q172" s="41" t="s">
        <v>1</v>
      </c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 t="str">
        <f>IFERROR(VLOOKUP($F172,[2]원본!$D:$BX,AI$1,FALSE),"")</f>
        <v/>
      </c>
      <c r="AJ172" s="40" t="str">
        <f>IFERROR(VLOOKUP($F172,[2]원본!$D:$BX,AJ$1,FALSE),"")</f>
        <v/>
      </c>
      <c r="AK172" s="40" t="str">
        <f>IFERROR(VLOOKUP($F172,[2]원본!$D:$BX,AK$1,FALSE),"")</f>
        <v/>
      </c>
      <c r="AL172" s="40" t="str">
        <f>IFERROR(VLOOKUP($F172,[2]원본!$D:$BX,AL$1,FALSE),"")</f>
        <v/>
      </c>
      <c r="AM172" s="40" t="str">
        <f>IFERROR(VLOOKUP($F172,[2]원본!$D:$BX,AM$1,FALSE),"")</f>
        <v/>
      </c>
      <c r="AN172" s="40" t="str">
        <f>IFERROR(VLOOKUP($F172,[2]원본!$D:$BX,AN$1,FALSE),"")</f>
        <v/>
      </c>
      <c r="AO172" s="40" t="str">
        <f>IFERROR(VLOOKUP($F172,[2]원본!$D:$BX,AO$1,FALSE),"")</f>
        <v/>
      </c>
      <c r="AP172" s="40" t="str">
        <f>IFERROR(VLOOKUP($F172,[2]원본!$D:$BX,AP$1,FALSE),"")</f>
        <v/>
      </c>
      <c r="AQ172" s="40" t="str">
        <f>IFERROR(VLOOKUP($F172,[2]원본!$D:$BX,AQ$1,FALSE),"")</f>
        <v/>
      </c>
      <c r="AR172" s="40" t="str">
        <f>IFERROR(VLOOKUP($F172,[2]원본!$D:$BX,AR$1,FALSE),"")</f>
        <v/>
      </c>
      <c r="AS172" s="40" t="str">
        <f>IFERROR(VLOOKUP($F172,[2]원본!$D:$BX,AS$1,FALSE),"")</f>
        <v/>
      </c>
      <c r="AT172" s="40" t="str">
        <f>IFERROR(VLOOKUP($F172,[2]원본!$D:$BX,AT$1,FALSE),"")</f>
        <v/>
      </c>
      <c r="AU172" s="40" t="str">
        <f>IFERROR(VLOOKUP($F172,[2]원본!$D:$BX,AU$1,FALSE),"")</f>
        <v/>
      </c>
      <c r="AV172" s="40" t="str">
        <f>IFERROR(VLOOKUP($F172,[2]원본!$D:$BX,AV$1,FALSE),"")</f>
        <v/>
      </c>
      <c r="AW172" s="40" t="str">
        <f>IFERROR(VLOOKUP($F172,[2]원본!$D:$BX,AW$1,FALSE),"")</f>
        <v/>
      </c>
      <c r="AX172" s="40" t="str">
        <f>IFERROR(VLOOKUP($F172,[2]원본!$D:$BX,AX$1,FALSE),"")</f>
        <v/>
      </c>
      <c r="AY172" s="40" t="str">
        <f>IFERROR(VLOOKUP($F172,[2]원본!$D:$BX,AY$1,FALSE),"")</f>
        <v/>
      </c>
      <c r="AZ172" s="40" t="str">
        <f>IFERROR(VLOOKUP($F172,[2]원본!$D:$BX,AZ$1,FALSE),"")</f>
        <v/>
      </c>
      <c r="BA172" s="40" t="str">
        <f>IFERROR(VLOOKUP($F172,[2]원본!$D:$BX,BA$1,FALSE),"")</f>
        <v/>
      </c>
      <c r="BB172" s="40" t="str">
        <f>IFERROR(VLOOKUP($F172,[2]원본!$D:$BX,BB$1,FALSE),"")</f>
        <v/>
      </c>
      <c r="BC172" s="40" t="str">
        <f>IFERROR(VLOOKUP($F172,[2]원본!$D:$BX,BC$1,FALSE),"")</f>
        <v/>
      </c>
      <c r="BD172" s="40" t="str">
        <f>IFERROR(VLOOKUP($F172,[2]원본!$D:$BX,BD$1,FALSE),"")</f>
        <v/>
      </c>
      <c r="BE172" s="40" t="str">
        <f>IFERROR(VLOOKUP($F172,[2]원본!$D:$BX,BE$1,FALSE),"")</f>
        <v/>
      </c>
      <c r="BF172" s="40" t="str">
        <f>IFERROR(VLOOKUP($F172,[2]원본!$D:$BX,BF$1,FALSE),"")</f>
        <v/>
      </c>
      <c r="BG172" s="40" t="str">
        <f>IFERROR(VLOOKUP($F172,[2]원본!$D:$BX,BG$1,FALSE),"")</f>
        <v/>
      </c>
      <c r="BH172" s="40" t="str">
        <f>IFERROR(VLOOKUP($F172,[2]원본!$D:$BX,BH$1,FALSE),"")</f>
        <v/>
      </c>
      <c r="BI172" s="40" t="str">
        <f>IFERROR(VLOOKUP($F172,[2]원본!$D:$BX,BI$1,FALSE),"")</f>
        <v/>
      </c>
      <c r="BJ172" s="40" t="str">
        <f>IFERROR(VLOOKUP($F172,[2]원본!$D:$BX,BJ$1,FALSE),"")</f>
        <v/>
      </c>
      <c r="BK172" s="40" t="str">
        <f>IFERROR(VLOOKUP($F172,[2]원본!$D:$BX,BK$1,FALSE),"")</f>
        <v/>
      </c>
      <c r="BL172" s="40" t="str">
        <f>IFERROR(VLOOKUP($F172,[2]원본!$D:$BX,BL$1,FALSE),"")</f>
        <v/>
      </c>
      <c r="BM172" s="40" t="str">
        <f>IFERROR(VLOOKUP($F172,[2]원본!$D:$BX,BM$1,FALSE),"")</f>
        <v/>
      </c>
      <c r="BN172" s="40" t="str">
        <f>IFERROR(VLOOKUP($F172,[2]원본!$D:$BX,BN$1,FALSE),"")</f>
        <v/>
      </c>
      <c r="BO172" s="40" t="str">
        <f>IFERROR(VLOOKUP($F172,[2]원본!$D:$BX,BO$1,FALSE),"")</f>
        <v/>
      </c>
      <c r="BP172" s="40" t="str">
        <f>IFERROR(VLOOKUP($F172,[2]원본!$D:$BX,BP$1,FALSE),"")</f>
        <v/>
      </c>
      <c r="BQ172" s="40" t="str">
        <f>IFERROR(VLOOKUP($F172,[2]원본!$D:$BX,BQ$1,FALSE),"")</f>
        <v/>
      </c>
      <c r="BR172" s="40" t="str">
        <f>IFERROR(VLOOKUP($F172,[2]원본!$D:$BX,BR$1,FALSE),"")</f>
        <v/>
      </c>
      <c r="BS172" s="40" t="str">
        <f>IFERROR(VLOOKUP($F172,[2]원본!$D:$BX,BS$1,FALSE),"")</f>
        <v/>
      </c>
      <c r="BT172" s="40" t="str">
        <f>IFERROR(VLOOKUP($F172,[2]원본!$D:$BX,BT$1,FALSE),"")</f>
        <v/>
      </c>
      <c r="BU172" s="40" t="str">
        <f>IFERROR(VLOOKUP($F172,[2]원본!$D:$BX,BU$1,FALSE),"")</f>
        <v/>
      </c>
      <c r="BV172" s="40" t="str">
        <f>IFERROR(VLOOKUP($F172,#REF!,BV$1,FALSE),"")</f>
        <v/>
      </c>
      <c r="BW172" s="40"/>
      <c r="BX172" s="26">
        <f>(SUM(R172:BW172)*D170)-(SUM(R172:BW172)*E170)</f>
        <v>0</v>
      </c>
      <c r="BZ172" s="100" t="str">
        <f>IFERROR(VLOOKUP($F172,#REF!,BZ$1,FALSE),"")</f>
        <v/>
      </c>
    </row>
    <row r="173" spans="1:78" ht="20.100000000000001" customHeight="1" x14ac:dyDescent="0.3">
      <c r="A173" s="13">
        <v>167</v>
      </c>
      <c r="B173" s="91" t="s">
        <v>348</v>
      </c>
      <c r="C173" s="93" t="s">
        <v>161</v>
      </c>
      <c r="D173" s="95" t="s">
        <v>176</v>
      </c>
      <c r="E173" s="94"/>
      <c r="F173" s="96">
        <v>92680186297</v>
      </c>
      <c r="G173" s="97" t="s">
        <v>147</v>
      </c>
      <c r="H173" s="97"/>
      <c r="I173" s="97"/>
      <c r="J173" s="91" t="s">
        <v>28</v>
      </c>
      <c r="K173" s="62">
        <v>56500</v>
      </c>
      <c r="L173" s="98"/>
      <c r="M173" s="98">
        <v>161</v>
      </c>
      <c r="N173" s="98"/>
      <c r="O173" s="98"/>
      <c r="P173" s="98"/>
      <c r="Q173" s="7" t="s">
        <v>363</v>
      </c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>
        <v>35</v>
      </c>
      <c r="AG173" s="7">
        <v>9</v>
      </c>
      <c r="AH173" s="7"/>
      <c r="AI173" s="7"/>
      <c r="AJ173" s="7"/>
      <c r="AK173" s="7">
        <v>42</v>
      </c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22"/>
      <c r="AY173" s="22"/>
      <c r="AZ173" s="22"/>
      <c r="BA173" s="22"/>
      <c r="BB173" s="22"/>
      <c r="BC173" s="22"/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  <c r="BN173" s="22"/>
      <c r="BO173" s="22"/>
      <c r="BP173" s="22"/>
      <c r="BQ173" s="22"/>
      <c r="BR173" s="22"/>
      <c r="BS173" s="22"/>
      <c r="BT173" s="22"/>
      <c r="BU173" s="22"/>
      <c r="BV173" s="22"/>
      <c r="BW173" s="22"/>
      <c r="BY173" s="91"/>
      <c r="BZ173" s="98"/>
    </row>
    <row r="174" spans="1:78" ht="20.100000000000001" customHeight="1" x14ac:dyDescent="0.3">
      <c r="A174" s="13">
        <v>168</v>
      </c>
      <c r="B174" s="91" t="s">
        <v>348</v>
      </c>
      <c r="C174" s="93" t="s">
        <v>161</v>
      </c>
      <c r="D174" s="91"/>
      <c r="E174" s="91"/>
      <c r="F174" s="96">
        <v>92680186297</v>
      </c>
      <c r="G174" s="97"/>
      <c r="H174" s="97"/>
      <c r="I174" s="97"/>
      <c r="J174" s="91" t="s">
        <v>104</v>
      </c>
      <c r="K174" s="62">
        <v>29400</v>
      </c>
      <c r="L174" s="98"/>
      <c r="M174" s="98">
        <v>162</v>
      </c>
      <c r="N174" s="98"/>
      <c r="O174" s="98"/>
      <c r="P174" s="98"/>
      <c r="Q174" s="7" t="s">
        <v>363</v>
      </c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>
        <v>39</v>
      </c>
      <c r="AG174" s="7">
        <v>13</v>
      </c>
      <c r="AH174" s="7">
        <v>18</v>
      </c>
      <c r="AI174" s="7"/>
      <c r="AJ174" s="7"/>
      <c r="AK174" s="7">
        <v>37</v>
      </c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2"/>
      <c r="BO174" s="22"/>
      <c r="BP174" s="22"/>
      <c r="BQ174" s="22"/>
      <c r="BR174" s="22"/>
      <c r="BS174" s="22"/>
      <c r="BT174" s="22"/>
      <c r="BU174" s="22"/>
      <c r="BV174" s="22"/>
      <c r="BW174" s="22"/>
      <c r="BY174" s="91"/>
      <c r="BZ174" s="98"/>
    </row>
    <row r="175" spans="1:78" ht="20.100000000000001" customHeight="1" x14ac:dyDescent="0.3">
      <c r="A175" s="13">
        <v>169</v>
      </c>
      <c r="B175" s="4" t="s">
        <v>348</v>
      </c>
      <c r="C175" s="69" t="s">
        <v>161</v>
      </c>
      <c r="D175" s="20"/>
      <c r="E175" s="20"/>
      <c r="F175" s="2">
        <v>92680186297</v>
      </c>
      <c r="H175" s="3"/>
      <c r="J175" s="4" t="s">
        <v>105</v>
      </c>
      <c r="K175" s="62">
        <v>22700</v>
      </c>
      <c r="M175" s="1">
        <v>163</v>
      </c>
      <c r="Q175" s="7" t="s">
        <v>363</v>
      </c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>
        <v>43</v>
      </c>
      <c r="AH175" s="7">
        <v>278</v>
      </c>
      <c r="AI175" s="7"/>
      <c r="AJ175" s="7"/>
      <c r="AK175" s="7">
        <v>51</v>
      </c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  <c r="BN175" s="22"/>
      <c r="BO175" s="22"/>
      <c r="BP175" s="22"/>
      <c r="BQ175" s="22"/>
      <c r="BR175" s="22"/>
      <c r="BS175" s="22"/>
      <c r="BT175" s="22"/>
      <c r="BU175" s="22"/>
      <c r="BV175" s="22"/>
      <c r="BW175" s="22"/>
    </row>
    <row r="176" spans="1:78" ht="20.100000000000001" customHeight="1" x14ac:dyDescent="0.3">
      <c r="A176" s="13">
        <v>170</v>
      </c>
      <c r="B176" s="91" t="s">
        <v>348</v>
      </c>
      <c r="C176" s="93" t="s">
        <v>161</v>
      </c>
      <c r="D176" s="94"/>
      <c r="E176" s="94"/>
      <c r="F176" s="96">
        <v>92680186297</v>
      </c>
      <c r="G176" s="97"/>
      <c r="H176" s="97"/>
      <c r="I176" s="97"/>
      <c r="J176" s="91" t="s">
        <v>106</v>
      </c>
      <c r="K176" s="5">
        <v>900</v>
      </c>
      <c r="L176" s="98"/>
      <c r="M176" s="98">
        <v>164</v>
      </c>
      <c r="N176" s="98"/>
      <c r="O176" s="98"/>
      <c r="P176" s="98"/>
      <c r="Q176" s="7" t="s">
        <v>185</v>
      </c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  <c r="BN176" s="22"/>
      <c r="BO176" s="22"/>
      <c r="BP176" s="22"/>
      <c r="BQ176" s="22"/>
      <c r="BR176" s="22"/>
      <c r="BS176" s="22"/>
      <c r="BT176" s="22"/>
      <c r="BU176" s="22"/>
      <c r="BV176" s="22"/>
      <c r="BW176" s="22"/>
      <c r="BY176" s="91"/>
      <c r="BZ176" s="98"/>
    </row>
    <row r="177" spans="1:78" s="14" customFormat="1" ht="20.100000000000001" customHeight="1" thickBot="1" x14ac:dyDescent="0.35">
      <c r="A177" s="13">
        <v>171</v>
      </c>
      <c r="B177" s="15" t="s">
        <v>348</v>
      </c>
      <c r="C177" s="71" t="s">
        <v>161</v>
      </c>
      <c r="D177" s="21"/>
      <c r="E177" s="21"/>
      <c r="F177" s="16">
        <v>92680186297</v>
      </c>
      <c r="G177" s="17"/>
      <c r="H177" s="17"/>
      <c r="I177" s="17"/>
      <c r="J177" s="15" t="s">
        <v>107</v>
      </c>
      <c r="K177" s="18">
        <v>700</v>
      </c>
      <c r="M177" s="14">
        <v>165</v>
      </c>
      <c r="Q177" s="19" t="s">
        <v>185</v>
      </c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>
        <v>54</v>
      </c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18"/>
      <c r="BY177" s="15"/>
    </row>
    <row r="178" spans="1:78" s="8" customFormat="1" ht="20.100000000000001" customHeight="1" x14ac:dyDescent="0.3">
      <c r="A178" s="13">
        <v>172</v>
      </c>
      <c r="B178" s="9" t="s">
        <v>348</v>
      </c>
      <c r="C178" s="70" t="s">
        <v>161</v>
      </c>
      <c r="D178" s="46">
        <f>VLOOKUP(F180,[1]SKU리스트!$H:$L,5,FALSE)</f>
        <v>7900</v>
      </c>
      <c r="E178" s="47">
        <f>VLOOKUP(F180,[1]SKU리스트!$H:$AK,30,FALSE)</f>
        <v>4419.090909090909</v>
      </c>
      <c r="F178" s="10" t="s">
        <v>212</v>
      </c>
      <c r="G178" s="11"/>
      <c r="H178" s="11"/>
      <c r="I178" s="11"/>
      <c r="J178" s="9"/>
      <c r="K178" s="12"/>
      <c r="M178" s="8">
        <v>166</v>
      </c>
      <c r="Q178" s="44" t="s">
        <v>125</v>
      </c>
      <c r="R178" s="54" t="s">
        <v>221</v>
      </c>
      <c r="S178" s="54" t="s">
        <v>221</v>
      </c>
      <c r="T178" s="54" t="s">
        <v>221</v>
      </c>
      <c r="U178" s="54" t="s">
        <v>221</v>
      </c>
      <c r="V178" s="54" t="s">
        <v>221</v>
      </c>
      <c r="W178" s="54" t="s">
        <v>221</v>
      </c>
      <c r="X178" s="54" t="s">
        <v>221</v>
      </c>
      <c r="Y178" s="54">
        <v>1</v>
      </c>
      <c r="Z178" s="54" t="s">
        <v>221</v>
      </c>
      <c r="AA178" s="54" t="s">
        <v>221</v>
      </c>
      <c r="AB178" s="54" t="s">
        <v>221</v>
      </c>
      <c r="AC178" s="54" t="s">
        <v>221</v>
      </c>
      <c r="AD178" s="54">
        <v>2</v>
      </c>
      <c r="AE178" s="54" t="s">
        <v>221</v>
      </c>
      <c r="AF178" s="54">
        <v>1</v>
      </c>
      <c r="AG178" s="54">
        <v>5</v>
      </c>
      <c r="AH178" s="54" t="s">
        <v>221</v>
      </c>
      <c r="AI178" s="54">
        <v>1</v>
      </c>
      <c r="AJ178" s="54">
        <v>1</v>
      </c>
      <c r="AK178" s="54" t="s">
        <v>221</v>
      </c>
      <c r="AL178" s="54">
        <v>1</v>
      </c>
      <c r="AM178" s="54">
        <v>4</v>
      </c>
      <c r="AN178" s="54">
        <v>5</v>
      </c>
      <c r="AO178" s="54" t="s">
        <v>221</v>
      </c>
      <c r="AP178" s="54" t="s">
        <v>221</v>
      </c>
      <c r="AQ178" s="54" t="s">
        <v>221</v>
      </c>
      <c r="AR178" s="54" t="s">
        <v>221</v>
      </c>
      <c r="AS178" s="54" t="s">
        <v>221</v>
      </c>
      <c r="AT178" s="54" t="s">
        <v>221</v>
      </c>
      <c r="AU178" s="54">
        <v>2</v>
      </c>
      <c r="AV178" s="54">
        <v>1</v>
      </c>
      <c r="AW178" s="54">
        <v>3</v>
      </c>
      <c r="AX178" s="54" t="s">
        <v>221</v>
      </c>
      <c r="AY178" s="54">
        <v>2</v>
      </c>
      <c r="AZ178" s="54">
        <v>1</v>
      </c>
      <c r="BA178" s="54">
        <v>2</v>
      </c>
      <c r="BB178" s="54" t="s">
        <v>221</v>
      </c>
      <c r="BC178" s="54" t="s">
        <v>221</v>
      </c>
      <c r="BD178" s="54" t="s">
        <v>221</v>
      </c>
      <c r="BE178" s="54">
        <v>1</v>
      </c>
      <c r="BF178" s="54">
        <v>1</v>
      </c>
      <c r="BG178" s="54" t="s">
        <v>221</v>
      </c>
      <c r="BH178" s="54">
        <v>1</v>
      </c>
      <c r="BI178" s="54" t="s">
        <v>221</v>
      </c>
      <c r="BJ178" s="54">
        <v>1</v>
      </c>
      <c r="BK178" s="54">
        <v>1</v>
      </c>
      <c r="BL178" s="54" t="s">
        <v>221</v>
      </c>
      <c r="BM178" s="54">
        <v>2</v>
      </c>
      <c r="BN178" s="54" t="s">
        <v>221</v>
      </c>
      <c r="BO178" s="54">
        <v>1</v>
      </c>
      <c r="BP178" s="54" t="s">
        <v>221</v>
      </c>
      <c r="BQ178" s="54">
        <v>-1</v>
      </c>
      <c r="BR178" s="54" t="s">
        <v>221</v>
      </c>
      <c r="BS178" s="54" t="s">
        <v>221</v>
      </c>
      <c r="BT178" s="54">
        <v>2</v>
      </c>
      <c r="BU178" s="54"/>
      <c r="BV178" s="54"/>
      <c r="BW178" s="54"/>
      <c r="BX178" s="85">
        <f>VLOOKUP(F178,[1]SKU리스트!$H:$AH,27,FALSE)</f>
        <v>12035</v>
      </c>
      <c r="BY178" s="9"/>
    </row>
    <row r="179" spans="1:78" ht="20.100000000000001" customHeight="1" x14ac:dyDescent="0.3">
      <c r="A179" s="13">
        <v>173</v>
      </c>
      <c r="B179" s="91" t="s">
        <v>348</v>
      </c>
      <c r="C179" s="93" t="s">
        <v>161</v>
      </c>
      <c r="D179" s="98"/>
      <c r="E179" s="98"/>
      <c r="F179" s="96" t="s">
        <v>299</v>
      </c>
      <c r="G179" s="97"/>
      <c r="H179" s="97"/>
      <c r="I179" s="97"/>
      <c r="J179" s="91"/>
      <c r="L179" s="98"/>
      <c r="M179" s="98">
        <v>167</v>
      </c>
      <c r="N179" s="98"/>
      <c r="O179" s="98"/>
      <c r="P179" s="98"/>
      <c r="Q179" s="39" t="s">
        <v>282</v>
      </c>
      <c r="R179" s="5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50"/>
      <c r="AL179" s="50"/>
      <c r="AM179" s="50"/>
      <c r="AN179" s="50"/>
      <c r="AO179" s="53">
        <f>SUM(AI178:AO178)</f>
        <v>12</v>
      </c>
      <c r="AP179" s="51">
        <v>6</v>
      </c>
      <c r="AQ179" s="50"/>
      <c r="AR179" s="50"/>
      <c r="AS179" s="50"/>
      <c r="AT179" s="50"/>
      <c r="AU179" s="50"/>
      <c r="AV179" s="53">
        <f>SUM(AP178:AV178)</f>
        <v>3</v>
      </c>
      <c r="AW179" s="50">
        <v>2</v>
      </c>
      <c r="AX179" s="50"/>
      <c r="AY179" s="50"/>
      <c r="AZ179" s="50"/>
      <c r="BA179" s="50"/>
      <c r="BB179" s="50"/>
      <c r="BC179" s="53">
        <f>SUM(AW178:BC178)</f>
        <v>8</v>
      </c>
      <c r="BD179" s="50">
        <v>5</v>
      </c>
      <c r="BE179" s="50"/>
      <c r="BF179" s="50"/>
      <c r="BG179" s="50"/>
      <c r="BH179" s="50"/>
      <c r="BI179" s="50"/>
      <c r="BJ179" s="53">
        <f>SUM(BD178:BJ178)</f>
        <v>4</v>
      </c>
      <c r="BK179" s="50">
        <v>2</v>
      </c>
      <c r="BL179" s="50"/>
      <c r="BM179" s="50"/>
      <c r="BN179" s="50"/>
      <c r="BO179" s="50"/>
      <c r="BP179" s="50"/>
      <c r="BQ179" s="53">
        <f>SUM(BK178:BQ178)</f>
        <v>3</v>
      </c>
      <c r="BR179" s="50">
        <v>0</v>
      </c>
      <c r="BS179" s="50"/>
      <c r="BT179" s="50"/>
      <c r="BU179" s="50"/>
      <c r="BV179" s="50"/>
      <c r="BW179" s="50"/>
      <c r="BY179" s="91"/>
      <c r="BZ179" s="98"/>
    </row>
    <row r="180" spans="1:78" ht="20.100000000000001" customHeight="1" x14ac:dyDescent="0.3">
      <c r="A180" s="13">
        <v>174</v>
      </c>
      <c r="B180" s="91" t="s">
        <v>348</v>
      </c>
      <c r="C180" s="93" t="s">
        <v>161</v>
      </c>
      <c r="D180" s="91"/>
      <c r="E180" s="91"/>
      <c r="F180" s="96">
        <v>92679069452</v>
      </c>
      <c r="G180" s="97"/>
      <c r="H180" s="97"/>
      <c r="I180" s="97"/>
      <c r="J180" s="91"/>
      <c r="L180" s="98"/>
      <c r="M180" s="98">
        <v>168</v>
      </c>
      <c r="N180" s="98"/>
      <c r="O180" s="98"/>
      <c r="P180" s="98"/>
      <c r="Q180" s="41" t="s">
        <v>1</v>
      </c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 t="str">
        <f>IFERROR(VLOOKUP($F180,[2]원본!$D:$BX,AI$1,FALSE),"")</f>
        <v/>
      </c>
      <c r="AJ180" s="40" t="str">
        <f>IFERROR(VLOOKUP($F180,[2]원본!$D:$BX,AJ$1,FALSE),"")</f>
        <v/>
      </c>
      <c r="AK180" s="40" t="str">
        <f>IFERROR(VLOOKUP($F180,[2]원본!$D:$BX,AK$1,FALSE),"")</f>
        <v/>
      </c>
      <c r="AL180" s="40" t="str">
        <f>IFERROR(VLOOKUP($F180,[2]원본!$D:$BX,AL$1,FALSE),"")</f>
        <v/>
      </c>
      <c r="AM180" s="40" t="str">
        <f>IFERROR(VLOOKUP($F180,[2]원본!$D:$BX,AM$1,FALSE),"")</f>
        <v/>
      </c>
      <c r="AN180" s="40" t="str">
        <f>IFERROR(VLOOKUP($F180,[2]원본!$D:$BX,AN$1,FALSE),"")</f>
        <v/>
      </c>
      <c r="AO180" s="40" t="str">
        <f>IFERROR(VLOOKUP($F180,[2]원본!$D:$BX,AO$1,FALSE),"")</f>
        <v/>
      </c>
      <c r="AP180" s="40" t="str">
        <f>IFERROR(VLOOKUP($F180,[2]원본!$D:$BX,AP$1,FALSE),"")</f>
        <v/>
      </c>
      <c r="AQ180" s="40" t="str">
        <f>IFERROR(VLOOKUP($F180,[2]원본!$D:$BX,AQ$1,FALSE),"")</f>
        <v/>
      </c>
      <c r="AR180" s="40" t="str">
        <f>IFERROR(VLOOKUP($F180,[2]원본!$D:$BX,AR$1,FALSE),"")</f>
        <v/>
      </c>
      <c r="AS180" s="40" t="str">
        <f>IFERROR(VLOOKUP($F180,[2]원본!$D:$BX,AS$1,FALSE),"")</f>
        <v/>
      </c>
      <c r="AT180" s="40" t="str">
        <f>IFERROR(VLOOKUP($F180,[2]원본!$D:$BX,AT$1,FALSE),"")</f>
        <v/>
      </c>
      <c r="AU180" s="40" t="str">
        <f>IFERROR(VLOOKUP($F180,[2]원본!$D:$BX,AU$1,FALSE),"")</f>
        <v/>
      </c>
      <c r="AV180" s="40" t="str">
        <f>IFERROR(VLOOKUP($F180,[2]원본!$D:$BX,AV$1,FALSE),"")</f>
        <v/>
      </c>
      <c r="AW180" s="40" t="str">
        <f>IFERROR(VLOOKUP($F180,[2]원본!$D:$BX,AW$1,FALSE),"")</f>
        <v/>
      </c>
      <c r="AX180" s="40" t="str">
        <f>IFERROR(VLOOKUP($F180,[2]원본!$D:$BX,AX$1,FALSE),"")</f>
        <v/>
      </c>
      <c r="AY180" s="40" t="str">
        <f>IFERROR(VLOOKUP($F180,[2]원본!$D:$BX,AY$1,FALSE),"")</f>
        <v/>
      </c>
      <c r="AZ180" s="40" t="str">
        <f>IFERROR(VLOOKUP($F180,[2]원본!$D:$BX,AZ$1,FALSE),"")</f>
        <v/>
      </c>
      <c r="BA180" s="40" t="str">
        <f>IFERROR(VLOOKUP($F180,[2]원본!$D:$BX,BA$1,FALSE),"")</f>
        <v/>
      </c>
      <c r="BB180" s="40" t="str">
        <f>IFERROR(VLOOKUP($F180,[2]원본!$D:$BX,BB$1,FALSE),"")</f>
        <v/>
      </c>
      <c r="BC180" s="40" t="str">
        <f>IFERROR(VLOOKUP($F180,[2]원본!$D:$BX,BC$1,FALSE),"")</f>
        <v/>
      </c>
      <c r="BD180" s="40" t="str">
        <f>IFERROR(VLOOKUP($F180,[2]원본!$D:$BX,BD$1,FALSE),"")</f>
        <v/>
      </c>
      <c r="BE180" s="40" t="str">
        <f>IFERROR(VLOOKUP($F180,[2]원본!$D:$BX,BE$1,FALSE),"")</f>
        <v/>
      </c>
      <c r="BF180" s="40" t="str">
        <f>IFERROR(VLOOKUP($F180,[2]원본!$D:$BX,BF$1,FALSE),"")</f>
        <v/>
      </c>
      <c r="BG180" s="40" t="str">
        <f>IFERROR(VLOOKUP($F180,[2]원본!$D:$BX,BG$1,FALSE),"")</f>
        <v/>
      </c>
      <c r="BH180" s="40" t="str">
        <f>IFERROR(VLOOKUP($F180,[2]원본!$D:$BX,BH$1,FALSE),"")</f>
        <v/>
      </c>
      <c r="BI180" s="40" t="str">
        <f>IFERROR(VLOOKUP($F180,[2]원본!$D:$BX,BI$1,FALSE),"")</f>
        <v/>
      </c>
      <c r="BJ180" s="40" t="str">
        <f>IFERROR(VLOOKUP($F180,[2]원본!$D:$BX,BJ$1,FALSE),"")</f>
        <v/>
      </c>
      <c r="BK180" s="40" t="str">
        <f>IFERROR(VLOOKUP($F180,[2]원본!$D:$BX,BK$1,FALSE),"")</f>
        <v/>
      </c>
      <c r="BL180" s="40" t="str">
        <f>IFERROR(VLOOKUP($F180,[2]원본!$D:$BX,BL$1,FALSE),"")</f>
        <v/>
      </c>
      <c r="BM180" s="40" t="str">
        <f>IFERROR(VLOOKUP($F180,[2]원본!$D:$BX,BM$1,FALSE),"")</f>
        <v/>
      </c>
      <c r="BN180" s="40" t="str">
        <f>IFERROR(VLOOKUP($F180,[2]원본!$D:$BX,BN$1,FALSE),"")</f>
        <v/>
      </c>
      <c r="BO180" s="40" t="str">
        <f>IFERROR(VLOOKUP($F180,[2]원본!$D:$BX,BO$1,FALSE),"")</f>
        <v/>
      </c>
      <c r="BP180" s="40" t="str">
        <f>IFERROR(VLOOKUP($F180,[2]원본!$D:$BX,BP$1,FALSE),"")</f>
        <v/>
      </c>
      <c r="BQ180" s="40" t="str">
        <f>IFERROR(VLOOKUP($F180,[2]원본!$D:$BX,BQ$1,FALSE),"")</f>
        <v/>
      </c>
      <c r="BR180" s="40" t="str">
        <f>IFERROR(VLOOKUP($F180,[2]원본!$D:$BX,BR$1,FALSE),"")</f>
        <v/>
      </c>
      <c r="BS180" s="40" t="str">
        <f>IFERROR(VLOOKUP($F180,[2]원본!$D:$BX,BS$1,FALSE),"")</f>
        <v/>
      </c>
      <c r="BT180" s="40" t="str">
        <f>IFERROR(VLOOKUP($F180,[2]원본!$D:$BX,BT$1,FALSE),"")</f>
        <v/>
      </c>
      <c r="BU180" s="40" t="str">
        <f>IFERROR(VLOOKUP($F180,[2]원본!$D:$BX,BU$1,FALSE),"")</f>
        <v/>
      </c>
      <c r="BV180" s="40" t="str">
        <f>IFERROR(VLOOKUP($F180,#REF!,BV$1,FALSE),"")</f>
        <v/>
      </c>
      <c r="BW180" s="40"/>
      <c r="BX180" s="26">
        <f>(SUM(R180:BW180)*D178)-(SUM(R180:BW180)*E178)</f>
        <v>0</v>
      </c>
      <c r="BY180" s="91"/>
      <c r="BZ180" s="100" t="str">
        <f>IFERROR(VLOOKUP($F180,#REF!,BZ$1,FALSE),"")</f>
        <v/>
      </c>
    </row>
    <row r="181" spans="1:78" ht="20.100000000000001" customHeight="1" x14ac:dyDescent="0.3">
      <c r="A181" s="13">
        <v>175</v>
      </c>
      <c r="B181" s="4" t="s">
        <v>348</v>
      </c>
      <c r="C181" s="69" t="s">
        <v>161</v>
      </c>
      <c r="D181" s="82" t="s">
        <v>177</v>
      </c>
      <c r="F181" s="2">
        <v>92679069452</v>
      </c>
      <c r="G181" s="3" t="s">
        <v>148</v>
      </c>
      <c r="H181" s="3"/>
      <c r="J181" s="4" t="s">
        <v>108</v>
      </c>
      <c r="K181" s="62">
        <v>71200</v>
      </c>
      <c r="M181" s="1">
        <v>169</v>
      </c>
      <c r="Q181" s="7" t="s">
        <v>185</v>
      </c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>
        <v>164</v>
      </c>
      <c r="AE181" s="7">
        <v>90</v>
      </c>
      <c r="AF181" s="7">
        <v>108</v>
      </c>
      <c r="AG181" s="7">
        <v>97</v>
      </c>
      <c r="AH181" s="7">
        <v>88</v>
      </c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>
        <v>174</v>
      </c>
      <c r="AU181" s="7">
        <v>170</v>
      </c>
      <c r="AV181" s="7"/>
      <c r="AW181" s="7"/>
      <c r="AX181" s="7"/>
      <c r="AY181" s="7"/>
      <c r="AZ181" s="7"/>
      <c r="BA181" s="7">
        <v>335</v>
      </c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</row>
    <row r="182" spans="1:78" ht="20.100000000000001" customHeight="1" x14ac:dyDescent="0.3">
      <c r="A182" s="13">
        <v>176</v>
      </c>
      <c r="B182" s="4" t="s">
        <v>348</v>
      </c>
      <c r="C182" s="69" t="s">
        <v>161</v>
      </c>
      <c r="D182" s="20"/>
      <c r="E182" s="20"/>
      <c r="F182" s="2">
        <v>92679069452</v>
      </c>
      <c r="H182" s="3"/>
      <c r="J182" s="4" t="s">
        <v>109</v>
      </c>
      <c r="K182" s="5">
        <v>2200</v>
      </c>
      <c r="M182" s="1">
        <v>170</v>
      </c>
      <c r="Q182" s="7" t="s">
        <v>185</v>
      </c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>
        <v>41</v>
      </c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>
        <v>41</v>
      </c>
      <c r="AU182" s="7">
        <v>14</v>
      </c>
      <c r="AV182" s="7"/>
      <c r="AW182" s="7"/>
      <c r="AX182" s="7">
        <v>11</v>
      </c>
      <c r="AY182" s="7"/>
      <c r="AZ182" s="7">
        <v>12</v>
      </c>
      <c r="BA182" s="7">
        <v>63</v>
      </c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2"/>
      <c r="BO182" s="22"/>
      <c r="BP182" s="22"/>
      <c r="BQ182" s="22"/>
      <c r="BR182" s="22"/>
      <c r="BS182" s="22"/>
      <c r="BT182" s="22"/>
      <c r="BU182" s="22"/>
      <c r="BV182" s="22"/>
      <c r="BW182" s="22"/>
    </row>
    <row r="183" spans="1:78" ht="20.100000000000001" customHeight="1" x14ac:dyDescent="0.3">
      <c r="A183" s="13">
        <v>177</v>
      </c>
      <c r="B183" s="4" t="s">
        <v>348</v>
      </c>
      <c r="C183" s="69" t="s">
        <v>161</v>
      </c>
      <c r="D183" s="20"/>
      <c r="E183" s="20"/>
      <c r="F183" s="2">
        <v>92679069452</v>
      </c>
      <c r="H183" s="3"/>
      <c r="J183" s="4" t="s">
        <v>29</v>
      </c>
      <c r="K183" s="5">
        <v>1000</v>
      </c>
      <c r="M183" s="1">
        <v>171</v>
      </c>
      <c r="Q183" s="7" t="s">
        <v>185</v>
      </c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 t="s">
        <v>36</v>
      </c>
      <c r="AG183" s="7" t="s">
        <v>36</v>
      </c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  <c r="BH183" s="22"/>
      <c r="BI183" s="22"/>
      <c r="BJ183" s="22"/>
      <c r="BK183" s="22"/>
      <c r="BL183" s="22"/>
      <c r="BM183" s="22"/>
      <c r="BN183" s="22"/>
      <c r="BO183" s="22"/>
      <c r="BP183" s="22"/>
      <c r="BQ183" s="22"/>
      <c r="BR183" s="22"/>
      <c r="BS183" s="22"/>
      <c r="BT183" s="22"/>
      <c r="BU183" s="22"/>
      <c r="BV183" s="22"/>
      <c r="BW183" s="22"/>
    </row>
    <row r="184" spans="1:78" ht="20.100000000000001" customHeight="1" x14ac:dyDescent="0.3">
      <c r="A184" s="13">
        <v>178</v>
      </c>
      <c r="B184" s="4" t="s">
        <v>348</v>
      </c>
      <c r="C184" s="69" t="s">
        <v>161</v>
      </c>
      <c r="D184" s="20"/>
      <c r="E184" s="20"/>
      <c r="F184" s="2">
        <v>92679069452</v>
      </c>
      <c r="H184" s="3"/>
      <c r="J184" s="4" t="s">
        <v>110</v>
      </c>
      <c r="K184" s="5">
        <v>600</v>
      </c>
      <c r="M184" s="1">
        <v>172</v>
      </c>
      <c r="Q184" s="7" t="s">
        <v>185</v>
      </c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>
        <v>30</v>
      </c>
      <c r="AG184" s="7">
        <v>41</v>
      </c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>
        <v>18</v>
      </c>
      <c r="AU184" s="7">
        <v>2</v>
      </c>
      <c r="AV184" s="7"/>
      <c r="AW184" s="7"/>
      <c r="AX184" s="7">
        <v>4</v>
      </c>
      <c r="AY184" s="7"/>
      <c r="AZ184" s="7">
        <v>3</v>
      </c>
      <c r="BA184" s="7">
        <v>23</v>
      </c>
      <c r="BB184" s="22"/>
      <c r="BC184" s="22"/>
      <c r="BD184" s="22"/>
      <c r="BE184" s="22"/>
      <c r="BF184" s="22"/>
      <c r="BG184" s="22"/>
      <c r="BH184" s="22"/>
      <c r="BI184" s="22"/>
      <c r="BJ184" s="22"/>
      <c r="BK184" s="22"/>
      <c r="BL184" s="22"/>
      <c r="BM184" s="22"/>
      <c r="BN184" s="22"/>
      <c r="BO184" s="22"/>
      <c r="BP184" s="22"/>
      <c r="BQ184" s="22"/>
      <c r="BR184" s="22"/>
      <c r="BS184" s="22"/>
      <c r="BT184" s="22"/>
      <c r="BU184" s="22"/>
      <c r="BV184" s="22"/>
      <c r="BW184" s="22"/>
    </row>
    <row r="185" spans="1:78" ht="20.100000000000001" customHeight="1" x14ac:dyDescent="0.3">
      <c r="A185" s="13">
        <v>179</v>
      </c>
      <c r="B185" s="91" t="s">
        <v>348</v>
      </c>
      <c r="C185" s="93" t="s">
        <v>161</v>
      </c>
      <c r="D185" s="94"/>
      <c r="E185" s="94"/>
      <c r="F185" s="96">
        <v>92679069452</v>
      </c>
      <c r="G185" s="97"/>
      <c r="H185" s="97"/>
      <c r="I185" s="97"/>
      <c r="J185" s="91" t="s">
        <v>111</v>
      </c>
      <c r="K185" s="5">
        <v>400</v>
      </c>
      <c r="L185" s="98"/>
      <c r="M185" s="98">
        <v>173</v>
      </c>
      <c r="N185" s="98"/>
      <c r="O185" s="98"/>
      <c r="P185" s="98"/>
      <c r="Q185" s="7" t="s">
        <v>185</v>
      </c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 t="s">
        <v>36</v>
      </c>
      <c r="AG185" s="7" t="s">
        <v>32</v>
      </c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  <c r="BN185" s="22"/>
      <c r="BO185" s="22"/>
      <c r="BP185" s="22"/>
      <c r="BQ185" s="22"/>
      <c r="BR185" s="22"/>
      <c r="BS185" s="22"/>
      <c r="BT185" s="22"/>
      <c r="BU185" s="22"/>
      <c r="BV185" s="22"/>
      <c r="BW185" s="22"/>
      <c r="BY185" s="91"/>
      <c r="BZ185" s="98"/>
    </row>
    <row r="186" spans="1:78" ht="20.100000000000001" customHeight="1" x14ac:dyDescent="0.3">
      <c r="A186" s="13">
        <v>180</v>
      </c>
      <c r="B186" s="91" t="s">
        <v>348</v>
      </c>
      <c r="C186" s="93" t="s">
        <v>161</v>
      </c>
      <c r="D186" s="94"/>
      <c r="E186" s="94"/>
      <c r="F186" s="96">
        <v>92679069452</v>
      </c>
      <c r="G186" s="97"/>
      <c r="H186" s="97"/>
      <c r="I186" s="97"/>
      <c r="J186" s="91" t="s">
        <v>112</v>
      </c>
      <c r="K186" s="5">
        <v>200</v>
      </c>
      <c r="L186" s="98"/>
      <c r="M186" s="98">
        <v>174</v>
      </c>
      <c r="N186" s="98"/>
      <c r="O186" s="98"/>
      <c r="P186" s="98"/>
      <c r="Q186" s="7" t="s">
        <v>185</v>
      </c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>
        <v>13</v>
      </c>
      <c r="AG186" s="7">
        <v>5</v>
      </c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>
        <v>6</v>
      </c>
      <c r="AU186" s="7">
        <v>4</v>
      </c>
      <c r="AV186" s="7"/>
      <c r="AW186" s="7"/>
      <c r="AX186" s="7">
        <v>7</v>
      </c>
      <c r="AY186" s="7"/>
      <c r="AZ186" s="7">
        <v>7</v>
      </c>
      <c r="BA186" s="7">
        <v>11</v>
      </c>
      <c r="BB186" s="22"/>
      <c r="BC186" s="22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  <c r="BN186" s="22"/>
      <c r="BO186" s="22"/>
      <c r="BP186" s="22"/>
      <c r="BQ186" s="22"/>
      <c r="BR186" s="22"/>
      <c r="BS186" s="22"/>
      <c r="BT186" s="22"/>
      <c r="BU186" s="22"/>
      <c r="BV186" s="22"/>
      <c r="BW186" s="22"/>
      <c r="BY186" s="91"/>
      <c r="BZ186" s="98"/>
    </row>
    <row r="187" spans="1:78" s="14" customFormat="1" ht="20.100000000000001" customHeight="1" thickBot="1" x14ac:dyDescent="0.35">
      <c r="A187" s="13">
        <v>181</v>
      </c>
      <c r="B187" s="15" t="s">
        <v>348</v>
      </c>
      <c r="C187" s="71" t="s">
        <v>161</v>
      </c>
      <c r="D187" s="21"/>
      <c r="E187" s="21"/>
      <c r="F187" s="16">
        <v>92679069452</v>
      </c>
      <c r="G187" s="17"/>
      <c r="H187" s="17"/>
      <c r="I187" s="17"/>
      <c r="J187" s="15" t="s">
        <v>113</v>
      </c>
      <c r="K187" s="18">
        <v>80</v>
      </c>
      <c r="M187" s="14">
        <v>175</v>
      </c>
      <c r="Q187" s="19" t="s">
        <v>185</v>
      </c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 t="s">
        <v>36</v>
      </c>
      <c r="AE187" s="19" t="s">
        <v>36</v>
      </c>
      <c r="AF187" s="19"/>
      <c r="AG187" s="19"/>
      <c r="AH187" s="19">
        <v>72</v>
      </c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18"/>
      <c r="BY187" s="15"/>
    </row>
    <row r="188" spans="1:78" s="8" customFormat="1" ht="20.100000000000001" customHeight="1" x14ac:dyDescent="0.3">
      <c r="A188" s="13">
        <v>182</v>
      </c>
      <c r="B188" s="9" t="s">
        <v>348</v>
      </c>
      <c r="C188" s="70" t="s">
        <v>161</v>
      </c>
      <c r="D188" s="46">
        <f>VLOOKUP(F190,[1]SKU리스트!$H:$L,5,FALSE)</f>
        <v>7900</v>
      </c>
      <c r="E188" s="47">
        <f>VLOOKUP(F190,[1]SKU리스트!$H:$AK,30,FALSE)</f>
        <v>4419.090909090909</v>
      </c>
      <c r="F188" s="10" t="s">
        <v>213</v>
      </c>
      <c r="G188" s="11"/>
      <c r="H188" s="11"/>
      <c r="I188" s="11"/>
      <c r="J188" s="9"/>
      <c r="K188" s="12"/>
      <c r="M188" s="8">
        <v>176</v>
      </c>
      <c r="Q188" s="44" t="s">
        <v>125</v>
      </c>
      <c r="R188" s="54" t="s">
        <v>221</v>
      </c>
      <c r="S188" s="54" t="s">
        <v>221</v>
      </c>
      <c r="T188" s="54" t="s">
        <v>221</v>
      </c>
      <c r="U188" s="54" t="s">
        <v>221</v>
      </c>
      <c r="V188" s="54" t="s">
        <v>221</v>
      </c>
      <c r="W188" s="54" t="s">
        <v>221</v>
      </c>
      <c r="X188" s="54" t="s">
        <v>221</v>
      </c>
      <c r="Y188" s="54" t="s">
        <v>221</v>
      </c>
      <c r="Z188" s="54" t="s">
        <v>221</v>
      </c>
      <c r="AA188" s="54" t="s">
        <v>221</v>
      </c>
      <c r="AB188" s="54" t="s">
        <v>221</v>
      </c>
      <c r="AC188" s="54" t="s">
        <v>221</v>
      </c>
      <c r="AD188" s="54" t="s">
        <v>221</v>
      </c>
      <c r="AE188" s="54" t="s">
        <v>221</v>
      </c>
      <c r="AF188" s="54" t="s">
        <v>221</v>
      </c>
      <c r="AG188" s="54" t="s">
        <v>221</v>
      </c>
      <c r="AH188" s="54" t="s">
        <v>221</v>
      </c>
      <c r="AI188" s="54" t="s">
        <v>221</v>
      </c>
      <c r="AJ188" s="54" t="s">
        <v>221</v>
      </c>
      <c r="AK188" s="54" t="s">
        <v>221</v>
      </c>
      <c r="AL188" s="54" t="s">
        <v>221</v>
      </c>
      <c r="AM188" s="54">
        <v>10</v>
      </c>
      <c r="AN188" s="54">
        <v>14</v>
      </c>
      <c r="AO188" s="54">
        <v>2</v>
      </c>
      <c r="AP188" s="54">
        <v>-1</v>
      </c>
      <c r="AQ188" s="54" t="s">
        <v>221</v>
      </c>
      <c r="AR188" s="54" t="s">
        <v>221</v>
      </c>
      <c r="AS188" s="54" t="s">
        <v>221</v>
      </c>
      <c r="AT188" s="54" t="s">
        <v>221</v>
      </c>
      <c r="AU188" s="54" t="s">
        <v>221</v>
      </c>
      <c r="AV188" s="54" t="s">
        <v>221</v>
      </c>
      <c r="AW188" s="54" t="s">
        <v>221</v>
      </c>
      <c r="AX188" s="54">
        <v>1</v>
      </c>
      <c r="AY188" s="54">
        <v>1</v>
      </c>
      <c r="AZ188" s="54" t="s">
        <v>221</v>
      </c>
      <c r="BA188" s="54" t="s">
        <v>221</v>
      </c>
      <c r="BB188" s="54" t="s">
        <v>221</v>
      </c>
      <c r="BC188" s="54" t="s">
        <v>221</v>
      </c>
      <c r="BD188" s="54" t="s">
        <v>221</v>
      </c>
      <c r="BE188" s="54" t="s">
        <v>221</v>
      </c>
      <c r="BF188" s="54" t="s">
        <v>221</v>
      </c>
      <c r="BG188" s="54" t="s">
        <v>221</v>
      </c>
      <c r="BH188" s="54" t="s">
        <v>221</v>
      </c>
      <c r="BI188" s="54">
        <v>1</v>
      </c>
      <c r="BJ188" s="54" t="s">
        <v>221</v>
      </c>
      <c r="BK188" s="54" t="s">
        <v>221</v>
      </c>
      <c r="BL188" s="54" t="s">
        <v>221</v>
      </c>
      <c r="BM188" s="54" t="s">
        <v>221</v>
      </c>
      <c r="BN188" s="54" t="s">
        <v>221</v>
      </c>
      <c r="BO188" s="54" t="s">
        <v>221</v>
      </c>
      <c r="BP188" s="54" t="s">
        <v>221</v>
      </c>
      <c r="BQ188" s="54" t="s">
        <v>221</v>
      </c>
      <c r="BR188" s="54" t="s">
        <v>221</v>
      </c>
      <c r="BS188" s="54" t="s">
        <v>221</v>
      </c>
      <c r="BT188" s="54" t="s">
        <v>221</v>
      </c>
      <c r="BU188" s="54"/>
      <c r="BV188" s="54"/>
      <c r="BW188" s="54"/>
      <c r="BX188" s="85">
        <f>VLOOKUP(F188,[1]SKU리스트!$H:$AH,27,FALSE)</f>
        <v>1504</v>
      </c>
      <c r="BY188" s="9"/>
    </row>
    <row r="189" spans="1:78" ht="20.100000000000001" customHeight="1" x14ac:dyDescent="0.3">
      <c r="A189" s="13">
        <v>183</v>
      </c>
      <c r="B189" s="91" t="s">
        <v>348</v>
      </c>
      <c r="C189" s="93" t="s">
        <v>161</v>
      </c>
      <c r="D189" s="98"/>
      <c r="E189" s="98"/>
      <c r="F189" s="96" t="s">
        <v>300</v>
      </c>
      <c r="G189" s="97"/>
      <c r="H189" s="97"/>
      <c r="I189" s="97"/>
      <c r="J189" s="91"/>
      <c r="L189" s="98"/>
      <c r="M189" s="98">
        <v>177</v>
      </c>
      <c r="N189" s="98"/>
      <c r="O189" s="98"/>
      <c r="P189" s="98"/>
      <c r="Q189" s="39" t="s">
        <v>282</v>
      </c>
      <c r="R189" s="5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50"/>
      <c r="AL189" s="50"/>
      <c r="AM189" s="50"/>
      <c r="AN189" s="50"/>
      <c r="AO189" s="53">
        <f>SUM(AI188:AO188)</f>
        <v>26</v>
      </c>
      <c r="AP189" s="51">
        <v>2</v>
      </c>
      <c r="AQ189" s="50"/>
      <c r="AR189" s="50"/>
      <c r="AS189" s="50"/>
      <c r="AT189" s="50"/>
      <c r="AU189" s="50"/>
      <c r="AV189" s="53">
        <f>SUM(AP188:AV188)</f>
        <v>-1</v>
      </c>
      <c r="AW189" s="50">
        <v>0</v>
      </c>
      <c r="AX189" s="50"/>
      <c r="AY189" s="50"/>
      <c r="AZ189" s="50"/>
      <c r="BA189" s="50"/>
      <c r="BB189" s="50"/>
      <c r="BC189" s="53">
        <f>SUM(AW188:BC188)</f>
        <v>2</v>
      </c>
      <c r="BD189" s="50">
        <v>1</v>
      </c>
      <c r="BE189" s="50"/>
      <c r="BF189" s="50"/>
      <c r="BG189" s="50"/>
      <c r="BH189" s="50"/>
      <c r="BI189" s="50"/>
      <c r="BJ189" s="53">
        <f>SUM(BD188:BJ188)</f>
        <v>1</v>
      </c>
      <c r="BK189" s="50">
        <v>0</v>
      </c>
      <c r="BL189" s="50"/>
      <c r="BM189" s="50"/>
      <c r="BN189" s="50"/>
      <c r="BO189" s="50"/>
      <c r="BP189" s="50"/>
      <c r="BQ189" s="53">
        <f>SUM(BK188:BQ188)</f>
        <v>0</v>
      </c>
      <c r="BR189" s="50">
        <v>0</v>
      </c>
      <c r="BS189" s="50"/>
      <c r="BT189" s="50"/>
      <c r="BU189" s="50"/>
      <c r="BV189" s="50"/>
      <c r="BW189" s="50"/>
      <c r="BY189" s="91"/>
      <c r="BZ189" s="98"/>
    </row>
    <row r="190" spans="1:78" ht="20.100000000000001" customHeight="1" x14ac:dyDescent="0.3">
      <c r="A190" s="13">
        <v>184</v>
      </c>
      <c r="B190" s="91" t="s">
        <v>348</v>
      </c>
      <c r="C190" s="93" t="s">
        <v>161</v>
      </c>
      <c r="D190" s="91"/>
      <c r="E190" s="91"/>
      <c r="F190" s="96">
        <v>92679069436</v>
      </c>
      <c r="G190" s="97"/>
      <c r="H190" s="97"/>
      <c r="I190" s="97"/>
      <c r="J190" s="91"/>
      <c r="L190" s="98"/>
      <c r="M190" s="98">
        <v>178</v>
      </c>
      <c r="N190" s="98"/>
      <c r="O190" s="98"/>
      <c r="P190" s="98"/>
      <c r="Q190" s="41" t="s">
        <v>1</v>
      </c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 t="str">
        <f>IFERROR(VLOOKUP($F190,[2]원본!$D:$BX,AI$1,FALSE),"")</f>
        <v/>
      </c>
      <c r="AJ190" s="40" t="str">
        <f>IFERROR(VLOOKUP($F190,[2]원본!$D:$BX,AJ$1,FALSE),"")</f>
        <v/>
      </c>
      <c r="AK190" s="40" t="str">
        <f>IFERROR(VLOOKUP($F190,[2]원본!$D:$BX,AK$1,FALSE),"")</f>
        <v/>
      </c>
      <c r="AL190" s="40" t="str">
        <f>IFERROR(VLOOKUP($F190,[2]원본!$D:$BX,AL$1,FALSE),"")</f>
        <v/>
      </c>
      <c r="AM190" s="40" t="str">
        <f>IFERROR(VLOOKUP($F190,[2]원본!$D:$BX,AM$1,FALSE),"")</f>
        <v/>
      </c>
      <c r="AN190" s="40" t="str">
        <f>IFERROR(VLOOKUP($F190,[2]원본!$D:$BX,AN$1,FALSE),"")</f>
        <v/>
      </c>
      <c r="AO190" s="40" t="str">
        <f>IFERROR(VLOOKUP($F190,[2]원본!$D:$BX,AO$1,FALSE),"")</f>
        <v/>
      </c>
      <c r="AP190" s="40" t="str">
        <f>IFERROR(VLOOKUP($F190,[2]원본!$D:$BX,AP$1,FALSE),"")</f>
        <v/>
      </c>
      <c r="AQ190" s="40" t="str">
        <f>IFERROR(VLOOKUP($F190,[2]원본!$D:$BX,AQ$1,FALSE),"")</f>
        <v/>
      </c>
      <c r="AR190" s="40" t="str">
        <f>IFERROR(VLOOKUP($F190,[2]원본!$D:$BX,AR$1,FALSE),"")</f>
        <v/>
      </c>
      <c r="AS190" s="40" t="str">
        <f>IFERROR(VLOOKUP($F190,[2]원본!$D:$BX,AS$1,FALSE),"")</f>
        <v/>
      </c>
      <c r="AT190" s="40" t="str">
        <f>IFERROR(VLOOKUP($F190,[2]원본!$D:$BX,AT$1,FALSE),"")</f>
        <v/>
      </c>
      <c r="AU190" s="40" t="str">
        <f>IFERROR(VLOOKUP($F190,[2]원본!$D:$BX,AU$1,FALSE),"")</f>
        <v/>
      </c>
      <c r="AV190" s="40" t="str">
        <f>IFERROR(VLOOKUP($F190,[2]원본!$D:$BX,AV$1,FALSE),"")</f>
        <v/>
      </c>
      <c r="AW190" s="40" t="str">
        <f>IFERROR(VLOOKUP($F190,[2]원본!$D:$BX,AW$1,FALSE),"")</f>
        <v/>
      </c>
      <c r="AX190" s="40" t="str">
        <f>IFERROR(VLOOKUP($F190,[2]원본!$D:$BX,AX$1,FALSE),"")</f>
        <v/>
      </c>
      <c r="AY190" s="40" t="str">
        <f>IFERROR(VLOOKUP($F190,[2]원본!$D:$BX,AY$1,FALSE),"")</f>
        <v/>
      </c>
      <c r="AZ190" s="40" t="str">
        <f>IFERROR(VLOOKUP($F190,[2]원본!$D:$BX,AZ$1,FALSE),"")</f>
        <v/>
      </c>
      <c r="BA190" s="40" t="str">
        <f>IFERROR(VLOOKUP($F190,[2]원본!$D:$BX,BA$1,FALSE),"")</f>
        <v/>
      </c>
      <c r="BB190" s="40" t="str">
        <f>IFERROR(VLOOKUP($F190,[2]원본!$D:$BX,BB$1,FALSE),"")</f>
        <v/>
      </c>
      <c r="BC190" s="40" t="str">
        <f>IFERROR(VLOOKUP($F190,[2]원본!$D:$BX,BC$1,FALSE),"")</f>
        <v/>
      </c>
      <c r="BD190" s="40" t="str">
        <f>IFERROR(VLOOKUP($F190,[2]원본!$D:$BX,BD$1,FALSE),"")</f>
        <v/>
      </c>
      <c r="BE190" s="40" t="str">
        <f>IFERROR(VLOOKUP($F190,[2]원본!$D:$BX,BE$1,FALSE),"")</f>
        <v/>
      </c>
      <c r="BF190" s="40" t="str">
        <f>IFERROR(VLOOKUP($F190,[2]원본!$D:$BX,BF$1,FALSE),"")</f>
        <v/>
      </c>
      <c r="BG190" s="40" t="str">
        <f>IFERROR(VLOOKUP($F190,[2]원본!$D:$BX,BG$1,FALSE),"")</f>
        <v/>
      </c>
      <c r="BH190" s="40" t="str">
        <f>IFERROR(VLOOKUP($F190,[2]원본!$D:$BX,BH$1,FALSE),"")</f>
        <v/>
      </c>
      <c r="BI190" s="40" t="str">
        <f>IFERROR(VLOOKUP($F190,[2]원본!$D:$BX,BI$1,FALSE),"")</f>
        <v/>
      </c>
      <c r="BJ190" s="40" t="str">
        <f>IFERROR(VLOOKUP($F190,[2]원본!$D:$BX,BJ$1,FALSE),"")</f>
        <v/>
      </c>
      <c r="BK190" s="40" t="str">
        <f>IFERROR(VLOOKUP($F190,[2]원본!$D:$BX,BK$1,FALSE),"")</f>
        <v/>
      </c>
      <c r="BL190" s="40" t="str">
        <f>IFERROR(VLOOKUP($F190,[2]원본!$D:$BX,BL$1,FALSE),"")</f>
        <v/>
      </c>
      <c r="BM190" s="40" t="str">
        <f>IFERROR(VLOOKUP($F190,[2]원본!$D:$BX,BM$1,FALSE),"")</f>
        <v/>
      </c>
      <c r="BN190" s="40" t="str">
        <f>IFERROR(VLOOKUP($F190,[2]원본!$D:$BX,BN$1,FALSE),"")</f>
        <v/>
      </c>
      <c r="BO190" s="40" t="str">
        <f>IFERROR(VLOOKUP($F190,[2]원본!$D:$BX,BO$1,FALSE),"")</f>
        <v/>
      </c>
      <c r="BP190" s="40" t="str">
        <f>IFERROR(VLOOKUP($F190,[2]원본!$D:$BX,BP$1,FALSE),"")</f>
        <v/>
      </c>
      <c r="BQ190" s="40" t="str">
        <f>IFERROR(VLOOKUP($F190,[2]원본!$D:$BX,BQ$1,FALSE),"")</f>
        <v/>
      </c>
      <c r="BR190" s="40" t="str">
        <f>IFERROR(VLOOKUP($F190,[2]원본!$D:$BX,BR$1,FALSE),"")</f>
        <v/>
      </c>
      <c r="BS190" s="40" t="str">
        <f>IFERROR(VLOOKUP($F190,[2]원본!$D:$BX,BS$1,FALSE),"")</f>
        <v/>
      </c>
      <c r="BT190" s="40" t="str">
        <f>IFERROR(VLOOKUP($F190,[2]원본!$D:$BX,BT$1,FALSE),"")</f>
        <v/>
      </c>
      <c r="BU190" s="40" t="str">
        <f>IFERROR(VLOOKUP($F190,[2]원본!$D:$BX,BU$1,FALSE),"")</f>
        <v/>
      </c>
      <c r="BV190" s="40" t="str">
        <f>IFERROR(VLOOKUP($F190,#REF!,BV$1,FALSE),"")</f>
        <v/>
      </c>
      <c r="BW190" s="40"/>
      <c r="BX190" s="26">
        <f>(SUM(R190:BW190)*D188)-(SUM(R190:BW190)*E188)</f>
        <v>0</v>
      </c>
      <c r="BY190" s="91"/>
      <c r="BZ190" s="100" t="str">
        <f>IFERROR(VLOOKUP($F190,#REF!,BZ$1,FALSE),"")</f>
        <v/>
      </c>
    </row>
    <row r="191" spans="1:78" ht="20.100000000000001" customHeight="1" x14ac:dyDescent="0.3">
      <c r="A191" s="13">
        <v>185</v>
      </c>
      <c r="B191" s="4" t="s">
        <v>348</v>
      </c>
      <c r="C191" s="69" t="s">
        <v>161</v>
      </c>
      <c r="D191" s="82" t="s">
        <v>178</v>
      </c>
      <c r="F191" s="2">
        <v>92679069436</v>
      </c>
      <c r="G191" s="3" t="s">
        <v>149</v>
      </c>
      <c r="H191" s="3"/>
      <c r="J191" s="4" t="s">
        <v>108</v>
      </c>
      <c r="K191" s="62">
        <v>71200</v>
      </c>
      <c r="M191" s="1">
        <v>179</v>
      </c>
      <c r="Q191" s="7" t="s">
        <v>363</v>
      </c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>
        <v>93</v>
      </c>
      <c r="AI191" s="7"/>
      <c r="AJ191" s="7"/>
      <c r="AK191" s="7">
        <v>216</v>
      </c>
      <c r="AL191" s="7"/>
      <c r="AM191" s="7"/>
      <c r="AN191" s="7"/>
      <c r="AO191" s="7"/>
      <c r="AP191" s="7"/>
      <c r="AQ191" s="7"/>
      <c r="AR191" s="7"/>
      <c r="AS191" s="7"/>
      <c r="AT191" s="7">
        <v>166</v>
      </c>
      <c r="AU191" s="7">
        <v>175</v>
      </c>
      <c r="AV191" s="7"/>
      <c r="AW191" s="7"/>
      <c r="AX191" s="7"/>
      <c r="AY191" s="7"/>
      <c r="AZ191" s="7"/>
      <c r="BA191" s="7">
        <v>333</v>
      </c>
      <c r="BB191" s="22"/>
      <c r="BC191" s="22"/>
      <c r="BD191" s="22"/>
      <c r="BE191" s="22"/>
      <c r="BF191" s="22"/>
      <c r="BG191" s="22"/>
      <c r="BH191" s="22"/>
      <c r="BI191" s="22"/>
      <c r="BJ191" s="22"/>
      <c r="BK191" s="22"/>
      <c r="BL191" s="22"/>
      <c r="BM191" s="22"/>
      <c r="BN191" s="22"/>
      <c r="BO191" s="22"/>
      <c r="BP191" s="22"/>
      <c r="BQ191" s="22"/>
      <c r="BR191" s="22"/>
      <c r="BS191" s="22"/>
      <c r="BT191" s="22"/>
      <c r="BU191" s="22"/>
      <c r="BV191" s="22"/>
      <c r="BW191" s="22"/>
    </row>
    <row r="192" spans="1:78" ht="20.100000000000001" customHeight="1" x14ac:dyDescent="0.3">
      <c r="A192" s="13">
        <v>186</v>
      </c>
      <c r="B192" s="4" t="s">
        <v>348</v>
      </c>
      <c r="C192" s="69" t="s">
        <v>161</v>
      </c>
      <c r="D192" s="20"/>
      <c r="E192" s="20"/>
      <c r="F192" s="2">
        <v>92679069436</v>
      </c>
      <c r="H192" s="3"/>
      <c r="J192" s="4" t="s">
        <v>109</v>
      </c>
      <c r="K192" s="5">
        <v>2200</v>
      </c>
      <c r="M192" s="1">
        <v>180</v>
      </c>
      <c r="Q192" s="7" t="s">
        <v>363</v>
      </c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>
        <v>82</v>
      </c>
      <c r="AI192" s="7"/>
      <c r="AJ192" s="7"/>
      <c r="AK192" s="7">
        <v>33</v>
      </c>
      <c r="AL192" s="7"/>
      <c r="AM192" s="7"/>
      <c r="AN192" s="7"/>
      <c r="AO192" s="7"/>
      <c r="AP192" s="7"/>
      <c r="AQ192" s="7"/>
      <c r="AR192" s="7"/>
      <c r="AS192" s="7"/>
      <c r="AT192" s="7">
        <v>44</v>
      </c>
      <c r="AU192" s="7">
        <v>16</v>
      </c>
      <c r="AV192" s="7"/>
      <c r="AW192" s="7"/>
      <c r="AX192" s="7">
        <v>10</v>
      </c>
      <c r="AY192" s="7"/>
      <c r="AZ192" s="7">
        <v>13</v>
      </c>
      <c r="BA192" s="7">
        <v>63</v>
      </c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  <c r="BL192" s="22"/>
      <c r="BM192" s="22"/>
      <c r="BN192" s="22"/>
      <c r="BO192" s="22"/>
      <c r="BP192" s="22"/>
      <c r="BQ192" s="22"/>
      <c r="BR192" s="22"/>
      <c r="BS192" s="22"/>
      <c r="BT192" s="22"/>
      <c r="BU192" s="22"/>
      <c r="BV192" s="22"/>
      <c r="BW192" s="22"/>
    </row>
    <row r="193" spans="1:78" ht="20.100000000000001" customHeight="1" x14ac:dyDescent="0.3">
      <c r="A193" s="13">
        <v>187</v>
      </c>
      <c r="B193" s="4" t="s">
        <v>348</v>
      </c>
      <c r="C193" s="69" t="s">
        <v>161</v>
      </c>
      <c r="D193" s="20"/>
      <c r="E193" s="20"/>
      <c r="F193" s="2">
        <v>92679069436</v>
      </c>
      <c r="H193" s="3"/>
      <c r="J193" s="4" t="s">
        <v>110</v>
      </c>
      <c r="K193" s="5">
        <v>600</v>
      </c>
      <c r="M193" s="1">
        <v>181</v>
      </c>
      <c r="Q193" s="7" t="s">
        <v>363</v>
      </c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>
        <v>26</v>
      </c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>
        <v>16</v>
      </c>
      <c r="AU193" s="7">
        <v>2</v>
      </c>
      <c r="AV193" s="7"/>
      <c r="AW193" s="7"/>
      <c r="AX193" s="7">
        <v>4</v>
      </c>
      <c r="AY193" s="7"/>
      <c r="AZ193" s="7">
        <v>5</v>
      </c>
      <c r="BA193" s="7">
        <v>23</v>
      </c>
      <c r="BB193" s="22"/>
      <c r="BC193" s="22"/>
      <c r="BD193" s="22"/>
      <c r="BE193" s="22"/>
      <c r="BF193" s="22"/>
      <c r="BG193" s="22"/>
      <c r="BH193" s="22"/>
      <c r="BI193" s="22"/>
      <c r="BJ193" s="22"/>
      <c r="BK193" s="22"/>
      <c r="BL193" s="22"/>
      <c r="BM193" s="22"/>
      <c r="BN193" s="22"/>
      <c r="BO193" s="22"/>
      <c r="BP193" s="22"/>
      <c r="BQ193" s="22"/>
      <c r="BR193" s="22"/>
      <c r="BS193" s="22"/>
      <c r="BT193" s="22"/>
      <c r="BU193" s="22"/>
      <c r="BV193" s="22"/>
      <c r="BW193" s="22"/>
    </row>
    <row r="194" spans="1:78" s="14" customFormat="1" ht="20.100000000000001" customHeight="1" thickBot="1" x14ac:dyDescent="0.35">
      <c r="A194" s="13">
        <v>188</v>
      </c>
      <c r="B194" s="15" t="s">
        <v>348</v>
      </c>
      <c r="C194" s="71" t="s">
        <v>161</v>
      </c>
      <c r="D194" s="21"/>
      <c r="E194" s="21"/>
      <c r="F194" s="16">
        <v>92679069436</v>
      </c>
      <c r="G194" s="17"/>
      <c r="H194" s="17"/>
      <c r="I194" s="17"/>
      <c r="J194" s="15" t="s">
        <v>112</v>
      </c>
      <c r="K194" s="18">
        <v>200</v>
      </c>
      <c r="M194" s="14">
        <v>182</v>
      </c>
      <c r="Q194" s="19" t="s">
        <v>185</v>
      </c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>
        <v>9</v>
      </c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18"/>
      <c r="BY194" s="15"/>
    </row>
    <row r="195" spans="1:78" s="8" customFormat="1" ht="20.100000000000001" customHeight="1" x14ac:dyDescent="0.3">
      <c r="A195" s="13">
        <v>189</v>
      </c>
      <c r="B195" s="9" t="s">
        <v>348</v>
      </c>
      <c r="C195" s="70" t="s">
        <v>161</v>
      </c>
      <c r="D195" s="46">
        <f>VLOOKUP(F197,[1]SKU리스트!$H:$L,5,FALSE)</f>
        <v>7900</v>
      </c>
      <c r="E195" s="47">
        <f>VLOOKUP(F197,[1]SKU리스트!$H:$AK,30,FALSE)</f>
        <v>4419.090909090909</v>
      </c>
      <c r="F195" s="10" t="s">
        <v>214</v>
      </c>
      <c r="G195" s="11"/>
      <c r="H195" s="11"/>
      <c r="I195" s="11"/>
      <c r="J195" s="9"/>
      <c r="K195" s="12"/>
      <c r="M195" s="8">
        <v>183</v>
      </c>
      <c r="Q195" s="44" t="s">
        <v>125</v>
      </c>
      <c r="R195" s="54" t="s">
        <v>221</v>
      </c>
      <c r="S195" s="54" t="s">
        <v>221</v>
      </c>
      <c r="T195" s="54">
        <v>1</v>
      </c>
      <c r="U195" s="54" t="s">
        <v>221</v>
      </c>
      <c r="V195" s="54">
        <v>1</v>
      </c>
      <c r="W195" s="54" t="s">
        <v>221</v>
      </c>
      <c r="X195" s="54">
        <v>1</v>
      </c>
      <c r="Y195" s="54" t="s">
        <v>221</v>
      </c>
      <c r="Z195" s="54" t="s">
        <v>221</v>
      </c>
      <c r="AA195" s="54" t="s">
        <v>221</v>
      </c>
      <c r="AB195" s="54" t="s">
        <v>221</v>
      </c>
      <c r="AC195" s="54">
        <v>1</v>
      </c>
      <c r="AD195" s="54" t="s">
        <v>221</v>
      </c>
      <c r="AE195" s="54" t="s">
        <v>221</v>
      </c>
      <c r="AF195" s="54">
        <v>2</v>
      </c>
      <c r="AG195" s="54">
        <v>1</v>
      </c>
      <c r="AH195" s="54" t="s">
        <v>221</v>
      </c>
      <c r="AI195" s="54" t="s">
        <v>221</v>
      </c>
      <c r="AJ195" s="54">
        <v>1</v>
      </c>
      <c r="AK195" s="54" t="s">
        <v>221</v>
      </c>
      <c r="AL195" s="54" t="s">
        <v>221</v>
      </c>
      <c r="AM195" s="54" t="s">
        <v>221</v>
      </c>
      <c r="AN195" s="54" t="s">
        <v>221</v>
      </c>
      <c r="AO195" s="54" t="s">
        <v>221</v>
      </c>
      <c r="AP195" s="54" t="s">
        <v>221</v>
      </c>
      <c r="AQ195" s="54" t="s">
        <v>221</v>
      </c>
      <c r="AR195" s="54">
        <v>1</v>
      </c>
      <c r="AS195" s="54" t="s">
        <v>221</v>
      </c>
      <c r="AT195" s="54" t="s">
        <v>221</v>
      </c>
      <c r="AU195" s="54">
        <v>1</v>
      </c>
      <c r="AV195" s="54" t="s">
        <v>221</v>
      </c>
      <c r="AW195" s="54" t="s">
        <v>221</v>
      </c>
      <c r="AX195" s="54" t="s">
        <v>221</v>
      </c>
      <c r="AY195" s="54" t="s">
        <v>221</v>
      </c>
      <c r="AZ195" s="54" t="s">
        <v>221</v>
      </c>
      <c r="BA195" s="54" t="s">
        <v>221</v>
      </c>
      <c r="BB195" s="54">
        <v>1</v>
      </c>
      <c r="BC195" s="54" t="s">
        <v>221</v>
      </c>
      <c r="BD195" s="54">
        <v>1</v>
      </c>
      <c r="BE195" s="54">
        <v>1</v>
      </c>
      <c r="BF195" s="54">
        <v>1</v>
      </c>
      <c r="BG195" s="54" t="s">
        <v>221</v>
      </c>
      <c r="BH195" s="54" t="s">
        <v>221</v>
      </c>
      <c r="BI195" s="54" t="s">
        <v>221</v>
      </c>
      <c r="BJ195" s="54" t="s">
        <v>221</v>
      </c>
      <c r="BK195" s="54">
        <v>2</v>
      </c>
      <c r="BL195" s="54">
        <v>0</v>
      </c>
      <c r="BM195" s="54">
        <v>0</v>
      </c>
      <c r="BN195" s="54" t="s">
        <v>221</v>
      </c>
      <c r="BO195" s="54">
        <v>2</v>
      </c>
      <c r="BP195" s="54" t="s">
        <v>221</v>
      </c>
      <c r="BQ195" s="54" t="s">
        <v>221</v>
      </c>
      <c r="BR195" s="54">
        <v>1</v>
      </c>
      <c r="BS195" s="54" t="s">
        <v>221</v>
      </c>
      <c r="BT195" s="54" t="s">
        <v>221</v>
      </c>
      <c r="BU195" s="54"/>
      <c r="BV195" s="54"/>
      <c r="BW195" s="54"/>
      <c r="BX195" s="85">
        <f>VLOOKUP(F195,[1]SKU리스트!$H:$AH,27,FALSE)</f>
        <v>3608</v>
      </c>
      <c r="BY195" s="9"/>
    </row>
    <row r="196" spans="1:78" ht="20.100000000000001" customHeight="1" x14ac:dyDescent="0.3">
      <c r="A196" s="13">
        <v>190</v>
      </c>
      <c r="B196" s="91" t="s">
        <v>348</v>
      </c>
      <c r="C196" s="93" t="s">
        <v>161</v>
      </c>
      <c r="D196" s="98"/>
      <c r="E196" s="98"/>
      <c r="F196" s="96" t="s">
        <v>301</v>
      </c>
      <c r="G196" s="97"/>
      <c r="H196" s="97"/>
      <c r="I196" s="97"/>
      <c r="J196" s="91"/>
      <c r="L196" s="98"/>
      <c r="M196" s="98">
        <v>184</v>
      </c>
      <c r="N196" s="98"/>
      <c r="O196" s="98"/>
      <c r="P196" s="98"/>
      <c r="Q196" s="39" t="s">
        <v>282</v>
      </c>
      <c r="R196" s="5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50"/>
      <c r="AL196" s="50"/>
      <c r="AM196" s="50"/>
      <c r="AN196" s="50"/>
      <c r="AO196" s="53">
        <f>SUM(AI195:AO195)</f>
        <v>1</v>
      </c>
      <c r="AP196" s="51">
        <v>0</v>
      </c>
      <c r="AQ196" s="50"/>
      <c r="AR196" s="50"/>
      <c r="AS196" s="50"/>
      <c r="AT196" s="50"/>
      <c r="AU196" s="50"/>
      <c r="AV196" s="53">
        <f>SUM(AP195:AV195)</f>
        <v>2</v>
      </c>
      <c r="AW196" s="50">
        <v>0</v>
      </c>
      <c r="AX196" s="50"/>
      <c r="AY196" s="50"/>
      <c r="AZ196" s="50"/>
      <c r="BA196" s="50"/>
      <c r="BB196" s="50"/>
      <c r="BC196" s="53">
        <f>SUM(AW195:BC195)</f>
        <v>1</v>
      </c>
      <c r="BD196" s="50">
        <v>0</v>
      </c>
      <c r="BE196" s="50"/>
      <c r="BF196" s="50"/>
      <c r="BG196" s="50"/>
      <c r="BH196" s="50"/>
      <c r="BI196" s="50"/>
      <c r="BJ196" s="53">
        <f>SUM(BD195:BJ195)</f>
        <v>3</v>
      </c>
      <c r="BK196" s="50">
        <v>0</v>
      </c>
      <c r="BL196" s="50"/>
      <c r="BM196" s="50"/>
      <c r="BN196" s="50"/>
      <c r="BO196" s="50"/>
      <c r="BP196" s="50"/>
      <c r="BQ196" s="53">
        <f>SUM(BK195:BQ195)</f>
        <v>4</v>
      </c>
      <c r="BR196" s="50">
        <v>0</v>
      </c>
      <c r="BS196" s="50"/>
      <c r="BT196" s="50"/>
      <c r="BU196" s="50"/>
      <c r="BV196" s="50"/>
      <c r="BW196" s="50"/>
      <c r="BY196" s="91"/>
      <c r="BZ196" s="98"/>
    </row>
    <row r="197" spans="1:78" ht="20.100000000000001" customHeight="1" x14ac:dyDescent="0.3">
      <c r="A197" s="13">
        <v>191</v>
      </c>
      <c r="B197" s="91" t="s">
        <v>348</v>
      </c>
      <c r="C197" s="93" t="s">
        <v>161</v>
      </c>
      <c r="D197" s="91"/>
      <c r="E197" s="91"/>
      <c r="F197" s="96">
        <v>92679069345</v>
      </c>
      <c r="G197" s="97"/>
      <c r="H197" s="97"/>
      <c r="I197" s="97"/>
      <c r="J197" s="91"/>
      <c r="L197" s="98"/>
      <c r="M197" s="98">
        <v>185</v>
      </c>
      <c r="N197" s="98"/>
      <c r="O197" s="98"/>
      <c r="P197" s="98"/>
      <c r="Q197" s="41" t="s">
        <v>1</v>
      </c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 t="str">
        <f>IFERROR(VLOOKUP($F197,[2]원본!$D:$BX,AI$1,FALSE),"")</f>
        <v/>
      </c>
      <c r="AJ197" s="40" t="str">
        <f>IFERROR(VLOOKUP($F197,[2]원본!$D:$BX,AJ$1,FALSE),"")</f>
        <v/>
      </c>
      <c r="AK197" s="40" t="str">
        <f>IFERROR(VLOOKUP($F197,[2]원본!$D:$BX,AK$1,FALSE),"")</f>
        <v/>
      </c>
      <c r="AL197" s="40" t="str">
        <f>IFERROR(VLOOKUP($F197,[2]원본!$D:$BX,AL$1,FALSE),"")</f>
        <v/>
      </c>
      <c r="AM197" s="40" t="str">
        <f>IFERROR(VLOOKUP($F197,[2]원본!$D:$BX,AM$1,FALSE),"")</f>
        <v/>
      </c>
      <c r="AN197" s="40" t="str">
        <f>IFERROR(VLOOKUP($F197,[2]원본!$D:$BX,AN$1,FALSE),"")</f>
        <v/>
      </c>
      <c r="AO197" s="40" t="str">
        <f>IFERROR(VLOOKUP($F197,[2]원본!$D:$BX,AO$1,FALSE),"")</f>
        <v/>
      </c>
      <c r="AP197" s="40" t="str">
        <f>IFERROR(VLOOKUP($F197,[2]원본!$D:$BX,AP$1,FALSE),"")</f>
        <v/>
      </c>
      <c r="AQ197" s="40" t="str">
        <f>IFERROR(VLOOKUP($F197,[2]원본!$D:$BX,AQ$1,FALSE),"")</f>
        <v/>
      </c>
      <c r="AR197" s="40" t="str">
        <f>IFERROR(VLOOKUP($F197,[2]원본!$D:$BX,AR$1,FALSE),"")</f>
        <v/>
      </c>
      <c r="AS197" s="40" t="str">
        <f>IFERROR(VLOOKUP($F197,[2]원본!$D:$BX,AS$1,FALSE),"")</f>
        <v/>
      </c>
      <c r="AT197" s="40" t="str">
        <f>IFERROR(VLOOKUP($F197,[2]원본!$D:$BX,AT$1,FALSE),"")</f>
        <v/>
      </c>
      <c r="AU197" s="40" t="str">
        <f>IFERROR(VLOOKUP($F197,[2]원본!$D:$BX,AU$1,FALSE),"")</f>
        <v/>
      </c>
      <c r="AV197" s="40" t="str">
        <f>IFERROR(VLOOKUP($F197,[2]원본!$D:$BX,AV$1,FALSE),"")</f>
        <v/>
      </c>
      <c r="AW197" s="40" t="str">
        <f>IFERROR(VLOOKUP($F197,[2]원본!$D:$BX,AW$1,FALSE),"")</f>
        <v/>
      </c>
      <c r="AX197" s="40" t="str">
        <f>IFERROR(VLOOKUP($F197,[2]원본!$D:$BX,AX$1,FALSE),"")</f>
        <v/>
      </c>
      <c r="AY197" s="40" t="str">
        <f>IFERROR(VLOOKUP($F197,[2]원본!$D:$BX,AY$1,FALSE),"")</f>
        <v/>
      </c>
      <c r="AZ197" s="40" t="str">
        <f>IFERROR(VLOOKUP($F197,[2]원본!$D:$BX,AZ$1,FALSE),"")</f>
        <v/>
      </c>
      <c r="BA197" s="40" t="str">
        <f>IFERROR(VLOOKUP($F197,[2]원본!$D:$BX,BA$1,FALSE),"")</f>
        <v/>
      </c>
      <c r="BB197" s="40" t="str">
        <f>IFERROR(VLOOKUP($F197,[2]원본!$D:$BX,BB$1,FALSE),"")</f>
        <v/>
      </c>
      <c r="BC197" s="40" t="str">
        <f>IFERROR(VLOOKUP($F197,[2]원본!$D:$BX,BC$1,FALSE),"")</f>
        <v/>
      </c>
      <c r="BD197" s="40" t="str">
        <f>IFERROR(VLOOKUP($F197,[2]원본!$D:$BX,BD$1,FALSE),"")</f>
        <v/>
      </c>
      <c r="BE197" s="40" t="str">
        <f>IFERROR(VLOOKUP($F197,[2]원본!$D:$BX,BE$1,FALSE),"")</f>
        <v/>
      </c>
      <c r="BF197" s="40" t="str">
        <f>IFERROR(VLOOKUP($F197,[2]원본!$D:$BX,BF$1,FALSE),"")</f>
        <v/>
      </c>
      <c r="BG197" s="40" t="str">
        <f>IFERROR(VLOOKUP($F197,[2]원본!$D:$BX,BG$1,FALSE),"")</f>
        <v/>
      </c>
      <c r="BH197" s="40" t="str">
        <f>IFERROR(VLOOKUP($F197,[2]원본!$D:$BX,BH$1,FALSE),"")</f>
        <v/>
      </c>
      <c r="BI197" s="40" t="str">
        <f>IFERROR(VLOOKUP($F197,[2]원본!$D:$BX,BI$1,FALSE),"")</f>
        <v/>
      </c>
      <c r="BJ197" s="40" t="str">
        <f>IFERROR(VLOOKUP($F197,[2]원본!$D:$BX,BJ$1,FALSE),"")</f>
        <v/>
      </c>
      <c r="BK197" s="40" t="str">
        <f>IFERROR(VLOOKUP($F197,[2]원본!$D:$BX,BK$1,FALSE),"")</f>
        <v/>
      </c>
      <c r="BL197" s="40" t="str">
        <f>IFERROR(VLOOKUP($F197,[2]원본!$D:$BX,BL$1,FALSE),"")</f>
        <v/>
      </c>
      <c r="BM197" s="40" t="str">
        <f>IFERROR(VLOOKUP($F197,[2]원본!$D:$BX,BM$1,FALSE),"")</f>
        <v/>
      </c>
      <c r="BN197" s="40" t="str">
        <f>IFERROR(VLOOKUP($F197,[2]원본!$D:$BX,BN$1,FALSE),"")</f>
        <v/>
      </c>
      <c r="BO197" s="40" t="str">
        <f>IFERROR(VLOOKUP($F197,[2]원본!$D:$BX,BO$1,FALSE),"")</f>
        <v/>
      </c>
      <c r="BP197" s="40" t="str">
        <f>IFERROR(VLOOKUP($F197,[2]원본!$D:$BX,BP$1,FALSE),"")</f>
        <v/>
      </c>
      <c r="BQ197" s="40" t="str">
        <f>IFERROR(VLOOKUP($F197,[2]원본!$D:$BX,BQ$1,FALSE),"")</f>
        <v/>
      </c>
      <c r="BR197" s="40" t="str">
        <f>IFERROR(VLOOKUP($F197,[2]원본!$D:$BX,BR$1,FALSE),"")</f>
        <v/>
      </c>
      <c r="BS197" s="40" t="str">
        <f>IFERROR(VLOOKUP($F197,[2]원본!$D:$BX,BS$1,FALSE),"")</f>
        <v/>
      </c>
      <c r="BT197" s="40" t="str">
        <f>IFERROR(VLOOKUP($F197,[2]원본!$D:$BX,BT$1,FALSE),"")</f>
        <v/>
      </c>
      <c r="BU197" s="40" t="str">
        <f>IFERROR(VLOOKUP($F197,[2]원본!$D:$BX,BU$1,FALSE),"")</f>
        <v/>
      </c>
      <c r="BV197" s="40" t="str">
        <f>IFERROR(VLOOKUP($F197,#REF!,BV$1,FALSE),"")</f>
        <v/>
      </c>
      <c r="BW197" s="40"/>
      <c r="BX197" s="26">
        <f>(SUM(R197:BW197)*D195)-(SUM(R197:BW197)*E195)</f>
        <v>0</v>
      </c>
      <c r="BY197" s="91"/>
      <c r="BZ197" s="100" t="str">
        <f>IFERROR(VLOOKUP($F197,#REF!,BZ$1,FALSE),"")</f>
        <v/>
      </c>
    </row>
    <row r="198" spans="1:78" ht="20.100000000000001" customHeight="1" x14ac:dyDescent="0.3">
      <c r="A198" s="13">
        <v>192</v>
      </c>
      <c r="B198" s="91" t="s">
        <v>348</v>
      </c>
      <c r="C198" s="93" t="s">
        <v>161</v>
      </c>
      <c r="D198" s="95" t="s">
        <v>114</v>
      </c>
      <c r="E198" s="91"/>
      <c r="F198" s="96">
        <v>92679069345</v>
      </c>
      <c r="G198" s="97" t="s">
        <v>150</v>
      </c>
      <c r="H198" s="97"/>
      <c r="I198" s="97"/>
      <c r="J198" s="91" t="s">
        <v>115</v>
      </c>
      <c r="K198" s="62">
        <v>136700</v>
      </c>
      <c r="L198" s="98"/>
      <c r="M198" s="98">
        <v>186</v>
      </c>
      <c r="N198" s="98"/>
      <c r="O198" s="98"/>
      <c r="P198" s="98"/>
      <c r="Q198" s="7" t="s">
        <v>185</v>
      </c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>
        <v>338</v>
      </c>
      <c r="AH198" s="7">
        <v>217</v>
      </c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  <c r="BN198" s="22"/>
      <c r="BO198" s="22"/>
      <c r="BP198" s="22"/>
      <c r="BQ198" s="22"/>
      <c r="BR198" s="22"/>
      <c r="BS198" s="22"/>
      <c r="BT198" s="22"/>
      <c r="BU198" s="22"/>
      <c r="BV198" s="22"/>
      <c r="BW198" s="22"/>
      <c r="BY198" s="91"/>
      <c r="BZ198" s="98"/>
    </row>
    <row r="199" spans="1:78" ht="20.100000000000001" customHeight="1" x14ac:dyDescent="0.3">
      <c r="A199" s="13">
        <v>193</v>
      </c>
      <c r="B199" s="91" t="s">
        <v>348</v>
      </c>
      <c r="C199" s="93" t="s">
        <v>161</v>
      </c>
      <c r="D199" s="94"/>
      <c r="E199" s="94"/>
      <c r="F199" s="96">
        <v>92679069345</v>
      </c>
      <c r="G199" s="97"/>
      <c r="H199" s="97"/>
      <c r="I199" s="97"/>
      <c r="J199" s="91" t="s">
        <v>116</v>
      </c>
      <c r="K199" s="62">
        <v>118700</v>
      </c>
      <c r="L199" s="98"/>
      <c r="M199" s="98">
        <v>187</v>
      </c>
      <c r="N199" s="98"/>
      <c r="O199" s="98"/>
      <c r="P199" s="98"/>
      <c r="Q199" s="7" t="s">
        <v>185</v>
      </c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>
        <v>386</v>
      </c>
      <c r="AE199" s="7">
        <v>196</v>
      </c>
      <c r="AF199" s="7">
        <v>173</v>
      </c>
      <c r="AG199" s="7">
        <v>170</v>
      </c>
      <c r="AH199" s="7">
        <v>202</v>
      </c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  <c r="BH199" s="22"/>
      <c r="BI199" s="22"/>
      <c r="BJ199" s="22"/>
      <c r="BK199" s="22"/>
      <c r="BL199" s="22"/>
      <c r="BM199" s="22"/>
      <c r="BN199" s="22"/>
      <c r="BO199" s="22"/>
      <c r="BP199" s="22"/>
      <c r="BQ199" s="22"/>
      <c r="BR199" s="22"/>
      <c r="BS199" s="22"/>
      <c r="BT199" s="22"/>
      <c r="BU199" s="22"/>
      <c r="BV199" s="22"/>
      <c r="BW199" s="22"/>
      <c r="BY199" s="91"/>
      <c r="BZ199" s="98"/>
    </row>
    <row r="200" spans="1:78" ht="20.100000000000001" customHeight="1" x14ac:dyDescent="0.3">
      <c r="A200" s="13">
        <v>194</v>
      </c>
      <c r="B200" s="91" t="s">
        <v>348</v>
      </c>
      <c r="C200" s="93" t="s">
        <v>161</v>
      </c>
      <c r="D200" s="94"/>
      <c r="E200" s="94"/>
      <c r="F200" s="96">
        <v>92679069345</v>
      </c>
      <c r="G200" s="97"/>
      <c r="H200" s="97"/>
      <c r="I200" s="97"/>
      <c r="J200" s="91" t="s">
        <v>30</v>
      </c>
      <c r="K200" s="62">
        <v>32300</v>
      </c>
      <c r="L200" s="98"/>
      <c r="M200" s="98">
        <v>188</v>
      </c>
      <c r="N200" s="98"/>
      <c r="O200" s="98"/>
      <c r="P200" s="98"/>
      <c r="Q200" s="7" t="s">
        <v>185</v>
      </c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 t="s">
        <v>36</v>
      </c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  <c r="BH200" s="22"/>
      <c r="BI200" s="22"/>
      <c r="BJ200" s="22"/>
      <c r="BK200" s="22"/>
      <c r="BL200" s="22"/>
      <c r="BM200" s="22"/>
      <c r="BN200" s="22"/>
      <c r="BO200" s="22"/>
      <c r="BP200" s="22"/>
      <c r="BQ200" s="22"/>
      <c r="BR200" s="22"/>
      <c r="BS200" s="22"/>
      <c r="BT200" s="22"/>
      <c r="BU200" s="22"/>
      <c r="BV200" s="22"/>
      <c r="BW200" s="22"/>
      <c r="BY200" s="91"/>
      <c r="BZ200" s="98"/>
    </row>
    <row r="201" spans="1:78" ht="20.100000000000001" customHeight="1" x14ac:dyDescent="0.3">
      <c r="A201" s="13">
        <v>195</v>
      </c>
      <c r="B201" s="4" t="s">
        <v>348</v>
      </c>
      <c r="C201" s="69" t="s">
        <v>161</v>
      </c>
      <c r="D201" s="20"/>
      <c r="E201" s="20"/>
      <c r="F201" s="2">
        <v>92679069345</v>
      </c>
      <c r="H201" s="3"/>
      <c r="J201" s="4" t="s">
        <v>117</v>
      </c>
      <c r="K201" s="5">
        <v>1400</v>
      </c>
      <c r="M201" s="1">
        <v>189</v>
      </c>
      <c r="Q201" s="7" t="s">
        <v>185</v>
      </c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>
        <v>51</v>
      </c>
      <c r="AG201" s="7" t="s">
        <v>36</v>
      </c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  <c r="BH201" s="22"/>
      <c r="BI201" s="22"/>
      <c r="BJ201" s="22"/>
      <c r="BK201" s="22"/>
      <c r="BL201" s="22"/>
      <c r="BM201" s="22"/>
      <c r="BN201" s="22"/>
      <c r="BO201" s="22"/>
      <c r="BP201" s="22"/>
      <c r="BQ201" s="22"/>
      <c r="BR201" s="22"/>
      <c r="BS201" s="22"/>
      <c r="BT201" s="22"/>
      <c r="BU201" s="22"/>
      <c r="BV201" s="22"/>
      <c r="BW201" s="22"/>
    </row>
    <row r="202" spans="1:78" ht="20.100000000000001" customHeight="1" x14ac:dyDescent="0.3">
      <c r="A202" s="13">
        <v>196</v>
      </c>
      <c r="B202" s="4" t="s">
        <v>348</v>
      </c>
      <c r="C202" s="69" t="s">
        <v>161</v>
      </c>
      <c r="D202" s="20"/>
      <c r="E202" s="20"/>
      <c r="F202" s="2">
        <v>92679069345</v>
      </c>
      <c r="H202" s="3"/>
      <c r="J202" s="4" t="s">
        <v>118</v>
      </c>
      <c r="K202" s="5">
        <v>1100</v>
      </c>
      <c r="M202" s="1">
        <v>190</v>
      </c>
      <c r="Q202" s="7" t="s">
        <v>185</v>
      </c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 t="s">
        <v>36</v>
      </c>
      <c r="AG202" s="7" t="s">
        <v>36</v>
      </c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  <c r="BH202" s="22"/>
      <c r="BI202" s="22"/>
      <c r="BJ202" s="22"/>
      <c r="BK202" s="22"/>
      <c r="BL202" s="22"/>
      <c r="BM202" s="22"/>
      <c r="BN202" s="22"/>
      <c r="BO202" s="22"/>
      <c r="BP202" s="22"/>
      <c r="BQ202" s="22"/>
      <c r="BR202" s="22"/>
      <c r="BS202" s="22"/>
      <c r="BT202" s="22"/>
      <c r="BU202" s="22"/>
      <c r="BV202" s="22"/>
      <c r="BW202" s="22"/>
    </row>
    <row r="203" spans="1:78" s="14" customFormat="1" ht="20.100000000000001" customHeight="1" thickBot="1" x14ac:dyDescent="0.35">
      <c r="A203" s="13">
        <v>197</v>
      </c>
      <c r="B203" s="15" t="s">
        <v>348</v>
      </c>
      <c r="C203" s="71" t="s">
        <v>161</v>
      </c>
      <c r="D203" s="21"/>
      <c r="E203" s="21"/>
      <c r="F203" s="16">
        <v>92679069345</v>
      </c>
      <c r="G203" s="17"/>
      <c r="H203" s="17"/>
      <c r="I203" s="17"/>
      <c r="J203" s="15" t="s">
        <v>119</v>
      </c>
      <c r="K203" s="18"/>
      <c r="M203" s="14">
        <v>191</v>
      </c>
      <c r="Q203" s="19" t="s">
        <v>185</v>
      </c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23"/>
      <c r="AU203" s="23"/>
      <c r="AV203" s="23"/>
      <c r="AW203" s="23"/>
      <c r="AX203" s="23"/>
      <c r="AY203" s="23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18"/>
      <c r="BY203" s="15"/>
    </row>
    <row r="204" spans="1:78" s="8" customFormat="1" ht="20.100000000000001" customHeight="1" x14ac:dyDescent="0.3">
      <c r="A204" s="13">
        <v>198</v>
      </c>
      <c r="B204" s="9" t="s">
        <v>348</v>
      </c>
      <c r="C204" s="70" t="s">
        <v>161</v>
      </c>
      <c r="D204" s="46">
        <f>VLOOKUP(F206,[1]SKU리스트!$H:$L,5,FALSE)</f>
        <v>7900</v>
      </c>
      <c r="E204" s="47">
        <f>VLOOKUP(F206,[1]SKU리스트!$H:$AK,30,FALSE)</f>
        <v>4419.090909090909</v>
      </c>
      <c r="F204" s="10" t="s">
        <v>215</v>
      </c>
      <c r="G204" s="11"/>
      <c r="H204" s="11"/>
      <c r="I204" s="11"/>
      <c r="J204" s="9"/>
      <c r="K204" s="12"/>
      <c r="M204" s="8">
        <v>192</v>
      </c>
      <c r="Q204" s="44" t="s">
        <v>125</v>
      </c>
      <c r="R204" s="54">
        <v>1</v>
      </c>
      <c r="S204" s="54" t="s">
        <v>221</v>
      </c>
      <c r="T204" s="54">
        <v>2</v>
      </c>
      <c r="U204" s="54">
        <v>1</v>
      </c>
      <c r="V204" s="54" t="s">
        <v>221</v>
      </c>
      <c r="W204" s="54">
        <v>0</v>
      </c>
      <c r="X204" s="54">
        <v>3</v>
      </c>
      <c r="Y204" s="54" t="s">
        <v>221</v>
      </c>
      <c r="Z204" s="54">
        <v>-1</v>
      </c>
      <c r="AA204" s="54" t="s">
        <v>221</v>
      </c>
      <c r="AB204" s="54" t="s">
        <v>221</v>
      </c>
      <c r="AC204" s="54" t="s">
        <v>221</v>
      </c>
      <c r="AD204" s="54" t="s">
        <v>221</v>
      </c>
      <c r="AE204" s="54" t="s">
        <v>221</v>
      </c>
      <c r="AF204" s="54" t="s">
        <v>221</v>
      </c>
      <c r="AG204" s="54" t="s">
        <v>221</v>
      </c>
      <c r="AH204" s="54" t="s">
        <v>221</v>
      </c>
      <c r="AI204" s="54" t="s">
        <v>221</v>
      </c>
      <c r="AJ204" s="54" t="s">
        <v>221</v>
      </c>
      <c r="AK204" s="54" t="s">
        <v>221</v>
      </c>
      <c r="AL204" s="54" t="s">
        <v>221</v>
      </c>
      <c r="AM204" s="54">
        <v>8</v>
      </c>
      <c r="AN204" s="54">
        <v>8</v>
      </c>
      <c r="AO204" s="54" t="s">
        <v>221</v>
      </c>
      <c r="AP204" s="54" t="s">
        <v>221</v>
      </c>
      <c r="AQ204" s="54" t="s">
        <v>221</v>
      </c>
      <c r="AR204" s="54" t="s">
        <v>221</v>
      </c>
      <c r="AS204" s="54" t="s">
        <v>221</v>
      </c>
      <c r="AT204" s="54" t="s">
        <v>221</v>
      </c>
      <c r="AU204" s="54" t="s">
        <v>221</v>
      </c>
      <c r="AV204" s="54" t="s">
        <v>221</v>
      </c>
      <c r="AW204" s="54" t="s">
        <v>221</v>
      </c>
      <c r="AX204" s="54" t="s">
        <v>221</v>
      </c>
      <c r="AY204" s="54" t="s">
        <v>221</v>
      </c>
      <c r="AZ204" s="54">
        <v>-1</v>
      </c>
      <c r="BA204" s="54" t="s">
        <v>221</v>
      </c>
      <c r="BB204" s="54" t="s">
        <v>221</v>
      </c>
      <c r="BC204" s="54" t="s">
        <v>221</v>
      </c>
      <c r="BD204" s="54" t="s">
        <v>221</v>
      </c>
      <c r="BE204" s="54" t="s">
        <v>221</v>
      </c>
      <c r="BF204" s="54" t="s">
        <v>221</v>
      </c>
      <c r="BG204" s="54" t="s">
        <v>221</v>
      </c>
      <c r="BH204" s="54" t="s">
        <v>221</v>
      </c>
      <c r="BI204" s="54" t="s">
        <v>221</v>
      </c>
      <c r="BJ204" s="54" t="s">
        <v>221</v>
      </c>
      <c r="BK204" s="54" t="s">
        <v>221</v>
      </c>
      <c r="BL204" s="54" t="s">
        <v>221</v>
      </c>
      <c r="BM204" s="54" t="s">
        <v>221</v>
      </c>
      <c r="BN204" s="54" t="s">
        <v>221</v>
      </c>
      <c r="BO204" s="54" t="s">
        <v>221</v>
      </c>
      <c r="BP204" s="54" t="s">
        <v>221</v>
      </c>
      <c r="BQ204" s="54" t="s">
        <v>221</v>
      </c>
      <c r="BR204" s="54">
        <v>1</v>
      </c>
      <c r="BS204" s="54">
        <v>1</v>
      </c>
      <c r="BT204" s="54" t="s">
        <v>221</v>
      </c>
      <c r="BU204" s="54"/>
      <c r="BV204" s="54"/>
      <c r="BW204" s="54"/>
      <c r="BX204" s="85">
        <f>VLOOKUP(F204,[1]SKU리스트!$H:$AH,27,FALSE)</f>
        <v>1732</v>
      </c>
      <c r="BY204" s="9"/>
    </row>
    <row r="205" spans="1:78" ht="20.100000000000001" customHeight="1" x14ac:dyDescent="0.3">
      <c r="A205" s="13">
        <v>199</v>
      </c>
      <c r="B205" s="91" t="s">
        <v>348</v>
      </c>
      <c r="C205" s="93" t="s">
        <v>161</v>
      </c>
      <c r="D205" s="98"/>
      <c r="E205" s="98"/>
      <c r="F205" s="96" t="s">
        <v>302</v>
      </c>
      <c r="G205" s="97"/>
      <c r="H205" s="97"/>
      <c r="I205" s="97"/>
      <c r="J205" s="91"/>
      <c r="L205" s="98"/>
      <c r="M205" s="98">
        <v>193</v>
      </c>
      <c r="N205" s="98"/>
      <c r="O205" s="98"/>
      <c r="P205" s="98"/>
      <c r="Q205" s="39" t="s">
        <v>282</v>
      </c>
      <c r="R205" s="5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50"/>
      <c r="AL205" s="50"/>
      <c r="AM205" s="50"/>
      <c r="AN205" s="50"/>
      <c r="AO205" s="53">
        <f>SUM(AI204:AO204)</f>
        <v>16</v>
      </c>
      <c r="AP205" s="51">
        <v>1</v>
      </c>
      <c r="AQ205" s="50"/>
      <c r="AR205" s="50"/>
      <c r="AS205" s="50"/>
      <c r="AT205" s="50"/>
      <c r="AU205" s="50"/>
      <c r="AV205" s="53">
        <f>SUM(AP204:AV204)</f>
        <v>0</v>
      </c>
      <c r="AW205" s="50">
        <v>0</v>
      </c>
      <c r="AX205" s="50"/>
      <c r="AY205" s="50"/>
      <c r="AZ205" s="50"/>
      <c r="BA205" s="50"/>
      <c r="BB205" s="50"/>
      <c r="BC205" s="53">
        <f>SUM(AW204:BC204)</f>
        <v>-1</v>
      </c>
      <c r="BD205" s="50">
        <v>0</v>
      </c>
      <c r="BE205" s="50"/>
      <c r="BF205" s="50"/>
      <c r="BG205" s="50"/>
      <c r="BH205" s="50"/>
      <c r="BI205" s="50"/>
      <c r="BJ205" s="53">
        <f>SUM(BD204:BJ204)</f>
        <v>0</v>
      </c>
      <c r="BK205" s="50">
        <v>0</v>
      </c>
      <c r="BL205" s="50"/>
      <c r="BM205" s="50"/>
      <c r="BN205" s="50"/>
      <c r="BO205" s="50"/>
      <c r="BP205" s="50"/>
      <c r="BQ205" s="53">
        <f>SUM(BK204:BQ204)</f>
        <v>0</v>
      </c>
      <c r="BR205" s="50">
        <v>0</v>
      </c>
      <c r="BS205" s="50"/>
      <c r="BT205" s="50"/>
      <c r="BU205" s="50"/>
      <c r="BV205" s="50"/>
      <c r="BW205" s="50"/>
      <c r="BY205" s="91"/>
      <c r="BZ205" s="98"/>
    </row>
    <row r="206" spans="1:78" ht="20.100000000000001" customHeight="1" x14ac:dyDescent="0.3">
      <c r="A206" s="13">
        <v>200</v>
      </c>
      <c r="B206" s="91" t="s">
        <v>348</v>
      </c>
      <c r="C206" s="93" t="s">
        <v>161</v>
      </c>
      <c r="D206" s="91"/>
      <c r="E206" s="91"/>
      <c r="F206" s="96">
        <v>92679069328</v>
      </c>
      <c r="G206" s="97"/>
      <c r="H206" s="97"/>
      <c r="I206" s="97"/>
      <c r="J206" s="91"/>
      <c r="L206" s="98"/>
      <c r="M206" s="98">
        <v>194</v>
      </c>
      <c r="N206" s="98"/>
      <c r="O206" s="98"/>
      <c r="P206" s="98"/>
      <c r="Q206" s="41" t="s">
        <v>1</v>
      </c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 t="str">
        <f>IFERROR(VLOOKUP($F206,[2]원본!$D:$BX,AI$1,FALSE),"")</f>
        <v/>
      </c>
      <c r="AJ206" s="40" t="str">
        <f>IFERROR(VLOOKUP($F206,[2]원본!$D:$BX,AJ$1,FALSE),"")</f>
        <v/>
      </c>
      <c r="AK206" s="40" t="str">
        <f>IFERROR(VLOOKUP($F206,[2]원본!$D:$BX,AK$1,FALSE),"")</f>
        <v/>
      </c>
      <c r="AL206" s="40" t="str">
        <f>IFERROR(VLOOKUP($F206,[2]원본!$D:$BX,AL$1,FALSE),"")</f>
        <v/>
      </c>
      <c r="AM206" s="40" t="str">
        <f>IFERROR(VLOOKUP($F206,[2]원본!$D:$BX,AM$1,FALSE),"")</f>
        <v/>
      </c>
      <c r="AN206" s="40" t="str">
        <f>IFERROR(VLOOKUP($F206,[2]원본!$D:$BX,AN$1,FALSE),"")</f>
        <v/>
      </c>
      <c r="AO206" s="40" t="str">
        <f>IFERROR(VLOOKUP($F206,[2]원본!$D:$BX,AO$1,FALSE),"")</f>
        <v/>
      </c>
      <c r="AP206" s="40" t="str">
        <f>IFERROR(VLOOKUP($F206,[2]원본!$D:$BX,AP$1,FALSE),"")</f>
        <v/>
      </c>
      <c r="AQ206" s="40" t="str">
        <f>IFERROR(VLOOKUP($F206,[2]원본!$D:$BX,AQ$1,FALSE),"")</f>
        <v/>
      </c>
      <c r="AR206" s="40" t="str">
        <f>IFERROR(VLOOKUP($F206,[2]원본!$D:$BX,AR$1,FALSE),"")</f>
        <v/>
      </c>
      <c r="AS206" s="40" t="str">
        <f>IFERROR(VLOOKUP($F206,[2]원본!$D:$BX,AS$1,FALSE),"")</f>
        <v/>
      </c>
      <c r="AT206" s="40" t="str">
        <f>IFERROR(VLOOKUP($F206,[2]원본!$D:$BX,AT$1,FALSE),"")</f>
        <v/>
      </c>
      <c r="AU206" s="40" t="str">
        <f>IFERROR(VLOOKUP($F206,[2]원본!$D:$BX,AU$1,FALSE),"")</f>
        <v/>
      </c>
      <c r="AV206" s="40" t="str">
        <f>IFERROR(VLOOKUP($F206,[2]원본!$D:$BX,AV$1,FALSE),"")</f>
        <v/>
      </c>
      <c r="AW206" s="40" t="str">
        <f>IFERROR(VLOOKUP($F206,[2]원본!$D:$BX,AW$1,FALSE),"")</f>
        <v/>
      </c>
      <c r="AX206" s="40" t="str">
        <f>IFERROR(VLOOKUP($F206,[2]원본!$D:$BX,AX$1,FALSE),"")</f>
        <v/>
      </c>
      <c r="AY206" s="40" t="str">
        <f>IFERROR(VLOOKUP($F206,[2]원본!$D:$BX,AY$1,FALSE),"")</f>
        <v/>
      </c>
      <c r="AZ206" s="40" t="str">
        <f>IFERROR(VLOOKUP($F206,[2]원본!$D:$BX,AZ$1,FALSE),"")</f>
        <v/>
      </c>
      <c r="BA206" s="40" t="str">
        <f>IFERROR(VLOOKUP($F206,[2]원본!$D:$BX,BA$1,FALSE),"")</f>
        <v/>
      </c>
      <c r="BB206" s="40" t="str">
        <f>IFERROR(VLOOKUP($F206,[2]원본!$D:$BX,BB$1,FALSE),"")</f>
        <v/>
      </c>
      <c r="BC206" s="40" t="str">
        <f>IFERROR(VLOOKUP($F206,[2]원본!$D:$BX,BC$1,FALSE),"")</f>
        <v/>
      </c>
      <c r="BD206" s="40" t="str">
        <f>IFERROR(VLOOKUP($F206,[2]원본!$D:$BX,BD$1,FALSE),"")</f>
        <v/>
      </c>
      <c r="BE206" s="40" t="str">
        <f>IFERROR(VLOOKUP($F206,[2]원본!$D:$BX,BE$1,FALSE),"")</f>
        <v/>
      </c>
      <c r="BF206" s="40" t="str">
        <f>IFERROR(VLOOKUP($F206,[2]원본!$D:$BX,BF$1,FALSE),"")</f>
        <v/>
      </c>
      <c r="BG206" s="40" t="str">
        <f>IFERROR(VLOOKUP($F206,[2]원본!$D:$BX,BG$1,FALSE),"")</f>
        <v/>
      </c>
      <c r="BH206" s="40" t="str">
        <f>IFERROR(VLOOKUP($F206,[2]원본!$D:$BX,BH$1,FALSE),"")</f>
        <v/>
      </c>
      <c r="BI206" s="40" t="str">
        <f>IFERROR(VLOOKUP($F206,[2]원본!$D:$BX,BI$1,FALSE),"")</f>
        <v/>
      </c>
      <c r="BJ206" s="40" t="str">
        <f>IFERROR(VLOOKUP($F206,[2]원본!$D:$BX,BJ$1,FALSE),"")</f>
        <v/>
      </c>
      <c r="BK206" s="40" t="str">
        <f>IFERROR(VLOOKUP($F206,[2]원본!$D:$BX,BK$1,FALSE),"")</f>
        <v/>
      </c>
      <c r="BL206" s="40" t="str">
        <f>IFERROR(VLOOKUP($F206,[2]원본!$D:$BX,BL$1,FALSE),"")</f>
        <v/>
      </c>
      <c r="BM206" s="40" t="str">
        <f>IFERROR(VLOOKUP($F206,[2]원본!$D:$BX,BM$1,FALSE),"")</f>
        <v/>
      </c>
      <c r="BN206" s="40" t="str">
        <f>IFERROR(VLOOKUP($F206,[2]원본!$D:$BX,BN$1,FALSE),"")</f>
        <v/>
      </c>
      <c r="BO206" s="40" t="str">
        <f>IFERROR(VLOOKUP($F206,[2]원본!$D:$BX,BO$1,FALSE),"")</f>
        <v/>
      </c>
      <c r="BP206" s="40" t="str">
        <f>IFERROR(VLOOKUP($F206,[2]원본!$D:$BX,BP$1,FALSE),"")</f>
        <v/>
      </c>
      <c r="BQ206" s="40" t="str">
        <f>IFERROR(VLOOKUP($F206,[2]원본!$D:$BX,BQ$1,FALSE),"")</f>
        <v/>
      </c>
      <c r="BR206" s="40" t="str">
        <f>IFERROR(VLOOKUP($F206,[2]원본!$D:$BX,BR$1,FALSE),"")</f>
        <v/>
      </c>
      <c r="BS206" s="40" t="str">
        <f>IFERROR(VLOOKUP($F206,[2]원본!$D:$BX,BS$1,FALSE),"")</f>
        <v/>
      </c>
      <c r="BT206" s="40" t="str">
        <f>IFERROR(VLOOKUP($F206,[2]원본!$D:$BX,BT$1,FALSE),"")</f>
        <v/>
      </c>
      <c r="BU206" s="40" t="str">
        <f>IFERROR(VLOOKUP($F206,[2]원본!$D:$BX,BU$1,FALSE),"")</f>
        <v/>
      </c>
      <c r="BV206" s="40" t="str">
        <f>IFERROR(VLOOKUP($F206,#REF!,BV$1,FALSE),"")</f>
        <v/>
      </c>
      <c r="BW206" s="40"/>
      <c r="BX206" s="26">
        <f>(SUM(R206:BW206)*D204)-(SUM(R206:BW206)*E204)</f>
        <v>0</v>
      </c>
      <c r="BY206" s="91"/>
      <c r="BZ206" s="100" t="str">
        <f>IFERROR(VLOOKUP($F206,#REF!,BZ$1,FALSE),"")</f>
        <v/>
      </c>
    </row>
    <row r="207" spans="1:78" ht="20.100000000000001" customHeight="1" x14ac:dyDescent="0.3">
      <c r="A207" s="13">
        <v>201</v>
      </c>
      <c r="B207" s="4" t="s">
        <v>348</v>
      </c>
      <c r="C207" s="69" t="s">
        <v>161</v>
      </c>
      <c r="D207" s="82" t="s">
        <v>179</v>
      </c>
      <c r="F207" s="2">
        <v>92679069328</v>
      </c>
      <c r="G207" s="3" t="s">
        <v>151</v>
      </c>
      <c r="H207" s="3"/>
      <c r="J207" s="4" t="s">
        <v>115</v>
      </c>
      <c r="K207" s="62">
        <v>136700</v>
      </c>
      <c r="M207" s="1">
        <v>195</v>
      </c>
      <c r="Q207" s="7" t="s">
        <v>363</v>
      </c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>
        <v>217</v>
      </c>
      <c r="AI207" s="7"/>
      <c r="AJ207" s="7"/>
      <c r="AK207" s="7">
        <v>346</v>
      </c>
      <c r="AL207" s="7"/>
      <c r="AM207" s="7"/>
      <c r="AN207" s="7"/>
      <c r="AO207" s="7"/>
      <c r="AP207" s="7"/>
      <c r="AQ207" s="7"/>
      <c r="AR207" s="7"/>
      <c r="AS207" s="7"/>
      <c r="AT207" s="7">
        <v>293</v>
      </c>
      <c r="AU207" s="7">
        <v>290</v>
      </c>
      <c r="AV207" s="7"/>
      <c r="AW207" s="7"/>
      <c r="AX207" s="7"/>
      <c r="AY207" s="7"/>
      <c r="AZ207" s="7"/>
      <c r="BA207" s="7">
        <v>375</v>
      </c>
      <c r="BB207" s="22"/>
      <c r="BC207" s="22"/>
      <c r="BD207" s="22"/>
      <c r="BE207" s="22"/>
      <c r="BF207" s="22"/>
      <c r="BG207" s="22"/>
      <c r="BH207" s="22"/>
      <c r="BI207" s="22"/>
      <c r="BJ207" s="22"/>
      <c r="BK207" s="22"/>
      <c r="BL207" s="22"/>
      <c r="BM207" s="22"/>
      <c r="BN207" s="22"/>
      <c r="BO207" s="22"/>
      <c r="BP207" s="22"/>
      <c r="BQ207" s="22"/>
      <c r="BR207" s="22"/>
      <c r="BS207" s="22"/>
      <c r="BT207" s="22"/>
      <c r="BU207" s="22"/>
      <c r="BV207" s="22"/>
      <c r="BW207" s="22"/>
    </row>
    <row r="208" spans="1:78" ht="20.100000000000001" customHeight="1" x14ac:dyDescent="0.3">
      <c r="A208" s="13">
        <v>202</v>
      </c>
      <c r="B208" s="91" t="s">
        <v>348</v>
      </c>
      <c r="C208" s="93" t="s">
        <v>161</v>
      </c>
      <c r="D208" s="94"/>
      <c r="E208" s="94"/>
      <c r="F208" s="96">
        <v>92679069328</v>
      </c>
      <c r="G208" s="97"/>
      <c r="H208" s="97"/>
      <c r="I208" s="97"/>
      <c r="J208" s="91" t="s">
        <v>116</v>
      </c>
      <c r="K208" s="62">
        <v>118700</v>
      </c>
      <c r="L208" s="98"/>
      <c r="M208" s="98">
        <v>196</v>
      </c>
      <c r="N208" s="98"/>
      <c r="O208" s="98"/>
      <c r="P208" s="98"/>
      <c r="Q208" s="7" t="s">
        <v>363</v>
      </c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>
        <v>2558</v>
      </c>
      <c r="AI208" s="7"/>
      <c r="AJ208" s="7"/>
      <c r="AK208" s="7">
        <v>245</v>
      </c>
      <c r="AL208" s="7"/>
      <c r="AM208" s="7"/>
      <c r="AN208" s="7"/>
      <c r="AO208" s="7"/>
      <c r="AP208" s="7"/>
      <c r="AQ208" s="7"/>
      <c r="AR208" s="7"/>
      <c r="AS208" s="7"/>
      <c r="AT208" s="7">
        <v>268</v>
      </c>
      <c r="AU208" s="7">
        <v>305</v>
      </c>
      <c r="AV208" s="7"/>
      <c r="AW208" s="7"/>
      <c r="AX208" s="7"/>
      <c r="AY208" s="7"/>
      <c r="AZ208" s="7"/>
      <c r="BA208" s="7">
        <v>398</v>
      </c>
      <c r="BB208" s="22"/>
      <c r="BC208" s="22"/>
      <c r="BD208" s="22"/>
      <c r="BE208" s="22"/>
      <c r="BF208" s="22"/>
      <c r="BG208" s="22"/>
      <c r="BH208" s="22"/>
      <c r="BI208" s="22"/>
      <c r="BJ208" s="22"/>
      <c r="BK208" s="22"/>
      <c r="BL208" s="22"/>
      <c r="BM208" s="22"/>
      <c r="BN208" s="22"/>
      <c r="BO208" s="22"/>
      <c r="BP208" s="22"/>
      <c r="BQ208" s="22"/>
      <c r="BR208" s="22"/>
      <c r="BS208" s="22"/>
      <c r="BT208" s="22"/>
      <c r="BU208" s="22"/>
      <c r="BV208" s="22"/>
      <c r="BW208" s="22"/>
      <c r="BY208" s="91"/>
      <c r="BZ208" s="98"/>
    </row>
    <row r="209" spans="1:78" ht="20.100000000000001" customHeight="1" x14ac:dyDescent="0.3">
      <c r="A209" s="13">
        <v>203</v>
      </c>
      <c r="B209" s="91" t="s">
        <v>348</v>
      </c>
      <c r="C209" s="93" t="s">
        <v>161</v>
      </c>
      <c r="D209" s="94"/>
      <c r="E209" s="94"/>
      <c r="F209" s="96">
        <v>92679069328</v>
      </c>
      <c r="G209" s="97"/>
      <c r="H209" s="97"/>
      <c r="I209" s="97"/>
      <c r="J209" s="91" t="s">
        <v>30</v>
      </c>
      <c r="K209" s="62">
        <v>32300</v>
      </c>
      <c r="L209" s="98"/>
      <c r="M209" s="98">
        <v>197</v>
      </c>
      <c r="N209" s="98"/>
      <c r="O209" s="98"/>
      <c r="P209" s="98"/>
      <c r="Q209" s="7" t="s">
        <v>363</v>
      </c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>
        <v>83</v>
      </c>
      <c r="AI209" s="7"/>
      <c r="AJ209" s="7"/>
      <c r="AK209" s="7">
        <v>86</v>
      </c>
      <c r="AL209" s="7"/>
      <c r="AM209" s="7"/>
      <c r="AN209" s="7"/>
      <c r="AO209" s="7"/>
      <c r="AP209" s="7"/>
      <c r="AQ209" s="7"/>
      <c r="AR209" s="7"/>
      <c r="AS209" s="7"/>
      <c r="AT209" s="7">
        <v>124</v>
      </c>
      <c r="AU209" s="7">
        <v>118</v>
      </c>
      <c r="AV209" s="7"/>
      <c r="AW209" s="7"/>
      <c r="AX209" s="7"/>
      <c r="AY209" s="7"/>
      <c r="AZ209" s="7"/>
      <c r="BA209" s="7">
        <v>203</v>
      </c>
      <c r="BB209" s="22"/>
      <c r="BC209" s="22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  <c r="BN209" s="22"/>
      <c r="BO209" s="22"/>
      <c r="BP209" s="22"/>
      <c r="BQ209" s="22"/>
      <c r="BR209" s="22"/>
      <c r="BS209" s="22"/>
      <c r="BT209" s="22"/>
      <c r="BU209" s="22"/>
      <c r="BV209" s="22"/>
      <c r="BW209" s="22"/>
      <c r="BY209" s="91"/>
      <c r="BZ209" s="98"/>
    </row>
    <row r="210" spans="1:78" s="14" customFormat="1" ht="20.100000000000001" customHeight="1" thickBot="1" x14ac:dyDescent="0.35">
      <c r="A210" s="13">
        <v>204</v>
      </c>
      <c r="B210" s="15" t="s">
        <v>348</v>
      </c>
      <c r="C210" s="71" t="s">
        <v>161</v>
      </c>
      <c r="D210" s="21"/>
      <c r="E210" s="21"/>
      <c r="F210" s="16">
        <v>92679069328</v>
      </c>
      <c r="G210" s="17"/>
      <c r="H210" s="17"/>
      <c r="I210" s="17"/>
      <c r="J210" s="15" t="s">
        <v>117</v>
      </c>
      <c r="K210" s="18">
        <v>1400</v>
      </c>
      <c r="M210" s="14">
        <v>198</v>
      </c>
      <c r="Q210" s="19" t="s">
        <v>185</v>
      </c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>
        <v>58</v>
      </c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23"/>
      <c r="AU210" s="23"/>
      <c r="AV210" s="23"/>
      <c r="AW210" s="23"/>
      <c r="AX210" s="23"/>
      <c r="AY210" s="23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18"/>
      <c r="BY210" s="15"/>
    </row>
    <row r="211" spans="1:78" s="8" customFormat="1" ht="20.100000000000001" customHeight="1" x14ac:dyDescent="0.3">
      <c r="A211" s="13">
        <v>205</v>
      </c>
      <c r="B211" s="9" t="s">
        <v>349</v>
      </c>
      <c r="C211" s="66" t="s">
        <v>160</v>
      </c>
      <c r="D211" s="46">
        <f>VLOOKUP(F213,[1]SKU리스트!$H:$L,5,FALSE)</f>
        <v>21900</v>
      </c>
      <c r="E211" s="47">
        <f>VLOOKUP(F213,[1]SKU리스트!$H:$AK,30,FALSE)</f>
        <v>5228.9090909090901</v>
      </c>
      <c r="F211" s="10" t="s">
        <v>216</v>
      </c>
      <c r="G211" s="11"/>
      <c r="H211" s="11"/>
      <c r="I211" s="11"/>
      <c r="J211" s="9"/>
      <c r="K211" s="12"/>
      <c r="M211" s="8">
        <v>199</v>
      </c>
      <c r="Q211" s="44" t="s">
        <v>125</v>
      </c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>
        <v>9</v>
      </c>
      <c r="AJ211" s="54">
        <v>7</v>
      </c>
      <c r="AK211" s="54">
        <v>10</v>
      </c>
      <c r="AL211" s="54">
        <v>13</v>
      </c>
      <c r="AM211" s="54">
        <v>13</v>
      </c>
      <c r="AN211" s="54">
        <v>3</v>
      </c>
      <c r="AO211" s="54">
        <v>9</v>
      </c>
      <c r="AP211" s="54">
        <v>14</v>
      </c>
      <c r="AQ211" s="54">
        <v>7</v>
      </c>
      <c r="AR211" s="54">
        <v>8</v>
      </c>
      <c r="AS211" s="54">
        <v>11</v>
      </c>
      <c r="AT211" s="54">
        <v>10</v>
      </c>
      <c r="AU211" s="54">
        <v>12</v>
      </c>
      <c r="AV211" s="54">
        <v>9</v>
      </c>
      <c r="AW211" s="54">
        <v>16</v>
      </c>
      <c r="AX211" s="54">
        <v>24</v>
      </c>
      <c r="AY211" s="54">
        <v>13</v>
      </c>
      <c r="AZ211" s="54">
        <v>8</v>
      </c>
      <c r="BA211" s="54">
        <v>8</v>
      </c>
      <c r="BB211" s="54">
        <v>0</v>
      </c>
      <c r="BC211" s="54">
        <v>0</v>
      </c>
      <c r="BD211" s="54">
        <v>1</v>
      </c>
      <c r="BE211" s="54">
        <v>0</v>
      </c>
      <c r="BF211" s="54">
        <v>7</v>
      </c>
      <c r="BG211" s="54">
        <v>9</v>
      </c>
      <c r="BH211" s="54">
        <v>19</v>
      </c>
      <c r="BI211" s="54">
        <v>18</v>
      </c>
      <c r="BJ211" s="54">
        <v>13</v>
      </c>
      <c r="BK211" s="54">
        <v>13</v>
      </c>
      <c r="BL211" s="54">
        <v>7</v>
      </c>
      <c r="BM211" s="54">
        <v>7</v>
      </c>
      <c r="BN211" s="54">
        <v>8</v>
      </c>
      <c r="BO211" s="54">
        <v>5</v>
      </c>
      <c r="BP211" s="54">
        <v>7</v>
      </c>
      <c r="BQ211" s="54">
        <v>6</v>
      </c>
      <c r="BR211" s="54">
        <v>10</v>
      </c>
      <c r="BS211" s="54">
        <v>11</v>
      </c>
      <c r="BT211" s="54">
        <v>14</v>
      </c>
      <c r="BU211" s="54"/>
      <c r="BV211" s="54"/>
      <c r="BW211" s="54"/>
      <c r="BX211" s="85">
        <f>VLOOKUP(F211,[1]SKU리스트!$H:$AH,27,FALSE)</f>
        <v>341022</v>
      </c>
      <c r="BY211" s="9" t="s">
        <v>283</v>
      </c>
    </row>
    <row r="212" spans="1:78" ht="20.100000000000001" customHeight="1" x14ac:dyDescent="0.3">
      <c r="A212" s="13">
        <v>206</v>
      </c>
      <c r="B212" s="4" t="s">
        <v>349</v>
      </c>
      <c r="C212" s="67" t="s">
        <v>160</v>
      </c>
      <c r="D212" s="1"/>
      <c r="E212" s="1"/>
      <c r="F212" s="2" t="s">
        <v>303</v>
      </c>
      <c r="H212" s="3"/>
      <c r="M212" s="1">
        <v>200</v>
      </c>
      <c r="Q212" s="39" t="s">
        <v>282</v>
      </c>
      <c r="R212" s="5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50"/>
      <c r="AL212" s="50"/>
      <c r="AM212" s="50"/>
      <c r="AN212" s="50"/>
      <c r="AO212" s="53">
        <f>SUM(AI211:AO211)</f>
        <v>64</v>
      </c>
      <c r="AP212" s="51">
        <v>18</v>
      </c>
      <c r="AQ212" s="50"/>
      <c r="AR212" s="50"/>
      <c r="AS212" s="50"/>
      <c r="AT212" s="50"/>
      <c r="AU212" s="50"/>
      <c r="AV212" s="53">
        <f>SUM(AP211:AV211)</f>
        <v>71</v>
      </c>
      <c r="AW212" s="50">
        <v>53</v>
      </c>
      <c r="AX212" s="50"/>
      <c r="AY212" s="50"/>
      <c r="AZ212" s="50"/>
      <c r="BA212" s="50"/>
      <c r="BB212" s="50"/>
      <c r="BC212" s="53">
        <f>SUM(AW211:BC211)</f>
        <v>69</v>
      </c>
      <c r="BD212" s="50">
        <v>64</v>
      </c>
      <c r="BE212" s="50"/>
      <c r="BF212" s="50"/>
      <c r="BG212" s="50"/>
      <c r="BH212" s="50"/>
      <c r="BI212" s="50"/>
      <c r="BJ212" s="53">
        <f>SUM(BD211:BJ211)</f>
        <v>67</v>
      </c>
      <c r="BK212" s="50">
        <v>64</v>
      </c>
      <c r="BL212" s="50"/>
      <c r="BM212" s="50"/>
      <c r="BN212" s="50"/>
      <c r="BO212" s="50"/>
      <c r="BP212" s="50"/>
      <c r="BQ212" s="53">
        <f>SUM(BK211:BQ211)</f>
        <v>53</v>
      </c>
      <c r="BR212" s="50">
        <v>48</v>
      </c>
      <c r="BS212" s="50"/>
      <c r="BT212" s="50"/>
      <c r="BU212" s="50"/>
      <c r="BV212" s="50"/>
      <c r="BW212" s="50"/>
    </row>
    <row r="213" spans="1:78" ht="20.100000000000001" customHeight="1" x14ac:dyDescent="0.3">
      <c r="A213" s="13">
        <v>207</v>
      </c>
      <c r="B213" s="91" t="s">
        <v>349</v>
      </c>
      <c r="C213" s="92" t="s">
        <v>160</v>
      </c>
      <c r="D213" s="91"/>
      <c r="E213" s="91"/>
      <c r="F213" s="96">
        <v>94064844120</v>
      </c>
      <c r="G213" s="97"/>
      <c r="H213" s="97"/>
      <c r="I213" s="97"/>
      <c r="J213" s="91"/>
      <c r="L213" s="98"/>
      <c r="M213" s="98">
        <v>201</v>
      </c>
      <c r="N213" s="98"/>
      <c r="O213" s="98"/>
      <c r="P213" s="98"/>
      <c r="Q213" s="41" t="s">
        <v>1</v>
      </c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>
        <f>IFERROR(VLOOKUP($F213,[2]원본!$D:$BX,AI$1,FALSE),"")</f>
        <v>7</v>
      </c>
      <c r="AJ213" s="40">
        <f>IFERROR(VLOOKUP($F213,[2]원본!$D:$BX,AJ$1,FALSE),"")</f>
        <v>3</v>
      </c>
      <c r="AK213" s="40">
        <f>IFERROR(VLOOKUP($F213,[2]원본!$D:$BX,AK$1,FALSE),"")</f>
        <v>10</v>
      </c>
      <c r="AL213" s="40">
        <f>IFERROR(VLOOKUP($F213,[2]원본!$D:$BX,AL$1,FALSE),"")</f>
        <v>10</v>
      </c>
      <c r="AM213" s="40">
        <f>IFERROR(VLOOKUP($F213,[2]원본!$D:$BX,AM$1,FALSE),"")</f>
        <v>10</v>
      </c>
      <c r="AN213" s="40">
        <f>IFERROR(VLOOKUP($F213,[2]원본!$D:$BX,AN$1,FALSE),"")</f>
        <v>1</v>
      </c>
      <c r="AO213" s="40">
        <f>IFERROR(VLOOKUP($F213,[2]원본!$D:$BX,AO$1,FALSE),"")</f>
        <v>10</v>
      </c>
      <c r="AP213" s="40">
        <f>IFERROR(VLOOKUP($F213,[2]원본!$D:$BX,AP$1,FALSE),"")</f>
        <v>10</v>
      </c>
      <c r="AQ213" s="40">
        <f>IFERROR(VLOOKUP($F213,[2]원본!$D:$BX,AQ$1,FALSE),"")</f>
        <v>0</v>
      </c>
      <c r="AR213" s="40">
        <f>IFERROR(VLOOKUP($F213,[2]원본!$D:$BX,AR$1,FALSE),"")</f>
        <v>0</v>
      </c>
      <c r="AS213" s="40">
        <f>IFERROR(VLOOKUP($F213,[2]원본!$D:$BX,AS$1,FALSE),"")</f>
        <v>0</v>
      </c>
      <c r="AT213" s="40">
        <f>IFERROR(VLOOKUP($F213,[2]원본!$D:$BX,AT$1,FALSE),"")</f>
        <v>0</v>
      </c>
      <c r="AU213" s="40">
        <f>IFERROR(VLOOKUP($F213,[2]원본!$D:$BX,AU$1,FALSE),"")</f>
        <v>0</v>
      </c>
      <c r="AV213" s="40">
        <f>IFERROR(VLOOKUP($F213,[2]원본!$D:$BX,AV$1,FALSE),"")</f>
        <v>0</v>
      </c>
      <c r="AW213" s="40">
        <f>IFERROR(VLOOKUP($F213,[2]원본!$D:$BX,AW$1,FALSE),"")</f>
        <v>0</v>
      </c>
      <c r="AX213" s="40">
        <f>IFERROR(VLOOKUP($F213,[2]원본!$D:$BX,AX$1,FALSE),"")</f>
        <v>0</v>
      </c>
      <c r="AY213" s="40">
        <f>IFERROR(VLOOKUP($F213,[2]원본!$D:$BX,AY$1,FALSE),"")</f>
        <v>0</v>
      </c>
      <c r="AZ213" s="40">
        <f>IFERROR(VLOOKUP($F213,[2]원본!$D:$BX,AZ$1,FALSE),"")</f>
        <v>0</v>
      </c>
      <c r="BA213" s="40">
        <f>IFERROR(VLOOKUP($F213,[2]원본!$D:$BX,BA$1,FALSE),"")</f>
        <v>0</v>
      </c>
      <c r="BB213" s="40">
        <f>IFERROR(VLOOKUP($F213,[2]원본!$D:$BX,BB$1,FALSE),"")</f>
        <v>0</v>
      </c>
      <c r="BC213" s="40">
        <f>IFERROR(VLOOKUP($F213,[2]원본!$D:$BX,BC$1,FALSE),"")</f>
        <v>0</v>
      </c>
      <c r="BD213" s="40">
        <f>IFERROR(VLOOKUP($F213,[2]원본!$D:$BX,BD$1,FALSE),"")</f>
        <v>0</v>
      </c>
      <c r="BE213" s="40">
        <f>IFERROR(VLOOKUP($F213,[2]원본!$D:$BX,BE$1,FALSE),"")</f>
        <v>0</v>
      </c>
      <c r="BF213" s="40">
        <f>IFERROR(VLOOKUP($F213,[2]원본!$D:$BX,BF$1,FALSE),"")</f>
        <v>0</v>
      </c>
      <c r="BG213" s="40">
        <f>IFERROR(VLOOKUP($F213,[2]원본!$D:$BX,BG$1,FALSE),"")</f>
        <v>0</v>
      </c>
      <c r="BH213" s="40">
        <f>IFERROR(VLOOKUP($F213,[2]원본!$D:$BX,BH$1,FALSE),"")</f>
        <v>0</v>
      </c>
      <c r="BI213" s="40">
        <f>IFERROR(VLOOKUP($F213,[2]원본!$D:$BX,BI$1,FALSE),"")</f>
        <v>0</v>
      </c>
      <c r="BJ213" s="40">
        <f>IFERROR(VLOOKUP($F213,[2]원본!$D:$BX,BJ$1,FALSE),"")</f>
        <v>0</v>
      </c>
      <c r="BK213" s="40">
        <f>IFERROR(VLOOKUP($F213,[2]원본!$D:$BX,BK$1,FALSE),"")</f>
        <v>0</v>
      </c>
      <c r="BL213" s="40">
        <f>IFERROR(VLOOKUP($F213,[2]원본!$D:$BX,BL$1,FALSE),"")</f>
        <v>0</v>
      </c>
      <c r="BM213" s="40">
        <f>IFERROR(VLOOKUP($F213,[2]원본!$D:$BX,BM$1,FALSE),"")</f>
        <v>0</v>
      </c>
      <c r="BN213" s="40">
        <f>IFERROR(VLOOKUP($F213,[2]원본!$D:$BX,BN$1,FALSE),"")</f>
        <v>0</v>
      </c>
      <c r="BO213" s="40">
        <f>IFERROR(VLOOKUP($F213,[2]원본!$D:$BX,BO$1,FALSE),"")</f>
        <v>0</v>
      </c>
      <c r="BP213" s="40">
        <f>IFERROR(VLOOKUP($F213,[2]원본!$D:$BX,BP$1,FALSE),"")</f>
        <v>0</v>
      </c>
      <c r="BQ213" s="40">
        <f>IFERROR(VLOOKUP($F213,[2]원본!$D:$BX,BQ$1,FALSE),"")</f>
        <v>0</v>
      </c>
      <c r="BR213" s="40">
        <f>IFERROR(VLOOKUP($F213,[2]원본!$D:$BX,BR$1,FALSE),"")</f>
        <v>0</v>
      </c>
      <c r="BS213" s="40">
        <f>IFERROR(VLOOKUP($F213,[2]원본!$D:$BX,BS$1,FALSE),"")</f>
        <v>0</v>
      </c>
      <c r="BT213" s="40">
        <f>IFERROR(VLOOKUP($F213,[2]원본!$D:$BX,BT$1,FALSE),"")</f>
        <v>0</v>
      </c>
      <c r="BU213" s="40">
        <f>IFERROR(VLOOKUP($F213,[2]원본!$D:$BX,BU$1,FALSE),"")</f>
        <v>0</v>
      </c>
      <c r="BV213" s="40" t="str">
        <f>IFERROR(VLOOKUP($F213,#REF!,BV$1,FALSE),"")</f>
        <v/>
      </c>
      <c r="BW213" s="40"/>
      <c r="BX213" s="26">
        <f>(SUM(R213:BW213)*D211)-(SUM(R213:BW213)*E211)</f>
        <v>1016936.5454545455</v>
      </c>
      <c r="BY213" s="91"/>
      <c r="BZ213" s="100" t="str">
        <f>IFERROR(VLOOKUP($F213,#REF!,BZ$1,FALSE),"")</f>
        <v/>
      </c>
    </row>
    <row r="214" spans="1:78" ht="20.100000000000001" customHeight="1" x14ac:dyDescent="0.3">
      <c r="A214" s="13">
        <v>208</v>
      </c>
      <c r="B214" s="91" t="s">
        <v>349</v>
      </c>
      <c r="C214" s="92" t="s">
        <v>160</v>
      </c>
      <c r="D214" s="95" t="s">
        <v>180</v>
      </c>
      <c r="E214" s="94"/>
      <c r="F214" s="96">
        <v>94064844120</v>
      </c>
      <c r="G214" s="97" t="s">
        <v>152</v>
      </c>
      <c r="H214" s="97"/>
      <c r="I214" s="97"/>
      <c r="J214" s="91" t="s">
        <v>121</v>
      </c>
      <c r="K214" s="62">
        <v>75900</v>
      </c>
      <c r="L214" s="98">
        <v>1</v>
      </c>
      <c r="M214" s="98">
        <v>202</v>
      </c>
      <c r="N214" s="98"/>
      <c r="O214" s="98"/>
      <c r="P214" s="98"/>
      <c r="Q214" s="42" t="s">
        <v>0</v>
      </c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>
        <v>90</v>
      </c>
      <c r="AL214" s="7"/>
      <c r="AM214" s="7"/>
      <c r="AN214" s="7"/>
      <c r="AO214" s="7"/>
      <c r="AP214" s="7"/>
      <c r="AQ214" s="7"/>
      <c r="AR214" s="7"/>
      <c r="AS214" s="7"/>
      <c r="AT214" s="7">
        <v>9</v>
      </c>
      <c r="AU214" s="7">
        <v>11</v>
      </c>
      <c r="AV214" s="7"/>
      <c r="AW214" s="7"/>
      <c r="AX214" s="7">
        <v>13</v>
      </c>
      <c r="AY214" s="7"/>
      <c r="AZ214" s="7">
        <v>14</v>
      </c>
      <c r="BA214" s="7">
        <v>56</v>
      </c>
      <c r="BB214" s="7"/>
      <c r="BC214" s="7"/>
      <c r="BD214" s="7"/>
      <c r="BE214" s="7">
        <v>20</v>
      </c>
      <c r="BF214" s="7">
        <v>15</v>
      </c>
      <c r="BG214" s="7">
        <v>18</v>
      </c>
      <c r="BH214" s="7">
        <v>56</v>
      </c>
      <c r="BI214" s="7">
        <v>18</v>
      </c>
      <c r="BJ214" s="7"/>
      <c r="BK214" s="7"/>
      <c r="BL214" s="7">
        <v>15</v>
      </c>
      <c r="BM214" s="7"/>
      <c r="BN214" s="7">
        <v>15</v>
      </c>
      <c r="BO214" s="7">
        <v>15</v>
      </c>
      <c r="BP214" s="7"/>
      <c r="BQ214" s="7"/>
      <c r="BR214" s="7"/>
      <c r="BS214" s="7">
        <v>15</v>
      </c>
      <c r="BT214" s="7">
        <v>15</v>
      </c>
      <c r="BU214" s="7">
        <v>15</v>
      </c>
      <c r="BV214" s="7"/>
      <c r="BW214" s="7"/>
      <c r="BY214" s="91"/>
      <c r="BZ214" s="98"/>
    </row>
    <row r="215" spans="1:78" ht="20.100000000000001" customHeight="1" x14ac:dyDescent="0.3">
      <c r="A215" s="13">
        <v>209</v>
      </c>
      <c r="B215" s="4" t="s">
        <v>349</v>
      </c>
      <c r="C215" s="67" t="s">
        <v>160</v>
      </c>
      <c r="D215" s="20"/>
      <c r="E215" s="20"/>
      <c r="F215" s="2">
        <v>94064844120</v>
      </c>
      <c r="H215" s="3"/>
      <c r="J215" s="4" t="s">
        <v>122</v>
      </c>
      <c r="K215" s="62"/>
      <c r="L215" s="1">
        <v>1</v>
      </c>
      <c r="M215" s="1">
        <v>203</v>
      </c>
      <c r="Q215" s="42" t="s">
        <v>0</v>
      </c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 t="s">
        <v>36</v>
      </c>
      <c r="AL215" s="7"/>
      <c r="AM215" s="7"/>
      <c r="AN215" s="7"/>
      <c r="AO215" s="7"/>
      <c r="AP215" s="7"/>
      <c r="AQ215" s="7"/>
      <c r="AR215" s="7"/>
      <c r="AS215" s="7"/>
      <c r="AT215" s="7">
        <v>5</v>
      </c>
      <c r="AU215" s="7">
        <v>6</v>
      </c>
      <c r="AV215" s="7"/>
      <c r="AW215" s="7"/>
      <c r="AX215" s="7">
        <v>14</v>
      </c>
      <c r="AY215" s="7"/>
      <c r="AZ215" s="7">
        <v>12</v>
      </c>
      <c r="BA215" s="7">
        <v>60</v>
      </c>
      <c r="BB215" s="7"/>
      <c r="BC215" s="7"/>
      <c r="BD215" s="7"/>
      <c r="BE215" s="7"/>
      <c r="BF215" s="7">
        <v>13</v>
      </c>
      <c r="BG215" s="7">
        <v>14</v>
      </c>
      <c r="BH215" s="7">
        <v>60</v>
      </c>
      <c r="BI215" s="7">
        <v>19</v>
      </c>
      <c r="BJ215" s="7"/>
      <c r="BK215" s="7"/>
      <c r="BL215" s="7">
        <v>10</v>
      </c>
      <c r="BM215" s="7"/>
      <c r="BN215" s="7">
        <v>10</v>
      </c>
      <c r="BO215" s="7">
        <v>10</v>
      </c>
      <c r="BP215" s="7"/>
      <c r="BQ215" s="7"/>
      <c r="BR215" s="7"/>
      <c r="BS215" s="7">
        <v>9</v>
      </c>
      <c r="BT215" s="7">
        <v>9</v>
      </c>
      <c r="BU215" s="7">
        <v>9</v>
      </c>
      <c r="BV215" s="7"/>
      <c r="BW215" s="7"/>
    </row>
    <row r="216" spans="1:78" ht="20.100000000000001" customHeight="1" thickBot="1" x14ac:dyDescent="0.35">
      <c r="A216" s="13">
        <v>210</v>
      </c>
      <c r="B216" s="4" t="s">
        <v>349</v>
      </c>
      <c r="C216" s="67" t="s">
        <v>160</v>
      </c>
      <c r="D216" s="20"/>
      <c r="E216" s="20"/>
      <c r="F216" s="2">
        <v>94064844120</v>
      </c>
      <c r="H216" s="3"/>
      <c r="J216" s="4" t="s">
        <v>120</v>
      </c>
      <c r="K216" s="62"/>
      <c r="M216" s="1">
        <v>204</v>
      </c>
      <c r="Q216" s="7" t="s">
        <v>185</v>
      </c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>
        <v>229</v>
      </c>
      <c r="AL216" s="7"/>
      <c r="AM216" s="7"/>
      <c r="AN216" s="7"/>
      <c r="AO216" s="7"/>
      <c r="AP216" s="7"/>
      <c r="AQ216" s="7"/>
      <c r="AR216" s="7"/>
      <c r="AS216" s="7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  <c r="BH216" s="22"/>
      <c r="BI216" s="22"/>
      <c r="BJ216" s="22"/>
      <c r="BK216" s="22"/>
      <c r="BL216" s="22"/>
      <c r="BM216" s="22"/>
      <c r="BN216" s="22"/>
      <c r="BO216" s="22"/>
      <c r="BP216" s="22"/>
      <c r="BQ216" s="22"/>
      <c r="BR216" s="22"/>
      <c r="BS216" s="22"/>
      <c r="BT216" s="22"/>
      <c r="BU216" s="22"/>
      <c r="BV216" s="22"/>
      <c r="BW216" s="22"/>
    </row>
    <row r="217" spans="1:78" s="8" customFormat="1" ht="20.100000000000001" customHeight="1" x14ac:dyDescent="0.3">
      <c r="A217" s="13">
        <v>211</v>
      </c>
      <c r="B217" s="9" t="s">
        <v>350</v>
      </c>
      <c r="C217" s="66" t="s">
        <v>160</v>
      </c>
      <c r="D217" s="46">
        <f>VLOOKUP(F219,[1]SKU리스트!$H:$L,5,FALSE)</f>
        <v>14900</v>
      </c>
      <c r="E217" s="47">
        <f>VLOOKUP(F219,[1]SKU리스트!$H:$AK,30,FALSE)</f>
        <v>4616.1818181818171</v>
      </c>
      <c r="F217" s="10" t="s">
        <v>217</v>
      </c>
      <c r="G217" s="11"/>
      <c r="H217" s="11"/>
      <c r="I217" s="11"/>
      <c r="J217" s="9"/>
      <c r="K217" s="12"/>
      <c r="M217" s="8">
        <v>205</v>
      </c>
      <c r="Q217" s="44" t="s">
        <v>125</v>
      </c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>
        <v>13</v>
      </c>
      <c r="AJ217" s="54">
        <v>0</v>
      </c>
      <c r="AK217" s="54">
        <v>11</v>
      </c>
      <c r="AL217" s="54">
        <v>15</v>
      </c>
      <c r="AM217" s="54">
        <v>15</v>
      </c>
      <c r="AN217" s="54">
        <v>-1</v>
      </c>
      <c r="AO217" s="54">
        <v>20</v>
      </c>
      <c r="AP217" s="54">
        <v>13</v>
      </c>
      <c r="AQ217" s="54">
        <v>34</v>
      </c>
      <c r="AR217" s="54">
        <v>32</v>
      </c>
      <c r="AS217" s="54">
        <v>10</v>
      </c>
      <c r="AT217" s="54">
        <v>30</v>
      </c>
      <c r="AU217" s="54">
        <v>19</v>
      </c>
      <c r="AV217" s="54">
        <v>24</v>
      </c>
      <c r="AW217" s="54">
        <v>18</v>
      </c>
      <c r="AX217" s="54">
        <v>20</v>
      </c>
      <c r="AY217" s="54">
        <v>37</v>
      </c>
      <c r="AZ217" s="54">
        <v>24</v>
      </c>
      <c r="BA217" s="54">
        <v>25</v>
      </c>
      <c r="BB217" s="54">
        <v>18</v>
      </c>
      <c r="BC217" s="54">
        <v>9</v>
      </c>
      <c r="BD217" s="54">
        <v>0</v>
      </c>
      <c r="BE217" s="54">
        <v>24</v>
      </c>
      <c r="BF217" s="54">
        <v>9</v>
      </c>
      <c r="BG217" s="54">
        <v>19</v>
      </c>
      <c r="BH217" s="54">
        <v>26</v>
      </c>
      <c r="BI217" s="54">
        <v>29</v>
      </c>
      <c r="BJ217" s="54">
        <v>27</v>
      </c>
      <c r="BK217" s="54">
        <v>25</v>
      </c>
      <c r="BL217" s="54">
        <v>41</v>
      </c>
      <c r="BM217" s="54">
        <v>34</v>
      </c>
      <c r="BN217" s="54">
        <v>6</v>
      </c>
      <c r="BO217" s="54">
        <v>21</v>
      </c>
      <c r="BP217" s="54">
        <v>23</v>
      </c>
      <c r="BQ217" s="54">
        <v>12</v>
      </c>
      <c r="BR217" s="54">
        <v>23</v>
      </c>
      <c r="BS217" s="54">
        <v>26</v>
      </c>
      <c r="BT217" s="54">
        <v>21</v>
      </c>
      <c r="BU217" s="54"/>
      <c r="BV217" s="54"/>
      <c r="BW217" s="54"/>
      <c r="BX217" s="85">
        <f>VLOOKUP(F217,[1]SKU리스트!$H:$AH,27,FALSE)</f>
        <v>425550</v>
      </c>
      <c r="BY217" s="9" t="s">
        <v>283</v>
      </c>
    </row>
    <row r="218" spans="1:78" ht="20.100000000000001" customHeight="1" x14ac:dyDescent="0.3">
      <c r="A218" s="13">
        <v>212</v>
      </c>
      <c r="B218" s="91" t="s">
        <v>350</v>
      </c>
      <c r="C218" s="92" t="s">
        <v>160</v>
      </c>
      <c r="D218" s="98"/>
      <c r="E218" s="98"/>
      <c r="F218" s="96" t="s">
        <v>304</v>
      </c>
      <c r="G218" s="97"/>
      <c r="H218" s="97"/>
      <c r="I218" s="97"/>
      <c r="J218" s="91"/>
      <c r="L218" s="98"/>
      <c r="M218" s="98">
        <v>206</v>
      </c>
      <c r="N218" s="98"/>
      <c r="O218" s="98"/>
      <c r="P218" s="98"/>
      <c r="Q218" s="39" t="s">
        <v>282</v>
      </c>
      <c r="R218" s="5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50"/>
      <c r="AL218" s="50"/>
      <c r="AM218" s="50"/>
      <c r="AN218" s="50"/>
      <c r="AO218" s="53">
        <f>SUM(AI217:AO217)</f>
        <v>73</v>
      </c>
      <c r="AP218" s="51">
        <v>31</v>
      </c>
      <c r="AQ218" s="50"/>
      <c r="AR218" s="50"/>
      <c r="AS218" s="50"/>
      <c r="AT218" s="50"/>
      <c r="AU218" s="50"/>
      <c r="AV218" s="53">
        <f>SUM(AP217:AV217)</f>
        <v>162</v>
      </c>
      <c r="AW218" s="50">
        <v>70</v>
      </c>
      <c r="AX218" s="50"/>
      <c r="AY218" s="50"/>
      <c r="AZ218" s="50"/>
      <c r="BA218" s="50"/>
      <c r="BB218" s="50"/>
      <c r="BC218" s="53">
        <f>SUM(AW217:BC217)</f>
        <v>151</v>
      </c>
      <c r="BD218" s="50">
        <v>123</v>
      </c>
      <c r="BE218" s="50"/>
      <c r="BF218" s="50"/>
      <c r="BG218" s="50"/>
      <c r="BH218" s="50"/>
      <c r="BI218" s="50"/>
      <c r="BJ218" s="53">
        <f>SUM(BD217:BJ217)</f>
        <v>134</v>
      </c>
      <c r="BK218" s="50">
        <v>123</v>
      </c>
      <c r="BL218" s="50"/>
      <c r="BM218" s="50"/>
      <c r="BN218" s="50"/>
      <c r="BO218" s="50"/>
      <c r="BP218" s="50"/>
      <c r="BQ218" s="53">
        <f>SUM(BK217:BQ217)</f>
        <v>162</v>
      </c>
      <c r="BR218" s="50">
        <v>123</v>
      </c>
      <c r="BS218" s="50"/>
      <c r="BT218" s="50"/>
      <c r="BU218" s="50"/>
      <c r="BV218" s="50"/>
      <c r="BW218" s="50"/>
      <c r="BY218" s="91"/>
      <c r="BZ218" s="98"/>
    </row>
    <row r="219" spans="1:78" ht="20.100000000000001" customHeight="1" x14ac:dyDescent="0.3">
      <c r="A219" s="13">
        <v>213</v>
      </c>
      <c r="B219" s="91" t="s">
        <v>350</v>
      </c>
      <c r="C219" s="92" t="s">
        <v>160</v>
      </c>
      <c r="D219" s="91"/>
      <c r="E219" s="91"/>
      <c r="F219" s="96">
        <v>94064836776</v>
      </c>
      <c r="G219" s="97"/>
      <c r="H219" s="97"/>
      <c r="I219" s="97"/>
      <c r="J219" s="91"/>
      <c r="L219" s="98"/>
      <c r="M219" s="98">
        <v>207</v>
      </c>
      <c r="N219" s="98"/>
      <c r="O219" s="98"/>
      <c r="P219" s="98"/>
      <c r="Q219" s="41" t="s">
        <v>1</v>
      </c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>
        <f>IFERROR(VLOOKUP($F219,[2]원본!$D:$BX,AI$1,FALSE),"")</f>
        <v>2</v>
      </c>
      <c r="AJ219" s="40">
        <f>IFERROR(VLOOKUP($F219,[2]원본!$D:$BX,AJ$1,FALSE),"")</f>
        <v>0</v>
      </c>
      <c r="AK219" s="40">
        <f>IFERROR(VLOOKUP($F219,[2]원본!$D:$BX,AK$1,FALSE),"")</f>
        <v>7</v>
      </c>
      <c r="AL219" s="40">
        <f>IFERROR(VLOOKUP($F219,[2]원본!$D:$BX,AL$1,FALSE),"")</f>
        <v>7</v>
      </c>
      <c r="AM219" s="40">
        <f>IFERROR(VLOOKUP($F219,[2]원본!$D:$BX,AM$1,FALSE),"")</f>
        <v>4</v>
      </c>
      <c r="AN219" s="40">
        <f>IFERROR(VLOOKUP($F219,[2]원본!$D:$BX,AN$1,FALSE),"")</f>
        <v>0</v>
      </c>
      <c r="AO219" s="40">
        <f>IFERROR(VLOOKUP($F219,[2]원본!$D:$BX,AO$1,FALSE),"")</f>
        <v>7</v>
      </c>
      <c r="AP219" s="40">
        <f>IFERROR(VLOOKUP($F219,[2]원본!$D:$BX,AP$1,FALSE),"")</f>
        <v>7</v>
      </c>
      <c r="AQ219" s="40">
        <f>IFERROR(VLOOKUP($F219,[2]원본!$D:$BX,AQ$1,FALSE),"")</f>
        <v>0</v>
      </c>
      <c r="AR219" s="40">
        <f>IFERROR(VLOOKUP($F219,[2]원본!$D:$BX,AR$1,FALSE),"")</f>
        <v>0</v>
      </c>
      <c r="AS219" s="40">
        <f>IFERROR(VLOOKUP($F219,[2]원본!$D:$BX,AS$1,FALSE),"")</f>
        <v>0</v>
      </c>
      <c r="AT219" s="40">
        <f>IFERROR(VLOOKUP($F219,[2]원본!$D:$BX,AT$1,FALSE),"")</f>
        <v>0</v>
      </c>
      <c r="AU219" s="40">
        <f>IFERROR(VLOOKUP($F219,[2]원본!$D:$BX,AU$1,FALSE),"")</f>
        <v>0</v>
      </c>
      <c r="AV219" s="40">
        <f>IFERROR(VLOOKUP($F219,[2]원본!$D:$BX,AV$1,FALSE),"")</f>
        <v>0</v>
      </c>
      <c r="AW219" s="40">
        <f>IFERROR(VLOOKUP($F219,[2]원본!$D:$BX,AW$1,FALSE),"")</f>
        <v>0</v>
      </c>
      <c r="AX219" s="40">
        <f>IFERROR(VLOOKUP($F219,[2]원본!$D:$BX,AX$1,FALSE),"")</f>
        <v>0</v>
      </c>
      <c r="AY219" s="40">
        <f>IFERROR(VLOOKUP($F219,[2]원본!$D:$BX,AY$1,FALSE),"")</f>
        <v>0</v>
      </c>
      <c r="AZ219" s="40">
        <f>IFERROR(VLOOKUP($F219,[2]원본!$D:$BX,AZ$1,FALSE),"")</f>
        <v>0</v>
      </c>
      <c r="BA219" s="40">
        <f>IFERROR(VLOOKUP($F219,[2]원본!$D:$BX,BA$1,FALSE),"")</f>
        <v>0</v>
      </c>
      <c r="BB219" s="40">
        <f>IFERROR(VLOOKUP($F219,[2]원본!$D:$BX,BB$1,FALSE),"")</f>
        <v>0</v>
      </c>
      <c r="BC219" s="40">
        <f>IFERROR(VLOOKUP($F219,[2]원본!$D:$BX,BC$1,FALSE),"")</f>
        <v>0</v>
      </c>
      <c r="BD219" s="40">
        <f>IFERROR(VLOOKUP($F219,[2]원본!$D:$BX,BD$1,FALSE),"")</f>
        <v>0</v>
      </c>
      <c r="BE219" s="40">
        <f>IFERROR(VLOOKUP($F219,[2]원본!$D:$BX,BE$1,FALSE),"")</f>
        <v>0</v>
      </c>
      <c r="BF219" s="40">
        <f>IFERROR(VLOOKUP($F219,[2]원본!$D:$BX,BF$1,FALSE),"")</f>
        <v>0</v>
      </c>
      <c r="BG219" s="40">
        <f>IFERROR(VLOOKUP($F219,[2]원본!$D:$BX,BG$1,FALSE),"")</f>
        <v>0</v>
      </c>
      <c r="BH219" s="40">
        <f>IFERROR(VLOOKUP($F219,[2]원본!$D:$BX,BH$1,FALSE),"")</f>
        <v>0</v>
      </c>
      <c r="BI219" s="40">
        <f>IFERROR(VLOOKUP($F219,[2]원본!$D:$BX,BI$1,FALSE),"")</f>
        <v>0</v>
      </c>
      <c r="BJ219" s="40">
        <f>IFERROR(VLOOKUP($F219,[2]원본!$D:$BX,BJ$1,FALSE),"")</f>
        <v>0</v>
      </c>
      <c r="BK219" s="40">
        <f>IFERROR(VLOOKUP($F219,[2]원본!$D:$BX,BK$1,FALSE),"")</f>
        <v>0</v>
      </c>
      <c r="BL219" s="40">
        <f>IFERROR(VLOOKUP($F219,[2]원본!$D:$BX,BL$1,FALSE),"")</f>
        <v>0</v>
      </c>
      <c r="BM219" s="40">
        <f>IFERROR(VLOOKUP($F219,[2]원본!$D:$BX,BM$1,FALSE),"")</f>
        <v>0</v>
      </c>
      <c r="BN219" s="40">
        <f>IFERROR(VLOOKUP($F219,[2]원본!$D:$BX,BN$1,FALSE),"")</f>
        <v>0</v>
      </c>
      <c r="BO219" s="40">
        <f>IFERROR(VLOOKUP($F219,[2]원본!$D:$BX,BO$1,FALSE),"")</f>
        <v>0</v>
      </c>
      <c r="BP219" s="40">
        <f>IFERROR(VLOOKUP($F219,[2]원본!$D:$BX,BP$1,FALSE),"")</f>
        <v>0</v>
      </c>
      <c r="BQ219" s="40">
        <f>IFERROR(VLOOKUP($F219,[2]원본!$D:$BX,BQ$1,FALSE),"")</f>
        <v>0</v>
      </c>
      <c r="BR219" s="40">
        <f>IFERROR(VLOOKUP($F219,[2]원본!$D:$BX,BR$1,FALSE),"")</f>
        <v>0</v>
      </c>
      <c r="BS219" s="40">
        <f>IFERROR(VLOOKUP($F219,[2]원본!$D:$BX,BS$1,FALSE),"")</f>
        <v>0</v>
      </c>
      <c r="BT219" s="40">
        <f>IFERROR(VLOOKUP($F219,[2]원본!$D:$BX,BT$1,FALSE),"")</f>
        <v>0</v>
      </c>
      <c r="BU219" s="40">
        <f>IFERROR(VLOOKUP($F219,[2]원본!$D:$BX,BU$1,FALSE),"")</f>
        <v>0</v>
      </c>
      <c r="BV219" s="40" t="str">
        <f>IFERROR(VLOOKUP($F219,#REF!,BV$1,FALSE),"")</f>
        <v/>
      </c>
      <c r="BW219" s="40"/>
      <c r="BX219" s="26">
        <f>(SUM(R219:BW219)*D217)-(SUM(R219:BW219)*E217)</f>
        <v>349649.81818181823</v>
      </c>
      <c r="BY219" s="91"/>
      <c r="BZ219" s="100" t="str">
        <f>IFERROR(VLOOKUP($F219,#REF!,BZ$1,FALSE),"")</f>
        <v/>
      </c>
    </row>
    <row r="220" spans="1:78" ht="20.100000000000001" customHeight="1" x14ac:dyDescent="0.3">
      <c r="A220" s="13">
        <v>214</v>
      </c>
      <c r="B220" s="91" t="s">
        <v>350</v>
      </c>
      <c r="C220" s="92" t="s">
        <v>160</v>
      </c>
      <c r="D220" s="95" t="s">
        <v>181</v>
      </c>
      <c r="E220" s="91"/>
      <c r="F220" s="96">
        <v>94064836776</v>
      </c>
      <c r="G220" s="97" t="s">
        <v>153</v>
      </c>
      <c r="H220" s="97"/>
      <c r="I220" s="97"/>
      <c r="J220" s="91" t="s">
        <v>124</v>
      </c>
      <c r="K220" s="62">
        <v>77800</v>
      </c>
      <c r="L220" s="98">
        <v>1</v>
      </c>
      <c r="M220" s="98">
        <v>209</v>
      </c>
      <c r="N220" s="98"/>
      <c r="O220" s="98"/>
      <c r="P220" s="98"/>
      <c r="Q220" s="42" t="s">
        <v>0</v>
      </c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>
        <v>11</v>
      </c>
      <c r="AL220" s="40"/>
      <c r="AM220" s="40"/>
      <c r="AN220" s="40"/>
      <c r="AO220" s="40"/>
      <c r="AP220" s="40"/>
      <c r="AQ220" s="40"/>
      <c r="AR220" s="40"/>
      <c r="AS220" s="40"/>
      <c r="AT220" s="40">
        <v>6</v>
      </c>
      <c r="AU220" s="40">
        <v>3</v>
      </c>
      <c r="AV220" s="40"/>
      <c r="AW220" s="40"/>
      <c r="AX220" s="7">
        <v>14</v>
      </c>
      <c r="AY220" s="7"/>
      <c r="AZ220" s="7">
        <v>13</v>
      </c>
      <c r="BA220" s="7">
        <v>13</v>
      </c>
      <c r="BB220" s="7">
        <v>19</v>
      </c>
      <c r="BC220" s="7"/>
      <c r="BD220" s="7"/>
      <c r="BE220" s="7">
        <v>14</v>
      </c>
      <c r="BF220" s="7">
        <v>15</v>
      </c>
      <c r="BG220" s="7">
        <v>15</v>
      </c>
      <c r="BH220" s="7">
        <v>13</v>
      </c>
      <c r="BI220" s="7">
        <v>14</v>
      </c>
      <c r="BJ220" s="7"/>
      <c r="BK220" s="7"/>
      <c r="BL220" s="7">
        <v>10</v>
      </c>
      <c r="BM220" s="7"/>
      <c r="BN220" s="7">
        <v>9</v>
      </c>
      <c r="BO220" s="7">
        <v>9</v>
      </c>
      <c r="BP220" s="7"/>
      <c r="BQ220" s="7"/>
      <c r="BR220" s="7"/>
      <c r="BS220" s="7">
        <v>9</v>
      </c>
      <c r="BT220" s="7">
        <v>9</v>
      </c>
      <c r="BU220" s="7">
        <v>9</v>
      </c>
      <c r="BV220" s="7"/>
      <c r="BW220" s="7"/>
      <c r="BY220" s="91"/>
      <c r="BZ220" s="98"/>
    </row>
    <row r="221" spans="1:78" ht="20.100000000000001" customHeight="1" x14ac:dyDescent="0.3">
      <c r="A221" s="13">
        <v>215</v>
      </c>
      <c r="B221" s="91" t="s">
        <v>350</v>
      </c>
      <c r="C221" s="92" t="s">
        <v>160</v>
      </c>
      <c r="D221" s="91"/>
      <c r="E221" s="91"/>
      <c r="F221" s="96">
        <v>94064836776</v>
      </c>
      <c r="G221" s="97"/>
      <c r="H221" s="97"/>
      <c r="I221" s="97"/>
      <c r="J221" s="91" t="s">
        <v>123</v>
      </c>
      <c r="K221" s="62">
        <v>16400</v>
      </c>
      <c r="L221" s="98">
        <v>1</v>
      </c>
      <c r="M221" s="98">
        <v>208</v>
      </c>
      <c r="N221" s="98"/>
      <c r="O221" s="98"/>
      <c r="P221" s="98"/>
      <c r="Q221" s="42" t="s">
        <v>0</v>
      </c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>
        <v>5</v>
      </c>
      <c r="AL221" s="40"/>
      <c r="AM221" s="40"/>
      <c r="AN221" s="40"/>
      <c r="AO221" s="40"/>
      <c r="AP221" s="40"/>
      <c r="AQ221" s="40"/>
      <c r="AR221" s="40"/>
      <c r="AS221" s="40"/>
      <c r="AT221" s="40">
        <v>4</v>
      </c>
      <c r="AU221" s="40">
        <v>3</v>
      </c>
      <c r="AV221" s="40"/>
      <c r="AW221" s="40"/>
      <c r="AX221" s="7">
        <v>8</v>
      </c>
      <c r="AY221" s="7"/>
      <c r="AZ221" s="7">
        <v>6</v>
      </c>
      <c r="BA221" s="7">
        <v>4</v>
      </c>
      <c r="BB221" s="7">
        <v>9</v>
      </c>
      <c r="BC221" s="7"/>
      <c r="BD221" s="7"/>
      <c r="BE221" s="7">
        <v>9</v>
      </c>
      <c r="BF221" s="7">
        <v>8</v>
      </c>
      <c r="BG221" s="7">
        <v>11</v>
      </c>
      <c r="BH221" s="7">
        <v>4</v>
      </c>
      <c r="BI221" s="7">
        <v>9</v>
      </c>
      <c r="BJ221" s="7"/>
      <c r="BK221" s="7"/>
      <c r="BL221" s="7">
        <v>9</v>
      </c>
      <c r="BM221" s="7"/>
      <c r="BN221" s="7">
        <v>11</v>
      </c>
      <c r="BO221" s="7">
        <v>10</v>
      </c>
      <c r="BP221" s="7"/>
      <c r="BQ221" s="7"/>
      <c r="BR221" s="7"/>
      <c r="BS221" s="7">
        <v>10</v>
      </c>
      <c r="BT221" s="7">
        <v>10</v>
      </c>
      <c r="BU221" s="7">
        <v>8</v>
      </c>
      <c r="BV221" s="7"/>
      <c r="BW221" s="7"/>
      <c r="BY221" s="91"/>
      <c r="BZ221" s="98"/>
    </row>
    <row r="222" spans="1:78" ht="20.100000000000001" customHeight="1" x14ac:dyDescent="0.3">
      <c r="A222" s="13">
        <v>216</v>
      </c>
      <c r="B222" s="91" t="s">
        <v>350</v>
      </c>
      <c r="C222" s="92" t="s">
        <v>160</v>
      </c>
      <c r="D222" s="91"/>
      <c r="E222" s="91"/>
      <c r="F222" s="96">
        <v>94064836776</v>
      </c>
      <c r="G222" s="97"/>
      <c r="H222" s="97"/>
      <c r="I222" s="97"/>
      <c r="J222" s="91" t="s">
        <v>424</v>
      </c>
      <c r="K222" s="62">
        <v>20500</v>
      </c>
      <c r="L222" s="98">
        <v>1</v>
      </c>
      <c r="M222" s="98">
        <v>208</v>
      </c>
      <c r="N222" s="98"/>
      <c r="O222" s="98"/>
      <c r="P222" s="98"/>
      <c r="Q222" s="42" t="s">
        <v>0</v>
      </c>
      <c r="R222" s="106"/>
      <c r="S222" s="106"/>
      <c r="T222" s="106"/>
      <c r="U222" s="106"/>
      <c r="V222" s="106"/>
      <c r="W222" s="106"/>
      <c r="X222" s="106"/>
      <c r="Y222" s="106"/>
      <c r="Z222" s="106"/>
      <c r="AA222" s="106"/>
      <c r="AB222" s="106"/>
      <c r="AC222" s="106"/>
      <c r="AD222" s="106"/>
      <c r="AE222" s="106"/>
      <c r="AF222" s="106"/>
      <c r="AG222" s="106"/>
      <c r="AH222" s="106"/>
      <c r="AI222" s="106"/>
      <c r="AJ222" s="106"/>
      <c r="AK222" s="106"/>
      <c r="AL222" s="106"/>
      <c r="AM222" s="106"/>
      <c r="AN222" s="106"/>
      <c r="AO222" s="106"/>
      <c r="AP222" s="106"/>
      <c r="AQ222" s="106"/>
      <c r="AR222" s="106"/>
      <c r="AS222" s="106"/>
      <c r="AT222" s="106"/>
      <c r="AU222" s="106"/>
      <c r="AV222" s="106"/>
      <c r="AW222" s="106"/>
      <c r="AX222" s="106"/>
      <c r="AY222" s="106"/>
      <c r="AZ222" s="106"/>
      <c r="BA222" s="106"/>
      <c r="BB222" s="106"/>
      <c r="BC222" s="106"/>
      <c r="BD222" s="106"/>
      <c r="BE222" s="106"/>
      <c r="BF222" s="106"/>
      <c r="BG222" s="106"/>
      <c r="BH222" s="106"/>
      <c r="BI222" s="106"/>
      <c r="BJ222" s="106"/>
      <c r="BK222" s="106"/>
      <c r="BL222" s="106"/>
      <c r="BM222" s="106"/>
      <c r="BN222" s="106"/>
      <c r="BO222" s="106"/>
      <c r="BP222" s="106"/>
      <c r="BQ222" s="106"/>
      <c r="BR222" s="106"/>
      <c r="BS222" s="106"/>
      <c r="BT222" s="7">
        <v>26</v>
      </c>
      <c r="BU222" s="7">
        <v>18</v>
      </c>
      <c r="BV222" s="7"/>
      <c r="BW222" s="7"/>
      <c r="BY222" s="91"/>
      <c r="BZ222" s="98"/>
    </row>
    <row r="223" spans="1:78" ht="20.100000000000001" customHeight="1" thickBot="1" x14ac:dyDescent="0.35">
      <c r="A223" s="13">
        <v>217</v>
      </c>
      <c r="B223" s="4" t="s">
        <v>350</v>
      </c>
      <c r="C223" s="67" t="s">
        <v>160</v>
      </c>
      <c r="F223" s="2">
        <v>94064836776</v>
      </c>
      <c r="H223" s="3"/>
      <c r="J223" s="4" t="s">
        <v>120</v>
      </c>
      <c r="M223" s="1">
        <v>210</v>
      </c>
      <c r="Q223" s="7" t="s">
        <v>185</v>
      </c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>
        <v>231</v>
      </c>
      <c r="AL223" s="7"/>
      <c r="AM223" s="7"/>
      <c r="AN223" s="7"/>
      <c r="AO223" s="7"/>
      <c r="AP223" s="7"/>
      <c r="AQ223" s="7"/>
      <c r="AR223" s="7"/>
      <c r="AS223" s="7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  <c r="BH223" s="22"/>
      <c r="BI223" s="22"/>
      <c r="BJ223" s="22"/>
      <c r="BK223" s="22"/>
      <c r="BL223" s="22"/>
      <c r="BM223" s="22"/>
      <c r="BN223" s="22"/>
      <c r="BO223" s="22"/>
      <c r="BP223" s="22"/>
      <c r="BQ223" s="22"/>
      <c r="BR223" s="22"/>
      <c r="BS223" s="22"/>
      <c r="BT223" s="22"/>
      <c r="BU223" s="22"/>
      <c r="BV223" s="22"/>
      <c r="BW223" s="22"/>
    </row>
    <row r="224" spans="1:78" s="8" customFormat="1" ht="20.100000000000001" customHeight="1" x14ac:dyDescent="0.3">
      <c r="A224" s="13">
        <v>218</v>
      </c>
      <c r="B224" s="9" t="s">
        <v>350</v>
      </c>
      <c r="C224" s="66" t="s">
        <v>160</v>
      </c>
      <c r="D224" s="46">
        <f>VLOOKUP(F226,[1]SKU리스트!$H:$L,5,FALSE)</f>
        <v>14900</v>
      </c>
      <c r="E224" s="47">
        <f>VLOOKUP(F226,[1]SKU리스트!$H:$AK,30,FALSE)</f>
        <v>4616.1818181818171</v>
      </c>
      <c r="F224" s="10" t="s">
        <v>218</v>
      </c>
      <c r="G224" s="11"/>
      <c r="H224" s="11"/>
      <c r="I224" s="11"/>
      <c r="J224" s="9"/>
      <c r="K224" s="12"/>
      <c r="M224" s="8">
        <v>211</v>
      </c>
      <c r="Q224" s="44" t="s">
        <v>125</v>
      </c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>
        <v>10</v>
      </c>
      <c r="AJ224" s="54">
        <v>5</v>
      </c>
      <c r="AK224" s="54">
        <v>12</v>
      </c>
      <c r="AL224" s="54">
        <v>13</v>
      </c>
      <c r="AM224" s="54">
        <v>15</v>
      </c>
      <c r="AN224" s="54">
        <v>0</v>
      </c>
      <c r="AO224" s="54">
        <v>18</v>
      </c>
      <c r="AP224" s="54">
        <v>8</v>
      </c>
      <c r="AQ224" s="54">
        <v>36</v>
      </c>
      <c r="AR224" s="54">
        <v>33</v>
      </c>
      <c r="AS224" s="54">
        <v>3</v>
      </c>
      <c r="AT224" s="54">
        <v>42</v>
      </c>
      <c r="AU224" s="54">
        <v>25</v>
      </c>
      <c r="AV224" s="54">
        <v>19</v>
      </c>
      <c r="AW224" s="54">
        <v>26</v>
      </c>
      <c r="AX224" s="54">
        <v>31</v>
      </c>
      <c r="AY224" s="54">
        <v>28</v>
      </c>
      <c r="AZ224" s="54">
        <v>26</v>
      </c>
      <c r="BA224" s="54">
        <v>21</v>
      </c>
      <c r="BB224" s="54">
        <v>1</v>
      </c>
      <c r="BC224" s="54">
        <v>0</v>
      </c>
      <c r="BD224" s="54">
        <v>-2</v>
      </c>
      <c r="BE224" s="54">
        <v>13</v>
      </c>
      <c r="BF224" s="54">
        <v>19</v>
      </c>
      <c r="BG224" s="54">
        <v>31</v>
      </c>
      <c r="BH224" s="54">
        <v>30</v>
      </c>
      <c r="BI224" s="54">
        <v>31</v>
      </c>
      <c r="BJ224" s="54">
        <v>40</v>
      </c>
      <c r="BK224" s="54">
        <v>37</v>
      </c>
      <c r="BL224" s="54">
        <v>25</v>
      </c>
      <c r="BM224" s="54">
        <v>0</v>
      </c>
      <c r="BN224" s="54">
        <v>16</v>
      </c>
      <c r="BO224" s="54">
        <v>22</v>
      </c>
      <c r="BP224" s="54">
        <v>13</v>
      </c>
      <c r="BQ224" s="54">
        <v>31</v>
      </c>
      <c r="BR224" s="54">
        <v>41</v>
      </c>
      <c r="BS224" s="54">
        <v>31</v>
      </c>
      <c r="BT224" s="54">
        <v>32</v>
      </c>
      <c r="BU224" s="54"/>
      <c r="BV224" s="54"/>
      <c r="BW224" s="54"/>
      <c r="BX224" s="85">
        <f>VLOOKUP(F224,[1]SKU리스트!$H:$AH,27,FALSE)</f>
        <v>326808</v>
      </c>
      <c r="BY224" s="9" t="s">
        <v>283</v>
      </c>
    </row>
    <row r="225" spans="1:78" ht="20.100000000000001" customHeight="1" x14ac:dyDescent="0.3">
      <c r="A225" s="13">
        <v>219</v>
      </c>
      <c r="B225" s="91" t="s">
        <v>350</v>
      </c>
      <c r="C225" s="92" t="s">
        <v>160</v>
      </c>
      <c r="D225" s="98"/>
      <c r="E225" s="98"/>
      <c r="F225" s="96" t="s">
        <v>305</v>
      </c>
      <c r="G225" s="97"/>
      <c r="H225" s="97"/>
      <c r="I225" s="97"/>
      <c r="J225" s="91"/>
      <c r="L225" s="98"/>
      <c r="M225" s="98">
        <v>212</v>
      </c>
      <c r="N225" s="98"/>
      <c r="O225" s="98"/>
      <c r="P225" s="98"/>
      <c r="Q225" s="39" t="s">
        <v>282</v>
      </c>
      <c r="R225" s="5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50"/>
      <c r="AL225" s="50"/>
      <c r="AM225" s="50"/>
      <c r="AN225" s="50"/>
      <c r="AO225" s="53">
        <f>SUM(AI224:AO224)</f>
        <v>73</v>
      </c>
      <c r="AP225" s="51">
        <v>25</v>
      </c>
      <c r="AQ225" s="50"/>
      <c r="AR225" s="50"/>
      <c r="AS225" s="50"/>
      <c r="AT225" s="50"/>
      <c r="AU225" s="50"/>
      <c r="AV225" s="53">
        <f>SUM(AP224:AV224)</f>
        <v>166</v>
      </c>
      <c r="AW225" s="50">
        <v>93</v>
      </c>
      <c r="AX225" s="50"/>
      <c r="AY225" s="50"/>
      <c r="AZ225" s="50"/>
      <c r="BA225" s="50"/>
      <c r="BB225" s="50"/>
      <c r="BC225" s="53">
        <f>SUM(AW224:BC224)</f>
        <v>133</v>
      </c>
      <c r="BD225" s="50">
        <v>112</v>
      </c>
      <c r="BE225" s="50"/>
      <c r="BF225" s="50"/>
      <c r="BG225" s="50"/>
      <c r="BH225" s="50"/>
      <c r="BI225" s="50"/>
      <c r="BJ225" s="53">
        <f>SUM(BD224:BJ224)</f>
        <v>162</v>
      </c>
      <c r="BK225" s="50">
        <v>114</v>
      </c>
      <c r="BL225" s="50"/>
      <c r="BM225" s="50"/>
      <c r="BN225" s="50"/>
      <c r="BO225" s="50"/>
      <c r="BP225" s="50"/>
      <c r="BQ225" s="53">
        <f>SUM(BK224:BQ224)</f>
        <v>144</v>
      </c>
      <c r="BR225" s="50">
        <v>91</v>
      </c>
      <c r="BS225" s="50"/>
      <c r="BT225" s="50"/>
      <c r="BU225" s="50"/>
      <c r="BV225" s="50"/>
      <c r="BW225" s="50"/>
      <c r="BY225" s="91"/>
      <c r="BZ225" s="98"/>
    </row>
    <row r="226" spans="1:78" ht="20.100000000000001" customHeight="1" x14ac:dyDescent="0.3">
      <c r="A226" s="13">
        <v>220</v>
      </c>
      <c r="B226" s="91" t="s">
        <v>350</v>
      </c>
      <c r="C226" s="92" t="s">
        <v>160</v>
      </c>
      <c r="D226" s="91"/>
      <c r="E226" s="91"/>
      <c r="F226" s="96">
        <v>94064836775</v>
      </c>
      <c r="G226" s="97"/>
      <c r="H226" s="97"/>
      <c r="I226" s="97"/>
      <c r="J226" s="91"/>
      <c r="L226" s="98"/>
      <c r="M226" s="98">
        <v>213</v>
      </c>
      <c r="N226" s="98"/>
      <c r="O226" s="98"/>
      <c r="P226" s="98"/>
      <c r="Q226" s="41" t="s">
        <v>1</v>
      </c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>
        <f>IFERROR(VLOOKUP($F226,[2]원본!$D:$BX,AI$1,FALSE),"")</f>
        <v>7</v>
      </c>
      <c r="AJ226" s="40">
        <f>IFERROR(VLOOKUP($F226,[2]원본!$D:$BX,AJ$1,FALSE),"")</f>
        <v>3</v>
      </c>
      <c r="AK226" s="40">
        <f>IFERROR(VLOOKUP($F226,[2]원본!$D:$BX,AK$1,FALSE),"")</f>
        <v>7</v>
      </c>
      <c r="AL226" s="40">
        <f>IFERROR(VLOOKUP($F226,[2]원본!$D:$BX,AL$1,FALSE),"")</f>
        <v>7</v>
      </c>
      <c r="AM226" s="40">
        <f>IFERROR(VLOOKUP($F226,[2]원본!$D:$BX,AM$1,FALSE),"")</f>
        <v>6</v>
      </c>
      <c r="AN226" s="40">
        <f>IFERROR(VLOOKUP($F226,[2]원본!$D:$BX,AN$1,FALSE),"")</f>
        <v>0</v>
      </c>
      <c r="AO226" s="40">
        <f>IFERROR(VLOOKUP($F226,[2]원본!$D:$BX,AO$1,FALSE),"")</f>
        <v>7</v>
      </c>
      <c r="AP226" s="40">
        <f>IFERROR(VLOOKUP($F226,[2]원본!$D:$BX,AP$1,FALSE),"")</f>
        <v>7</v>
      </c>
      <c r="AQ226" s="40">
        <f>IFERROR(VLOOKUP($F226,[2]원본!$D:$BX,AQ$1,FALSE),"")</f>
        <v>0</v>
      </c>
      <c r="AR226" s="40">
        <f>IFERROR(VLOOKUP($F226,[2]원본!$D:$BX,AR$1,FALSE),"")</f>
        <v>0</v>
      </c>
      <c r="AS226" s="40">
        <f>IFERROR(VLOOKUP($F226,[2]원본!$D:$BX,AS$1,FALSE),"")</f>
        <v>0</v>
      </c>
      <c r="AT226" s="40">
        <f>IFERROR(VLOOKUP($F226,[2]원본!$D:$BX,AT$1,FALSE),"")</f>
        <v>0</v>
      </c>
      <c r="AU226" s="40">
        <f>IFERROR(VLOOKUP($F226,[2]원본!$D:$BX,AU$1,FALSE),"")</f>
        <v>0</v>
      </c>
      <c r="AV226" s="40">
        <f>IFERROR(VLOOKUP($F226,[2]원본!$D:$BX,AV$1,FALSE),"")</f>
        <v>0</v>
      </c>
      <c r="AW226" s="40">
        <f>IFERROR(VLOOKUP($F226,[2]원본!$D:$BX,AW$1,FALSE),"")</f>
        <v>0</v>
      </c>
      <c r="AX226" s="40">
        <f>IFERROR(VLOOKUP($F226,[2]원본!$D:$BX,AX$1,FALSE),"")</f>
        <v>0</v>
      </c>
      <c r="AY226" s="40">
        <f>IFERROR(VLOOKUP($F226,[2]원본!$D:$BX,AY$1,FALSE),"")</f>
        <v>0</v>
      </c>
      <c r="AZ226" s="40">
        <f>IFERROR(VLOOKUP($F226,[2]원본!$D:$BX,AZ$1,FALSE),"")</f>
        <v>0</v>
      </c>
      <c r="BA226" s="40">
        <f>IFERROR(VLOOKUP($F226,[2]원본!$D:$BX,BA$1,FALSE),"")</f>
        <v>0</v>
      </c>
      <c r="BB226" s="40">
        <f>IFERROR(VLOOKUP($F226,[2]원본!$D:$BX,BB$1,FALSE),"")</f>
        <v>0</v>
      </c>
      <c r="BC226" s="40">
        <f>IFERROR(VLOOKUP($F226,[2]원본!$D:$BX,BC$1,FALSE),"")</f>
        <v>0</v>
      </c>
      <c r="BD226" s="40">
        <f>IFERROR(VLOOKUP($F226,[2]원본!$D:$BX,BD$1,FALSE),"")</f>
        <v>0</v>
      </c>
      <c r="BE226" s="40">
        <f>IFERROR(VLOOKUP($F226,[2]원본!$D:$BX,BE$1,FALSE),"")</f>
        <v>0</v>
      </c>
      <c r="BF226" s="40">
        <f>IFERROR(VLOOKUP($F226,[2]원본!$D:$BX,BF$1,FALSE),"")</f>
        <v>0</v>
      </c>
      <c r="BG226" s="40">
        <f>IFERROR(VLOOKUP($F226,[2]원본!$D:$BX,BG$1,FALSE),"")</f>
        <v>0</v>
      </c>
      <c r="BH226" s="40">
        <f>IFERROR(VLOOKUP($F226,[2]원본!$D:$BX,BH$1,FALSE),"")</f>
        <v>0</v>
      </c>
      <c r="BI226" s="40">
        <f>IFERROR(VLOOKUP($F226,[2]원본!$D:$BX,BI$1,FALSE),"")</f>
        <v>0</v>
      </c>
      <c r="BJ226" s="40">
        <f>IFERROR(VLOOKUP($F226,[2]원본!$D:$BX,BJ$1,FALSE),"")</f>
        <v>0</v>
      </c>
      <c r="BK226" s="40">
        <f>IFERROR(VLOOKUP($F226,[2]원본!$D:$BX,BK$1,FALSE),"")</f>
        <v>0</v>
      </c>
      <c r="BL226" s="40">
        <f>IFERROR(VLOOKUP($F226,[2]원본!$D:$BX,BL$1,FALSE),"")</f>
        <v>0</v>
      </c>
      <c r="BM226" s="40">
        <f>IFERROR(VLOOKUP($F226,[2]원본!$D:$BX,BM$1,FALSE),"")</f>
        <v>0</v>
      </c>
      <c r="BN226" s="40">
        <f>IFERROR(VLOOKUP($F226,[2]원본!$D:$BX,BN$1,FALSE),"")</f>
        <v>0</v>
      </c>
      <c r="BO226" s="40">
        <f>IFERROR(VLOOKUP($F226,[2]원본!$D:$BX,BO$1,FALSE),"")</f>
        <v>0</v>
      </c>
      <c r="BP226" s="40">
        <f>IFERROR(VLOOKUP($F226,[2]원본!$D:$BX,BP$1,FALSE),"")</f>
        <v>0</v>
      </c>
      <c r="BQ226" s="40">
        <f>IFERROR(VLOOKUP($F226,[2]원본!$D:$BX,BQ$1,FALSE),"")</f>
        <v>0</v>
      </c>
      <c r="BR226" s="40">
        <f>IFERROR(VLOOKUP($F226,[2]원본!$D:$BX,BR$1,FALSE),"")</f>
        <v>0</v>
      </c>
      <c r="BS226" s="40">
        <f>IFERROR(VLOOKUP($F226,[2]원본!$D:$BX,BS$1,FALSE),"")</f>
        <v>0</v>
      </c>
      <c r="BT226" s="40">
        <f>IFERROR(VLOOKUP($F226,[2]원본!$D:$BX,BT$1,FALSE),"")</f>
        <v>0</v>
      </c>
      <c r="BU226" s="40">
        <f>IFERROR(VLOOKUP($F226,[2]원본!$D:$BX,BU$1,FALSE),"")</f>
        <v>0</v>
      </c>
      <c r="BV226" s="40" t="str">
        <f>IFERROR(VLOOKUP($F226,#REF!,BV$1,FALSE),"")</f>
        <v/>
      </c>
      <c r="BW226" s="40"/>
      <c r="BX226" s="26">
        <f>(SUM(R226:BW226)*D224)-(SUM(R226:BW226)*E224)</f>
        <v>452488.00000000006</v>
      </c>
      <c r="BY226" s="91"/>
      <c r="BZ226" s="100" t="str">
        <f>IFERROR(VLOOKUP($F226,#REF!,BZ$1,FALSE),"")</f>
        <v/>
      </c>
    </row>
    <row r="227" spans="1:78" ht="20.100000000000001" customHeight="1" x14ac:dyDescent="0.3">
      <c r="A227" s="13">
        <v>221</v>
      </c>
      <c r="B227" s="91" t="s">
        <v>350</v>
      </c>
      <c r="C227" s="92" t="s">
        <v>160</v>
      </c>
      <c r="D227" s="95" t="s">
        <v>182</v>
      </c>
      <c r="E227" s="94"/>
      <c r="F227" s="96">
        <v>94064836775</v>
      </c>
      <c r="G227" s="97" t="s">
        <v>154</v>
      </c>
      <c r="H227" s="97"/>
      <c r="I227" s="97"/>
      <c r="J227" s="91" t="s">
        <v>124</v>
      </c>
      <c r="K227" s="62">
        <v>77800</v>
      </c>
      <c r="L227" s="98">
        <v>1</v>
      </c>
      <c r="M227" s="98">
        <v>215</v>
      </c>
      <c r="N227" s="98"/>
      <c r="O227" s="98"/>
      <c r="P227" s="98"/>
      <c r="Q227" s="42" t="s">
        <v>0</v>
      </c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>
        <v>14</v>
      </c>
      <c r="AL227" s="7"/>
      <c r="AM227" s="7"/>
      <c r="AN227" s="7"/>
      <c r="AO227" s="7"/>
      <c r="AP227" s="7"/>
      <c r="AQ227" s="7"/>
      <c r="AR227" s="7"/>
      <c r="AS227" s="7"/>
      <c r="AT227" s="7">
        <v>6</v>
      </c>
      <c r="AU227" s="7">
        <v>7</v>
      </c>
      <c r="AV227" s="7"/>
      <c r="AW227" s="7"/>
      <c r="AX227" s="7">
        <v>11</v>
      </c>
      <c r="AY227" s="7"/>
      <c r="AZ227" s="7">
        <v>15</v>
      </c>
      <c r="BA227" s="7">
        <v>40</v>
      </c>
      <c r="BB227" s="7">
        <v>17</v>
      </c>
      <c r="BC227" s="7"/>
      <c r="BD227" s="7"/>
      <c r="BE227" s="7">
        <v>13</v>
      </c>
      <c r="BF227" s="7">
        <v>15</v>
      </c>
      <c r="BG227" s="7">
        <v>15</v>
      </c>
      <c r="BH227" s="7">
        <v>40</v>
      </c>
      <c r="BI227" s="7">
        <v>17</v>
      </c>
      <c r="BJ227" s="7"/>
      <c r="BK227" s="7"/>
      <c r="BL227" s="7">
        <v>10</v>
      </c>
      <c r="BM227" s="7"/>
      <c r="BN227" s="7">
        <v>13</v>
      </c>
      <c r="BO227" s="7">
        <v>10</v>
      </c>
      <c r="BP227" s="7"/>
      <c r="BQ227" s="7"/>
      <c r="BR227" s="7"/>
      <c r="BS227" s="7">
        <v>10</v>
      </c>
      <c r="BT227" s="7">
        <v>10</v>
      </c>
      <c r="BU227" s="7">
        <v>10</v>
      </c>
      <c r="BV227" s="7"/>
      <c r="BW227" s="7"/>
      <c r="BY227" s="91"/>
      <c r="BZ227" s="98"/>
    </row>
    <row r="228" spans="1:78" ht="20.100000000000001" customHeight="1" x14ac:dyDescent="0.3">
      <c r="A228" s="13">
        <v>222</v>
      </c>
      <c r="B228" s="91" t="s">
        <v>350</v>
      </c>
      <c r="C228" s="92" t="s">
        <v>160</v>
      </c>
      <c r="D228" s="95"/>
      <c r="E228" s="94"/>
      <c r="F228" s="96">
        <v>94064836775</v>
      </c>
      <c r="G228" s="97"/>
      <c r="H228" s="97"/>
      <c r="I228" s="97"/>
      <c r="J228" s="91" t="s">
        <v>424</v>
      </c>
      <c r="K228" s="62">
        <v>20500</v>
      </c>
      <c r="L228" s="98">
        <v>1</v>
      </c>
      <c r="M228" s="98">
        <v>214</v>
      </c>
      <c r="N228" s="98"/>
      <c r="O228" s="98"/>
      <c r="P228" s="98"/>
      <c r="Q228" s="42" t="s">
        <v>0</v>
      </c>
      <c r="R228" s="106"/>
      <c r="S228" s="106"/>
      <c r="T228" s="106"/>
      <c r="U228" s="106"/>
      <c r="V228" s="106"/>
      <c r="W228" s="106"/>
      <c r="X228" s="106"/>
      <c r="Y228" s="106"/>
      <c r="Z228" s="106"/>
      <c r="AA228" s="106"/>
      <c r="AB228" s="106"/>
      <c r="AC228" s="106"/>
      <c r="AD228" s="106"/>
      <c r="AE228" s="106"/>
      <c r="AF228" s="106"/>
      <c r="AG228" s="106"/>
      <c r="AH228" s="106"/>
      <c r="AI228" s="106"/>
      <c r="AJ228" s="106"/>
      <c r="AK228" s="106"/>
      <c r="AL228" s="106"/>
      <c r="AM228" s="106"/>
      <c r="AN228" s="106"/>
      <c r="AO228" s="106"/>
      <c r="AP228" s="106"/>
      <c r="AQ228" s="106"/>
      <c r="AR228" s="106"/>
      <c r="AS228" s="106"/>
      <c r="AT228" s="106"/>
      <c r="AU228" s="106"/>
      <c r="AV228" s="106"/>
      <c r="AW228" s="106"/>
      <c r="AX228" s="106"/>
      <c r="AY228" s="106"/>
      <c r="AZ228" s="106"/>
      <c r="BA228" s="106"/>
      <c r="BB228" s="106"/>
      <c r="BC228" s="106"/>
      <c r="BD228" s="106"/>
      <c r="BE228" s="7"/>
      <c r="BF228" s="7"/>
      <c r="BG228" s="7"/>
      <c r="BH228" s="7"/>
      <c r="BI228" s="7"/>
      <c r="BJ228" s="106"/>
      <c r="BK228" s="106"/>
      <c r="BL228" s="106"/>
      <c r="BM228" s="106"/>
      <c r="BN228" s="106"/>
      <c r="BO228" s="106"/>
      <c r="BP228" s="106"/>
      <c r="BQ228" s="106"/>
      <c r="BR228" s="106"/>
      <c r="BS228" s="106"/>
      <c r="BT228" s="7">
        <v>26</v>
      </c>
      <c r="BU228" s="7">
        <v>19</v>
      </c>
      <c r="BV228" s="7"/>
      <c r="BW228" s="7"/>
      <c r="BY228" s="91"/>
      <c r="BZ228" s="98"/>
    </row>
    <row r="229" spans="1:78" ht="20.100000000000001" customHeight="1" x14ac:dyDescent="0.3">
      <c r="A229" s="13">
        <v>223</v>
      </c>
      <c r="B229" s="91" t="s">
        <v>350</v>
      </c>
      <c r="C229" s="92" t="s">
        <v>160</v>
      </c>
      <c r="D229" s="94"/>
      <c r="E229" s="94"/>
      <c r="F229" s="96">
        <v>94064836775</v>
      </c>
      <c r="G229" s="97"/>
      <c r="H229" s="97"/>
      <c r="I229" s="97"/>
      <c r="J229" s="91" t="s">
        <v>123</v>
      </c>
      <c r="K229" s="62">
        <v>16400</v>
      </c>
      <c r="L229" s="98">
        <v>1</v>
      </c>
      <c r="M229" s="98">
        <v>214</v>
      </c>
      <c r="N229" s="98"/>
      <c r="O229" s="98"/>
      <c r="P229" s="98"/>
      <c r="Q229" s="42" t="s">
        <v>0</v>
      </c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>
        <v>5</v>
      </c>
      <c r="AL229" s="7"/>
      <c r="AM229" s="7"/>
      <c r="AN229" s="7"/>
      <c r="AO229" s="7"/>
      <c r="AP229" s="7"/>
      <c r="AQ229" s="7"/>
      <c r="AR229" s="7"/>
      <c r="AS229" s="7"/>
      <c r="AT229" s="7">
        <v>3</v>
      </c>
      <c r="AU229" s="7">
        <v>3</v>
      </c>
      <c r="AV229" s="7"/>
      <c r="AW229" s="7"/>
      <c r="AX229" s="7">
        <v>11</v>
      </c>
      <c r="AY229" s="7"/>
      <c r="AZ229" s="7">
        <v>9</v>
      </c>
      <c r="BA229" s="7">
        <v>4</v>
      </c>
      <c r="BB229" s="7">
        <v>8</v>
      </c>
      <c r="BC229" s="7"/>
      <c r="BD229" s="7"/>
      <c r="BE229" s="7">
        <v>13</v>
      </c>
      <c r="BF229" s="7">
        <v>9</v>
      </c>
      <c r="BG229" s="7">
        <v>12</v>
      </c>
      <c r="BH229" s="7">
        <v>4</v>
      </c>
      <c r="BI229" s="7">
        <v>10</v>
      </c>
      <c r="BJ229" s="7"/>
      <c r="BK229" s="7"/>
      <c r="BL229" s="7">
        <v>10</v>
      </c>
      <c r="BM229" s="7"/>
      <c r="BN229" s="7">
        <v>11</v>
      </c>
      <c r="BO229" s="7">
        <v>11</v>
      </c>
      <c r="BP229" s="7"/>
      <c r="BQ229" s="7"/>
      <c r="BR229" s="7"/>
      <c r="BS229" s="7">
        <v>10</v>
      </c>
      <c r="BT229" s="7">
        <v>10</v>
      </c>
      <c r="BU229" s="7">
        <v>10</v>
      </c>
      <c r="BV229" s="7"/>
      <c r="BW229" s="7"/>
      <c r="BY229" s="91"/>
      <c r="BZ229" s="98"/>
    </row>
    <row r="230" spans="1:78" ht="20.100000000000001" customHeight="1" thickBot="1" x14ac:dyDescent="0.35">
      <c r="A230" s="13">
        <v>224</v>
      </c>
      <c r="B230" s="4" t="s">
        <v>350</v>
      </c>
      <c r="C230" s="67" t="s">
        <v>160</v>
      </c>
      <c r="F230" s="2">
        <v>94064836775</v>
      </c>
      <c r="H230" s="3"/>
      <c r="J230" s="4" t="s">
        <v>120</v>
      </c>
      <c r="M230" s="1">
        <v>216</v>
      </c>
      <c r="Q230" s="7" t="s">
        <v>185</v>
      </c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>
        <v>230</v>
      </c>
      <c r="AL230" s="7"/>
      <c r="AM230" s="7"/>
      <c r="AN230" s="7"/>
      <c r="AO230" s="7"/>
      <c r="AP230" s="7"/>
      <c r="AQ230" s="7"/>
      <c r="AR230" s="7"/>
      <c r="AS230" s="7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  <c r="BN230" s="22"/>
      <c r="BO230" s="22"/>
      <c r="BP230" s="22"/>
      <c r="BQ230" s="22"/>
      <c r="BR230" s="22"/>
      <c r="BS230" s="22"/>
      <c r="BT230" s="22"/>
      <c r="BU230" s="22"/>
      <c r="BV230" s="22"/>
      <c r="BW230" s="22"/>
    </row>
    <row r="231" spans="1:78" s="8" customFormat="1" ht="20.100000000000001" customHeight="1" x14ac:dyDescent="0.3">
      <c r="A231" s="13">
        <v>225</v>
      </c>
      <c r="B231" s="9" t="s">
        <v>351</v>
      </c>
      <c r="C231" s="66" t="s">
        <v>160</v>
      </c>
      <c r="D231" s="46">
        <f>VLOOKUP(F233,[1]SKU리스트!$H:$L,5,FALSE)</f>
        <v>14900</v>
      </c>
      <c r="E231" s="47">
        <f>VLOOKUP(F233,[1]SKU리스트!$H:$AK,30,FALSE)</f>
        <v>5442.545454545454</v>
      </c>
      <c r="F231" s="10" t="s">
        <v>219</v>
      </c>
      <c r="G231" s="11"/>
      <c r="H231" s="11"/>
      <c r="I231" s="11"/>
      <c r="J231" s="9"/>
      <c r="K231" s="12"/>
      <c r="M231" s="8">
        <v>217</v>
      </c>
      <c r="Q231" s="44" t="s">
        <v>125</v>
      </c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>
        <v>7</v>
      </c>
      <c r="AJ231" s="54">
        <v>8</v>
      </c>
      <c r="AK231" s="54">
        <v>9</v>
      </c>
      <c r="AL231" s="54">
        <v>11</v>
      </c>
      <c r="AM231" s="54">
        <v>13</v>
      </c>
      <c r="AN231" s="54">
        <v>11</v>
      </c>
      <c r="AO231" s="54">
        <v>19</v>
      </c>
      <c r="AP231" s="54">
        <v>14</v>
      </c>
      <c r="AQ231" s="54">
        <v>15</v>
      </c>
      <c r="AR231" s="54">
        <v>16</v>
      </c>
      <c r="AS231" s="54">
        <v>22</v>
      </c>
      <c r="AT231" s="54">
        <v>17</v>
      </c>
      <c r="AU231" s="54">
        <v>8</v>
      </c>
      <c r="AV231" s="54">
        <v>6</v>
      </c>
      <c r="AW231" s="54">
        <v>4</v>
      </c>
      <c r="AX231" s="54">
        <v>2</v>
      </c>
      <c r="AY231" s="54">
        <v>4</v>
      </c>
      <c r="AZ231" s="54">
        <v>2</v>
      </c>
      <c r="BA231" s="54">
        <v>1</v>
      </c>
      <c r="BB231" s="54">
        <v>1</v>
      </c>
      <c r="BC231" s="54">
        <v>1</v>
      </c>
      <c r="BD231" s="54">
        <v>4</v>
      </c>
      <c r="BE231" s="54">
        <v>3</v>
      </c>
      <c r="BF231" s="54">
        <v>0</v>
      </c>
      <c r="BG231" s="54">
        <v>1</v>
      </c>
      <c r="BH231" s="54">
        <v>9</v>
      </c>
      <c r="BI231" s="54">
        <v>1</v>
      </c>
      <c r="BJ231" s="54">
        <v>4</v>
      </c>
      <c r="BK231" s="54">
        <v>7</v>
      </c>
      <c r="BL231" s="54">
        <v>3</v>
      </c>
      <c r="BM231" s="54">
        <v>3</v>
      </c>
      <c r="BN231" s="54">
        <v>2</v>
      </c>
      <c r="BO231" s="54">
        <v>2</v>
      </c>
      <c r="BP231" s="54">
        <v>7</v>
      </c>
      <c r="BQ231" s="54">
        <v>1</v>
      </c>
      <c r="BR231" s="54">
        <v>4</v>
      </c>
      <c r="BS231" s="54">
        <v>8</v>
      </c>
      <c r="BT231" s="54">
        <v>3</v>
      </c>
      <c r="BU231" s="54"/>
      <c r="BV231" s="54"/>
      <c r="BW231" s="54"/>
      <c r="BX231" s="85">
        <f>VLOOKUP(F231,[1]SKU리스트!$H:$AH,27,FALSE)</f>
        <v>38693</v>
      </c>
      <c r="BY231" s="9" t="s">
        <v>283</v>
      </c>
    </row>
    <row r="232" spans="1:78" ht="20.100000000000001" customHeight="1" x14ac:dyDescent="0.3">
      <c r="A232" s="13">
        <v>226</v>
      </c>
      <c r="B232" s="4" t="s">
        <v>351</v>
      </c>
      <c r="C232" s="67" t="s">
        <v>160</v>
      </c>
      <c r="D232" s="1"/>
      <c r="E232" s="1"/>
      <c r="F232" s="2" t="s">
        <v>306</v>
      </c>
      <c r="H232" s="3"/>
      <c r="M232" s="1">
        <v>218</v>
      </c>
      <c r="Q232" s="39" t="s">
        <v>282</v>
      </c>
      <c r="R232" s="5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50"/>
      <c r="AL232" s="50"/>
      <c r="AM232" s="50"/>
      <c r="AN232" s="50"/>
      <c r="AO232" s="53">
        <f>SUM(AI231:AO231)</f>
        <v>78</v>
      </c>
      <c r="AP232" s="51">
        <v>21</v>
      </c>
      <c r="AQ232" s="50"/>
      <c r="AR232" s="50"/>
      <c r="AS232" s="50"/>
      <c r="AT232" s="50"/>
      <c r="AU232" s="50"/>
      <c r="AV232" s="53">
        <f>SUM(AP231:AV231)</f>
        <v>98</v>
      </c>
      <c r="AW232" s="50">
        <v>27</v>
      </c>
      <c r="AX232" s="50"/>
      <c r="AY232" s="50"/>
      <c r="AZ232" s="50"/>
      <c r="BA232" s="50"/>
      <c r="BB232" s="50"/>
      <c r="BC232" s="53">
        <f>SUM(AW231:BC231)</f>
        <v>15</v>
      </c>
      <c r="BD232" s="50">
        <v>4</v>
      </c>
      <c r="BE232" s="50"/>
      <c r="BF232" s="50"/>
      <c r="BG232" s="50"/>
      <c r="BH232" s="50"/>
      <c r="BI232" s="50"/>
      <c r="BJ232" s="53">
        <f>SUM(BD231:BJ231)</f>
        <v>22</v>
      </c>
      <c r="BK232" s="50">
        <v>5</v>
      </c>
      <c r="BL232" s="50"/>
      <c r="BM232" s="50"/>
      <c r="BN232" s="50"/>
      <c r="BO232" s="50"/>
      <c r="BP232" s="50"/>
      <c r="BQ232" s="53">
        <f>SUM(BK231:BQ231)</f>
        <v>25</v>
      </c>
      <c r="BR232" s="50">
        <v>11</v>
      </c>
      <c r="BS232" s="50"/>
      <c r="BT232" s="50"/>
      <c r="BU232" s="50"/>
      <c r="BV232" s="50"/>
      <c r="BW232" s="50"/>
    </row>
    <row r="233" spans="1:78" ht="20.100000000000001" customHeight="1" x14ac:dyDescent="0.3">
      <c r="A233" s="13">
        <v>227</v>
      </c>
      <c r="B233" s="91" t="s">
        <v>351</v>
      </c>
      <c r="C233" s="92" t="s">
        <v>160</v>
      </c>
      <c r="D233" s="91"/>
      <c r="E233" s="91"/>
      <c r="F233" s="96">
        <v>94064828660</v>
      </c>
      <c r="G233" s="97"/>
      <c r="H233" s="97"/>
      <c r="I233" s="97"/>
      <c r="J233" s="91"/>
      <c r="L233" s="98"/>
      <c r="M233" s="98">
        <v>219</v>
      </c>
      <c r="N233" s="98"/>
      <c r="O233" s="98"/>
      <c r="P233" s="98"/>
      <c r="Q233" s="41" t="s">
        <v>1</v>
      </c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>
        <f>IFERROR(VLOOKUP($F233,[2]원본!$D:$BX,AI$1,FALSE),"")</f>
        <v>6</v>
      </c>
      <c r="AJ233" s="40">
        <f>IFERROR(VLOOKUP($F233,[2]원본!$D:$BX,AJ$1,FALSE),"")</f>
        <v>6</v>
      </c>
      <c r="AK233" s="40">
        <f>IFERROR(VLOOKUP($F233,[2]원본!$D:$BX,AK$1,FALSE),"")</f>
        <v>8</v>
      </c>
      <c r="AL233" s="40">
        <f>IFERROR(VLOOKUP($F233,[2]원본!$D:$BX,AL$1,FALSE),"")</f>
        <v>6</v>
      </c>
      <c r="AM233" s="40">
        <f>IFERROR(VLOOKUP($F233,[2]원본!$D:$BX,AM$1,FALSE),"")</f>
        <v>7</v>
      </c>
      <c r="AN233" s="40">
        <f>IFERROR(VLOOKUP($F233,[2]원본!$D:$BX,AN$1,FALSE),"")</f>
        <v>7</v>
      </c>
      <c r="AO233" s="40">
        <f>IFERROR(VLOOKUP($F233,[2]원본!$D:$BX,AO$1,FALSE),"")</f>
        <v>5</v>
      </c>
      <c r="AP233" s="40">
        <f>IFERROR(VLOOKUP($F233,[2]원본!$D:$BX,AP$1,FALSE),"")</f>
        <v>8</v>
      </c>
      <c r="AQ233" s="40">
        <f>IFERROR(VLOOKUP($F233,[2]원본!$D:$BX,AQ$1,FALSE),"")</f>
        <v>0</v>
      </c>
      <c r="AR233" s="40">
        <f>IFERROR(VLOOKUP($F233,[2]원본!$D:$BX,AR$1,FALSE),"")</f>
        <v>0</v>
      </c>
      <c r="AS233" s="40">
        <f>IFERROR(VLOOKUP($F233,[2]원본!$D:$BX,AS$1,FALSE),"")</f>
        <v>0</v>
      </c>
      <c r="AT233" s="40">
        <f>IFERROR(VLOOKUP($F233,[2]원본!$D:$BX,AT$1,FALSE),"")</f>
        <v>0</v>
      </c>
      <c r="AU233" s="40">
        <f>IFERROR(VLOOKUP($F233,[2]원본!$D:$BX,AU$1,FALSE),"")</f>
        <v>0</v>
      </c>
      <c r="AV233" s="40">
        <f>IFERROR(VLOOKUP($F233,[2]원본!$D:$BX,AV$1,FALSE),"")</f>
        <v>0</v>
      </c>
      <c r="AW233" s="40">
        <f>IFERROR(VLOOKUP($F233,[2]원본!$D:$BX,AW$1,FALSE),"")</f>
        <v>0</v>
      </c>
      <c r="AX233" s="40">
        <f>IFERROR(VLOOKUP($F233,[2]원본!$D:$BX,AX$1,FALSE),"")</f>
        <v>0</v>
      </c>
      <c r="AY233" s="40">
        <f>IFERROR(VLOOKUP($F233,[2]원본!$D:$BX,AY$1,FALSE),"")</f>
        <v>0</v>
      </c>
      <c r="AZ233" s="40">
        <f>IFERROR(VLOOKUP($F233,[2]원본!$D:$BX,AZ$1,FALSE),"")</f>
        <v>0</v>
      </c>
      <c r="BA233" s="40">
        <f>IFERROR(VLOOKUP($F233,[2]원본!$D:$BX,BA$1,FALSE),"")</f>
        <v>0</v>
      </c>
      <c r="BB233" s="40">
        <f>IFERROR(VLOOKUP($F233,[2]원본!$D:$BX,BB$1,FALSE),"")</f>
        <v>0</v>
      </c>
      <c r="BC233" s="40">
        <f>IFERROR(VLOOKUP($F233,[2]원본!$D:$BX,BC$1,FALSE),"")</f>
        <v>0</v>
      </c>
      <c r="BD233" s="40">
        <f>IFERROR(VLOOKUP($F233,[2]원본!$D:$BX,BD$1,FALSE),"")</f>
        <v>0</v>
      </c>
      <c r="BE233" s="40">
        <f>IFERROR(VLOOKUP($F233,[2]원본!$D:$BX,BE$1,FALSE),"")</f>
        <v>0</v>
      </c>
      <c r="BF233" s="40">
        <f>IFERROR(VLOOKUP($F233,[2]원본!$D:$BX,BF$1,FALSE),"")</f>
        <v>0</v>
      </c>
      <c r="BG233" s="40">
        <f>IFERROR(VLOOKUP($F233,[2]원본!$D:$BX,BG$1,FALSE),"")</f>
        <v>0</v>
      </c>
      <c r="BH233" s="40">
        <f>IFERROR(VLOOKUP($F233,[2]원본!$D:$BX,BH$1,FALSE),"")</f>
        <v>0</v>
      </c>
      <c r="BI233" s="40">
        <f>IFERROR(VLOOKUP($F233,[2]원본!$D:$BX,BI$1,FALSE),"")</f>
        <v>0</v>
      </c>
      <c r="BJ233" s="40">
        <f>IFERROR(VLOOKUP($F233,[2]원본!$D:$BX,BJ$1,FALSE),"")</f>
        <v>0</v>
      </c>
      <c r="BK233" s="40">
        <f>IFERROR(VLOOKUP($F233,[2]원본!$D:$BX,BK$1,FALSE),"")</f>
        <v>0</v>
      </c>
      <c r="BL233" s="40">
        <f>IFERROR(VLOOKUP($F233,[2]원본!$D:$BX,BL$1,FALSE),"")</f>
        <v>0</v>
      </c>
      <c r="BM233" s="40">
        <f>IFERROR(VLOOKUP($F233,[2]원본!$D:$BX,BM$1,FALSE),"")</f>
        <v>0</v>
      </c>
      <c r="BN233" s="40">
        <f>IFERROR(VLOOKUP($F233,[2]원본!$D:$BX,BN$1,FALSE),"")</f>
        <v>0</v>
      </c>
      <c r="BO233" s="40">
        <f>IFERROR(VLOOKUP($F233,[2]원본!$D:$BX,BO$1,FALSE),"")</f>
        <v>0</v>
      </c>
      <c r="BP233" s="40">
        <f>IFERROR(VLOOKUP($F233,[2]원본!$D:$BX,BP$1,FALSE),"")</f>
        <v>0</v>
      </c>
      <c r="BQ233" s="40">
        <f>IFERROR(VLOOKUP($F233,[2]원본!$D:$BX,BQ$1,FALSE),"")</f>
        <v>0</v>
      </c>
      <c r="BR233" s="40">
        <f>IFERROR(VLOOKUP($F233,[2]원본!$D:$BX,BR$1,FALSE),"")</f>
        <v>0</v>
      </c>
      <c r="BS233" s="40">
        <f>IFERROR(VLOOKUP($F233,[2]원본!$D:$BX,BS$1,FALSE),"")</f>
        <v>0</v>
      </c>
      <c r="BT233" s="40">
        <f>IFERROR(VLOOKUP($F233,[2]원본!$D:$BX,BT$1,FALSE),"")</f>
        <v>0</v>
      </c>
      <c r="BU233" s="40">
        <f>IFERROR(VLOOKUP($F233,[2]원본!$D:$BX,BU$1,FALSE),"")</f>
        <v>0</v>
      </c>
      <c r="BV233" s="40" t="str">
        <f>IFERROR(VLOOKUP($F233,#REF!,BV$1,FALSE),"")</f>
        <v/>
      </c>
      <c r="BW233" s="40"/>
      <c r="BX233" s="26">
        <f>(SUM(R233:BW233)*D231)-(SUM(R233:BW233)*E231)</f>
        <v>501245.09090909094</v>
      </c>
      <c r="BY233" s="91"/>
      <c r="BZ233" s="100" t="str">
        <f>IFERROR(VLOOKUP($F233,#REF!,BZ$1,FALSE),"")</f>
        <v/>
      </c>
    </row>
    <row r="234" spans="1:78" ht="20.100000000000001" customHeight="1" x14ac:dyDescent="0.3">
      <c r="A234" s="13">
        <v>228</v>
      </c>
      <c r="B234" s="91" t="s">
        <v>351</v>
      </c>
      <c r="C234" s="92" t="s">
        <v>160</v>
      </c>
      <c r="D234" s="95" t="s">
        <v>183</v>
      </c>
      <c r="E234" s="94"/>
      <c r="F234" s="96">
        <v>94064828660</v>
      </c>
      <c r="G234" s="97" t="s">
        <v>155</v>
      </c>
      <c r="H234" s="97"/>
      <c r="I234" s="97"/>
      <c r="J234" s="91" t="s">
        <v>406</v>
      </c>
      <c r="K234" s="62">
        <v>134500</v>
      </c>
      <c r="L234" s="98">
        <v>1</v>
      </c>
      <c r="M234" s="98">
        <v>221</v>
      </c>
      <c r="N234" s="98"/>
      <c r="O234" s="98"/>
      <c r="P234" s="98"/>
      <c r="Q234" s="42" t="s">
        <v>0</v>
      </c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22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22"/>
      <c r="AP234" s="22"/>
      <c r="AQ234" s="7"/>
      <c r="AR234" s="7"/>
      <c r="AS234" s="7"/>
      <c r="AT234" s="7"/>
      <c r="AU234" s="7"/>
      <c r="AV234" s="22"/>
      <c r="AW234" s="22"/>
      <c r="AX234" s="7"/>
      <c r="AY234" s="7"/>
      <c r="AZ234" s="7"/>
      <c r="BA234" s="7"/>
      <c r="BB234" s="7"/>
      <c r="BC234" s="22"/>
      <c r="BD234" s="22"/>
      <c r="BE234" s="22"/>
      <c r="BF234" s="22"/>
      <c r="BG234" s="22"/>
      <c r="BH234" s="22"/>
      <c r="BI234" s="7">
        <v>40</v>
      </c>
      <c r="BJ234" s="7"/>
      <c r="BK234" s="7"/>
      <c r="BL234" s="7">
        <v>20</v>
      </c>
      <c r="BM234" s="7"/>
      <c r="BN234" s="7">
        <v>15</v>
      </c>
      <c r="BO234" s="7">
        <v>15</v>
      </c>
      <c r="BP234" s="7"/>
      <c r="BQ234" s="7"/>
      <c r="BR234" s="7"/>
      <c r="BS234" s="7">
        <v>15</v>
      </c>
      <c r="BT234" s="7">
        <v>15</v>
      </c>
      <c r="BU234" s="7">
        <v>15</v>
      </c>
      <c r="BV234" s="7"/>
      <c r="BW234" s="7"/>
      <c r="BY234" s="91"/>
      <c r="BZ234" s="98"/>
    </row>
    <row r="235" spans="1:78" ht="20.100000000000001" customHeight="1" x14ac:dyDescent="0.3">
      <c r="A235" s="13">
        <v>229</v>
      </c>
      <c r="B235" s="91" t="s">
        <v>351</v>
      </c>
      <c r="C235" s="92" t="s">
        <v>160</v>
      </c>
      <c r="D235" s="95"/>
      <c r="E235" s="94"/>
      <c r="F235" s="96">
        <v>94064828660</v>
      </c>
      <c r="G235" s="97"/>
      <c r="H235" s="97"/>
      <c r="I235" s="97"/>
      <c r="J235" s="91" t="s">
        <v>405</v>
      </c>
      <c r="K235" s="62">
        <v>83500</v>
      </c>
      <c r="L235" s="98">
        <v>1</v>
      </c>
      <c r="M235" s="98">
        <v>220</v>
      </c>
      <c r="N235" s="98"/>
      <c r="O235" s="98"/>
      <c r="P235" s="98"/>
      <c r="Q235" s="42" t="s">
        <v>0</v>
      </c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22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22"/>
      <c r="AP235" s="22"/>
      <c r="AQ235" s="7"/>
      <c r="AR235" s="7"/>
      <c r="AS235" s="7"/>
      <c r="AT235" s="7"/>
      <c r="AU235" s="7"/>
      <c r="AV235" s="22"/>
      <c r="AW235" s="22"/>
      <c r="AX235" s="7"/>
      <c r="AY235" s="7"/>
      <c r="AZ235" s="7"/>
      <c r="BA235" s="7"/>
      <c r="BB235" s="7"/>
      <c r="BC235" s="22"/>
      <c r="BD235" s="22"/>
      <c r="BE235" s="22"/>
      <c r="BF235" s="22"/>
      <c r="BG235" s="22"/>
      <c r="BH235" s="22"/>
      <c r="BI235" s="7">
        <v>25</v>
      </c>
      <c r="BJ235" s="7"/>
      <c r="BK235" s="7"/>
      <c r="BL235" s="7">
        <v>13</v>
      </c>
      <c r="BM235" s="7"/>
      <c r="BN235" s="7">
        <v>13</v>
      </c>
      <c r="BO235" s="7">
        <v>13</v>
      </c>
      <c r="BP235" s="7"/>
      <c r="BQ235" s="7"/>
      <c r="BR235" s="7"/>
      <c r="BS235" s="7">
        <v>13</v>
      </c>
      <c r="BT235" s="7">
        <v>13</v>
      </c>
      <c r="BU235" s="7">
        <v>13</v>
      </c>
      <c r="BV235" s="7"/>
      <c r="BW235" s="7"/>
      <c r="BY235" s="91"/>
      <c r="BZ235" s="98"/>
    </row>
    <row r="236" spans="1:78" ht="20.100000000000001" customHeight="1" x14ac:dyDescent="0.3">
      <c r="A236" s="13">
        <v>230</v>
      </c>
      <c r="B236" s="91" t="s">
        <v>351</v>
      </c>
      <c r="C236" s="92" t="s">
        <v>160</v>
      </c>
      <c r="D236" s="95"/>
      <c r="E236" s="94"/>
      <c r="F236" s="96">
        <v>94064828660</v>
      </c>
      <c r="G236" s="97"/>
      <c r="H236" s="97"/>
      <c r="I236" s="97"/>
      <c r="J236" s="91" t="s">
        <v>13</v>
      </c>
      <c r="K236" s="62">
        <v>141700</v>
      </c>
      <c r="L236" s="98"/>
      <c r="M236" s="98">
        <v>222</v>
      </c>
      <c r="N236" s="98"/>
      <c r="O236" s="98"/>
      <c r="P236" s="98"/>
      <c r="Q236" s="7" t="s">
        <v>185</v>
      </c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 t="s">
        <v>36</v>
      </c>
      <c r="AL236" s="7"/>
      <c r="AM236" s="7"/>
      <c r="AN236" s="7"/>
      <c r="AO236" s="7"/>
      <c r="AP236" s="7"/>
      <c r="AQ236" s="7"/>
      <c r="AR236" s="7"/>
      <c r="AS236" s="7"/>
      <c r="AT236" s="7">
        <v>18</v>
      </c>
      <c r="AU236" s="7">
        <v>18</v>
      </c>
      <c r="AV236" s="7"/>
      <c r="AW236" s="7"/>
      <c r="AX236" s="7">
        <v>18</v>
      </c>
      <c r="AY236" s="7"/>
      <c r="AZ236" s="7">
        <v>18</v>
      </c>
      <c r="BA236" s="7">
        <v>55</v>
      </c>
      <c r="BB236" s="7">
        <v>50</v>
      </c>
      <c r="BC236" s="7"/>
      <c r="BD236" s="7"/>
      <c r="BE236" s="7">
        <v>24</v>
      </c>
      <c r="BF236" s="7">
        <v>24</v>
      </c>
      <c r="BG236" s="7">
        <v>22</v>
      </c>
      <c r="BH236" s="7">
        <v>55</v>
      </c>
      <c r="BI236" s="86"/>
      <c r="BJ236" s="86"/>
      <c r="BK236" s="86"/>
      <c r="BL236" s="86"/>
      <c r="BM236" s="86"/>
      <c r="BN236" s="86"/>
      <c r="BO236" s="86"/>
      <c r="BP236" s="86"/>
      <c r="BQ236" s="86"/>
      <c r="BR236" s="86"/>
      <c r="BS236" s="86"/>
      <c r="BT236" s="86"/>
      <c r="BU236" s="86"/>
      <c r="BV236" s="86"/>
      <c r="BW236" s="86"/>
      <c r="BY236" s="91"/>
      <c r="BZ236" s="98"/>
    </row>
    <row r="237" spans="1:78" ht="20.100000000000001" customHeight="1" x14ac:dyDescent="0.3">
      <c r="A237" s="13">
        <v>231</v>
      </c>
      <c r="B237" s="91" t="s">
        <v>351</v>
      </c>
      <c r="C237" s="92" t="s">
        <v>160</v>
      </c>
      <c r="D237" s="94"/>
      <c r="E237" s="94"/>
      <c r="F237" s="96">
        <v>94064828660</v>
      </c>
      <c r="G237" s="97"/>
      <c r="H237" s="97"/>
      <c r="I237" s="97"/>
      <c r="J237" s="91" t="s">
        <v>86</v>
      </c>
      <c r="K237" s="62">
        <v>90000</v>
      </c>
      <c r="L237" s="98"/>
      <c r="M237" s="98">
        <v>223</v>
      </c>
      <c r="N237" s="98"/>
      <c r="O237" s="98"/>
      <c r="P237" s="98"/>
      <c r="Q237" s="7" t="s">
        <v>185</v>
      </c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>
        <v>35</v>
      </c>
      <c r="AL237" s="7"/>
      <c r="AM237" s="7"/>
      <c r="AN237" s="7"/>
      <c r="AO237" s="7"/>
      <c r="AP237" s="7"/>
      <c r="AQ237" s="7"/>
      <c r="AR237" s="7"/>
      <c r="AS237" s="7"/>
      <c r="AT237" s="7">
        <v>2</v>
      </c>
      <c r="AU237" s="7">
        <v>3</v>
      </c>
      <c r="AV237" s="7"/>
      <c r="AW237" s="7"/>
      <c r="AX237" s="7">
        <v>12</v>
      </c>
      <c r="AY237" s="7"/>
      <c r="AZ237" s="7">
        <v>4</v>
      </c>
      <c r="BA237" s="7">
        <v>111</v>
      </c>
      <c r="BB237" s="7">
        <v>7</v>
      </c>
      <c r="BC237" s="7"/>
      <c r="BD237" s="7"/>
      <c r="BE237" s="7">
        <v>8</v>
      </c>
      <c r="BF237" s="7">
        <v>10</v>
      </c>
      <c r="BG237" s="7">
        <v>10</v>
      </c>
      <c r="BH237" s="7">
        <v>111</v>
      </c>
      <c r="BI237" s="86"/>
      <c r="BJ237" s="86"/>
      <c r="BK237" s="86"/>
      <c r="BL237" s="86"/>
      <c r="BM237" s="86"/>
      <c r="BN237" s="86"/>
      <c r="BO237" s="86"/>
      <c r="BP237" s="86"/>
      <c r="BQ237" s="86"/>
      <c r="BR237" s="86"/>
      <c r="BS237" s="86"/>
      <c r="BT237" s="86"/>
      <c r="BU237" s="86"/>
      <c r="BV237" s="86"/>
      <c r="BW237" s="86"/>
      <c r="BY237" s="91"/>
      <c r="BZ237" s="98"/>
    </row>
    <row r="238" spans="1:78" ht="20.100000000000001" customHeight="1" thickBot="1" x14ac:dyDescent="0.35">
      <c r="A238" s="13">
        <v>232</v>
      </c>
      <c r="B238" s="91" t="s">
        <v>351</v>
      </c>
      <c r="C238" s="92" t="s">
        <v>160</v>
      </c>
      <c r="D238" s="91"/>
      <c r="E238" s="91"/>
      <c r="F238" s="96">
        <v>94064828660</v>
      </c>
      <c r="G238" s="97"/>
      <c r="H238" s="97"/>
      <c r="I238" s="97"/>
      <c r="J238" s="91" t="s">
        <v>120</v>
      </c>
      <c r="L238" s="98"/>
      <c r="M238" s="98">
        <v>224</v>
      </c>
      <c r="N238" s="98"/>
      <c r="O238" s="98"/>
      <c r="P238" s="98"/>
      <c r="Q238" s="7" t="s">
        <v>185</v>
      </c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>
        <v>2</v>
      </c>
      <c r="AL238" s="7"/>
      <c r="AM238" s="7"/>
      <c r="AN238" s="7"/>
      <c r="AO238" s="7"/>
      <c r="AP238" s="7"/>
      <c r="AQ238" s="7"/>
      <c r="AR238" s="7"/>
      <c r="AS238" s="7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  <c r="BN238" s="22"/>
      <c r="BO238" s="22"/>
      <c r="BP238" s="22"/>
      <c r="BQ238" s="22"/>
      <c r="BR238" s="22"/>
      <c r="BS238" s="22"/>
      <c r="BT238" s="22"/>
      <c r="BU238" s="22"/>
      <c r="BV238" s="22"/>
      <c r="BW238" s="22"/>
      <c r="BY238" s="91"/>
      <c r="BZ238" s="98"/>
    </row>
    <row r="239" spans="1:78" s="8" customFormat="1" ht="20.100000000000001" customHeight="1" x14ac:dyDescent="0.3">
      <c r="A239" s="13">
        <v>233</v>
      </c>
      <c r="B239" s="9" t="s">
        <v>351</v>
      </c>
      <c r="C239" s="66" t="s">
        <v>160</v>
      </c>
      <c r="D239" s="46">
        <f>VLOOKUP(F241,[1]SKU리스트!$H:$L,5,FALSE)</f>
        <v>14900</v>
      </c>
      <c r="E239" s="47">
        <f>VLOOKUP(F241,[1]SKU리스트!$H:$AK,30,FALSE)</f>
        <v>5442.545454545454</v>
      </c>
      <c r="F239" s="10" t="s">
        <v>220</v>
      </c>
      <c r="G239" s="11"/>
      <c r="H239" s="11"/>
      <c r="I239" s="11"/>
      <c r="J239" s="9"/>
      <c r="K239" s="12"/>
      <c r="M239" s="8">
        <v>225</v>
      </c>
      <c r="Q239" s="44" t="s">
        <v>125</v>
      </c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>
        <v>7</v>
      </c>
      <c r="AJ239" s="54">
        <v>8</v>
      </c>
      <c r="AK239" s="54">
        <v>6</v>
      </c>
      <c r="AL239" s="54">
        <v>12</v>
      </c>
      <c r="AM239" s="54">
        <v>11</v>
      </c>
      <c r="AN239" s="54">
        <v>13</v>
      </c>
      <c r="AO239" s="54">
        <v>16</v>
      </c>
      <c r="AP239" s="54">
        <v>20</v>
      </c>
      <c r="AQ239" s="54">
        <v>14</v>
      </c>
      <c r="AR239" s="54">
        <v>18</v>
      </c>
      <c r="AS239" s="54">
        <v>9</v>
      </c>
      <c r="AT239" s="54">
        <v>7</v>
      </c>
      <c r="AU239" s="54">
        <v>4</v>
      </c>
      <c r="AV239" s="54">
        <v>4</v>
      </c>
      <c r="AW239" s="54">
        <v>12</v>
      </c>
      <c r="AX239" s="54">
        <v>4</v>
      </c>
      <c r="AY239" s="54">
        <v>6</v>
      </c>
      <c r="AZ239" s="54">
        <v>3</v>
      </c>
      <c r="BA239" s="54">
        <v>7</v>
      </c>
      <c r="BB239" s="54">
        <v>3</v>
      </c>
      <c r="BC239" s="54">
        <v>1</v>
      </c>
      <c r="BD239" s="54">
        <v>4</v>
      </c>
      <c r="BE239" s="54">
        <v>-1</v>
      </c>
      <c r="BF239" s="54">
        <v>6</v>
      </c>
      <c r="BG239" s="54">
        <v>6</v>
      </c>
      <c r="BH239" s="54">
        <v>7</v>
      </c>
      <c r="BI239" s="54">
        <v>3</v>
      </c>
      <c r="BJ239" s="54">
        <v>4</v>
      </c>
      <c r="BK239" s="54">
        <v>8</v>
      </c>
      <c r="BL239" s="54">
        <v>7</v>
      </c>
      <c r="BM239" s="54">
        <v>0</v>
      </c>
      <c r="BN239" s="54">
        <v>2</v>
      </c>
      <c r="BO239" s="54">
        <v>7</v>
      </c>
      <c r="BP239" s="54">
        <v>9</v>
      </c>
      <c r="BQ239" s="54">
        <v>9</v>
      </c>
      <c r="BR239" s="54">
        <v>10</v>
      </c>
      <c r="BS239" s="54">
        <v>12</v>
      </c>
      <c r="BT239" s="54">
        <v>3</v>
      </c>
      <c r="BU239" s="54"/>
      <c r="BV239" s="54"/>
      <c r="BW239" s="54"/>
      <c r="BX239" s="85">
        <f>VLOOKUP(F239,[1]SKU리스트!$H:$AH,27,FALSE)</f>
        <v>143713</v>
      </c>
      <c r="BY239" s="9" t="s">
        <v>283</v>
      </c>
    </row>
    <row r="240" spans="1:78" ht="20.100000000000001" customHeight="1" x14ac:dyDescent="0.3">
      <c r="A240" s="13">
        <v>234</v>
      </c>
      <c r="B240" s="4" t="s">
        <v>351</v>
      </c>
      <c r="C240" s="67" t="s">
        <v>160</v>
      </c>
      <c r="D240" s="1"/>
      <c r="E240" s="1"/>
      <c r="F240" s="2" t="s">
        <v>307</v>
      </c>
      <c r="H240" s="3"/>
      <c r="M240" s="1">
        <v>226</v>
      </c>
      <c r="Q240" s="39" t="s">
        <v>282</v>
      </c>
      <c r="R240" s="5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50"/>
      <c r="AL240" s="50"/>
      <c r="AM240" s="50"/>
      <c r="AN240" s="50"/>
      <c r="AO240" s="53">
        <f>SUM(AI239:AO239)</f>
        <v>73</v>
      </c>
      <c r="AP240" s="51">
        <v>28</v>
      </c>
      <c r="AQ240" s="50"/>
      <c r="AR240" s="50"/>
      <c r="AS240" s="50"/>
      <c r="AT240" s="50"/>
      <c r="AU240" s="50"/>
      <c r="AV240" s="53">
        <f>SUM(AP239:AV239)</f>
        <v>76</v>
      </c>
      <c r="AW240" s="50">
        <v>48</v>
      </c>
      <c r="AX240" s="50"/>
      <c r="AY240" s="50"/>
      <c r="AZ240" s="50"/>
      <c r="BA240" s="50"/>
      <c r="BB240" s="50"/>
      <c r="BC240" s="53">
        <f>SUM(AW239:BC239)</f>
        <v>36</v>
      </c>
      <c r="BD240" s="50">
        <v>35</v>
      </c>
      <c r="BE240" s="50"/>
      <c r="BF240" s="50"/>
      <c r="BG240" s="50"/>
      <c r="BH240" s="50"/>
      <c r="BI240" s="50"/>
      <c r="BJ240" s="53">
        <f>SUM(BD239:BJ239)</f>
        <v>29</v>
      </c>
      <c r="BK240" s="50">
        <v>41</v>
      </c>
      <c r="BL240" s="50"/>
      <c r="BM240" s="50"/>
      <c r="BN240" s="50"/>
      <c r="BO240" s="50"/>
      <c r="BP240" s="50"/>
      <c r="BQ240" s="53">
        <f>SUM(BK239:BQ239)</f>
        <v>42</v>
      </c>
      <c r="BR240" s="50">
        <v>35</v>
      </c>
      <c r="BS240" s="50"/>
      <c r="BT240" s="50"/>
      <c r="BU240" s="50"/>
      <c r="BV240" s="50"/>
      <c r="BW240" s="50"/>
    </row>
    <row r="241" spans="1:78" ht="20.100000000000001" customHeight="1" x14ac:dyDescent="0.3">
      <c r="A241" s="13">
        <v>235</v>
      </c>
      <c r="B241" s="91" t="s">
        <v>351</v>
      </c>
      <c r="C241" s="92" t="s">
        <v>160</v>
      </c>
      <c r="D241" s="91"/>
      <c r="E241" s="91"/>
      <c r="F241" s="96">
        <v>94064828659</v>
      </c>
      <c r="G241" s="97"/>
      <c r="H241" s="97"/>
      <c r="I241" s="97"/>
      <c r="J241" s="91"/>
      <c r="L241" s="98"/>
      <c r="M241" s="98">
        <v>227</v>
      </c>
      <c r="N241" s="98"/>
      <c r="O241" s="98"/>
      <c r="P241" s="98"/>
      <c r="Q241" s="41" t="s">
        <v>1</v>
      </c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>
        <f>IFERROR(VLOOKUP($F241,[2]원본!$D:$BX,AI$1,FALSE),"")</f>
        <v>6</v>
      </c>
      <c r="AJ241" s="40">
        <f>IFERROR(VLOOKUP($F241,[2]원본!$D:$BX,AJ$1,FALSE),"")</f>
        <v>6</v>
      </c>
      <c r="AK241" s="40">
        <f>IFERROR(VLOOKUP($F241,[2]원본!$D:$BX,AK$1,FALSE),"")</f>
        <v>6</v>
      </c>
      <c r="AL241" s="40">
        <f>IFERROR(VLOOKUP($F241,[2]원본!$D:$BX,AL$1,FALSE),"")</f>
        <v>8</v>
      </c>
      <c r="AM241" s="40">
        <f>IFERROR(VLOOKUP($F241,[2]원본!$D:$BX,AM$1,FALSE),"")</f>
        <v>7</v>
      </c>
      <c r="AN241" s="40">
        <f>IFERROR(VLOOKUP($F241,[2]원본!$D:$BX,AN$1,FALSE),"")</f>
        <v>7</v>
      </c>
      <c r="AO241" s="40">
        <f>IFERROR(VLOOKUP($F241,[2]원본!$D:$BX,AO$1,FALSE),"")</f>
        <v>7</v>
      </c>
      <c r="AP241" s="40">
        <f>IFERROR(VLOOKUP($F241,[2]원본!$D:$BX,AP$1,FALSE),"")</f>
        <v>7</v>
      </c>
      <c r="AQ241" s="40">
        <f>IFERROR(VLOOKUP($F241,[2]원본!$D:$BX,AQ$1,FALSE),"")</f>
        <v>0</v>
      </c>
      <c r="AR241" s="40">
        <f>IFERROR(VLOOKUP($F241,[2]원본!$D:$BX,AR$1,FALSE),"")</f>
        <v>0</v>
      </c>
      <c r="AS241" s="40">
        <f>IFERROR(VLOOKUP($F241,[2]원본!$D:$BX,AS$1,FALSE),"")</f>
        <v>0</v>
      </c>
      <c r="AT241" s="40">
        <f>IFERROR(VLOOKUP($F241,[2]원본!$D:$BX,AT$1,FALSE),"")</f>
        <v>0</v>
      </c>
      <c r="AU241" s="40">
        <f>IFERROR(VLOOKUP($F241,[2]원본!$D:$BX,AU$1,FALSE),"")</f>
        <v>0</v>
      </c>
      <c r="AV241" s="40">
        <f>IFERROR(VLOOKUP($F241,[2]원본!$D:$BX,AV$1,FALSE),"")</f>
        <v>0</v>
      </c>
      <c r="AW241" s="40">
        <f>IFERROR(VLOOKUP($F241,[2]원본!$D:$BX,AW$1,FALSE),"")</f>
        <v>0</v>
      </c>
      <c r="AX241" s="40">
        <f>IFERROR(VLOOKUP($F241,[2]원본!$D:$BX,AX$1,FALSE),"")</f>
        <v>0</v>
      </c>
      <c r="AY241" s="40">
        <f>IFERROR(VLOOKUP($F241,[2]원본!$D:$BX,AY$1,FALSE),"")</f>
        <v>0</v>
      </c>
      <c r="AZ241" s="40">
        <f>IFERROR(VLOOKUP($F241,[2]원본!$D:$BX,AZ$1,FALSE),"")</f>
        <v>0</v>
      </c>
      <c r="BA241" s="40">
        <f>IFERROR(VLOOKUP($F241,[2]원본!$D:$BX,BA$1,FALSE),"")</f>
        <v>0</v>
      </c>
      <c r="BB241" s="40">
        <f>IFERROR(VLOOKUP($F241,[2]원본!$D:$BX,BB$1,FALSE),"")</f>
        <v>0</v>
      </c>
      <c r="BC241" s="40">
        <f>IFERROR(VLOOKUP($F241,[2]원본!$D:$BX,BC$1,FALSE),"")</f>
        <v>0</v>
      </c>
      <c r="BD241" s="40">
        <f>IFERROR(VLOOKUP($F241,[2]원본!$D:$BX,BD$1,FALSE),"")</f>
        <v>0</v>
      </c>
      <c r="BE241" s="40">
        <f>IFERROR(VLOOKUP($F241,[2]원본!$D:$BX,BE$1,FALSE),"")</f>
        <v>0</v>
      </c>
      <c r="BF241" s="40">
        <f>IFERROR(VLOOKUP($F241,[2]원본!$D:$BX,BF$1,FALSE),"")</f>
        <v>0</v>
      </c>
      <c r="BG241" s="40">
        <f>IFERROR(VLOOKUP($F241,[2]원본!$D:$BX,BG$1,FALSE),"")</f>
        <v>0</v>
      </c>
      <c r="BH241" s="40">
        <f>IFERROR(VLOOKUP($F241,[2]원본!$D:$BX,BH$1,FALSE),"")</f>
        <v>0</v>
      </c>
      <c r="BI241" s="40">
        <f>IFERROR(VLOOKUP($F241,[2]원본!$D:$BX,BI$1,FALSE),"")</f>
        <v>0</v>
      </c>
      <c r="BJ241" s="40">
        <f>IFERROR(VLOOKUP($F241,[2]원본!$D:$BX,BJ$1,FALSE),"")</f>
        <v>0</v>
      </c>
      <c r="BK241" s="40">
        <f>IFERROR(VLOOKUP($F241,[2]원본!$D:$BX,BK$1,FALSE),"")</f>
        <v>0</v>
      </c>
      <c r="BL241" s="40">
        <f>IFERROR(VLOOKUP($F241,[2]원본!$D:$BX,BL$1,FALSE),"")</f>
        <v>0</v>
      </c>
      <c r="BM241" s="40">
        <f>IFERROR(VLOOKUP($F241,[2]원본!$D:$BX,BM$1,FALSE),"")</f>
        <v>0</v>
      </c>
      <c r="BN241" s="40">
        <f>IFERROR(VLOOKUP($F241,[2]원본!$D:$BX,BN$1,FALSE),"")</f>
        <v>0</v>
      </c>
      <c r="BO241" s="40">
        <f>IFERROR(VLOOKUP($F241,[2]원본!$D:$BX,BO$1,FALSE),"")</f>
        <v>0</v>
      </c>
      <c r="BP241" s="40">
        <f>IFERROR(VLOOKUP($F241,[2]원본!$D:$BX,BP$1,FALSE),"")</f>
        <v>0</v>
      </c>
      <c r="BQ241" s="40">
        <f>IFERROR(VLOOKUP($F241,[2]원본!$D:$BX,BQ$1,FALSE),"")</f>
        <v>0</v>
      </c>
      <c r="BR241" s="40">
        <f>IFERROR(VLOOKUP($F241,[2]원본!$D:$BX,BR$1,FALSE),"")</f>
        <v>0</v>
      </c>
      <c r="BS241" s="40">
        <f>IFERROR(VLOOKUP($F241,[2]원본!$D:$BX,BS$1,FALSE),"")</f>
        <v>0</v>
      </c>
      <c r="BT241" s="40">
        <f>IFERROR(VLOOKUP($F241,[2]원본!$D:$BX,BT$1,FALSE),"")</f>
        <v>0</v>
      </c>
      <c r="BU241" s="40">
        <f>IFERROR(VLOOKUP($F241,[2]원본!$D:$BX,BU$1,FALSE),"")</f>
        <v>0</v>
      </c>
      <c r="BV241" s="40" t="str">
        <f>IFERROR(VLOOKUP($F241,#REF!,BV$1,FALSE),"")</f>
        <v/>
      </c>
      <c r="BW241" s="40"/>
      <c r="BX241" s="26">
        <f>(SUM(R241:BW241)*D239)-(SUM(R241:BW241)*E239)</f>
        <v>510702.54545454547</v>
      </c>
      <c r="BY241" s="91"/>
      <c r="BZ241" s="100" t="str">
        <f>IFERROR(VLOOKUP($F241,#REF!,BZ$1,FALSE),"")</f>
        <v/>
      </c>
    </row>
    <row r="242" spans="1:78" ht="20.100000000000001" customHeight="1" x14ac:dyDescent="0.3">
      <c r="A242" s="13">
        <v>236</v>
      </c>
      <c r="B242" s="4" t="s">
        <v>407</v>
      </c>
      <c r="C242" s="67" t="s">
        <v>160</v>
      </c>
      <c r="D242" s="82" t="s">
        <v>184</v>
      </c>
      <c r="E242" s="20"/>
      <c r="F242" s="2">
        <v>94064828659</v>
      </c>
      <c r="G242" s="3" t="s">
        <v>156</v>
      </c>
      <c r="H242" s="3"/>
      <c r="J242" s="4" t="s">
        <v>406</v>
      </c>
      <c r="K242" s="62">
        <v>134500</v>
      </c>
      <c r="L242" s="1">
        <v>1</v>
      </c>
      <c r="M242" s="1">
        <v>228</v>
      </c>
      <c r="Q242" s="42" t="s">
        <v>0</v>
      </c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22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22"/>
      <c r="AP242" s="22"/>
      <c r="AQ242" s="7"/>
      <c r="AR242" s="7"/>
      <c r="AS242" s="7"/>
      <c r="AT242" s="7"/>
      <c r="AU242" s="7"/>
      <c r="AV242" s="22"/>
      <c r="AW242" s="22"/>
      <c r="AX242" s="7"/>
      <c r="AY242" s="7"/>
      <c r="AZ242" s="7"/>
      <c r="BA242" s="7"/>
      <c r="BB242" s="7"/>
      <c r="BC242" s="22"/>
      <c r="BD242" s="22"/>
      <c r="BE242" s="22"/>
      <c r="BF242" s="22"/>
      <c r="BG242" s="22"/>
      <c r="BH242" s="22"/>
      <c r="BI242" s="7">
        <v>35</v>
      </c>
      <c r="BJ242" s="7"/>
      <c r="BK242" s="7"/>
      <c r="BL242" s="7">
        <v>20</v>
      </c>
      <c r="BM242" s="7"/>
      <c r="BN242" s="7">
        <v>15</v>
      </c>
      <c r="BO242" s="7">
        <v>14</v>
      </c>
      <c r="BP242" s="7"/>
      <c r="BQ242" s="7"/>
      <c r="BR242" s="7"/>
      <c r="BS242" s="7">
        <v>14</v>
      </c>
      <c r="BT242" s="7">
        <v>14</v>
      </c>
      <c r="BU242" s="7">
        <v>14</v>
      </c>
      <c r="BV242" s="7"/>
      <c r="BW242" s="7"/>
    </row>
    <row r="243" spans="1:78" ht="20.100000000000001" customHeight="1" x14ac:dyDescent="0.3">
      <c r="A243" s="13">
        <v>237</v>
      </c>
      <c r="B243" s="4" t="s">
        <v>407</v>
      </c>
      <c r="C243" s="67" t="s">
        <v>160</v>
      </c>
      <c r="D243" s="82"/>
      <c r="E243" s="20"/>
      <c r="F243" s="2">
        <v>94064828659</v>
      </c>
      <c r="H243" s="3"/>
      <c r="J243" s="4" t="s">
        <v>405</v>
      </c>
      <c r="K243" s="62">
        <v>83500</v>
      </c>
      <c r="L243" s="1">
        <v>1</v>
      </c>
      <c r="M243" s="1">
        <v>229</v>
      </c>
      <c r="Q243" s="42" t="s">
        <v>0</v>
      </c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22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22"/>
      <c r="AP243" s="22"/>
      <c r="AQ243" s="7"/>
      <c r="AR243" s="7"/>
      <c r="AS243" s="7"/>
      <c r="AT243" s="7"/>
      <c r="AU243" s="7"/>
      <c r="AV243" s="22"/>
      <c r="AW243" s="22"/>
      <c r="AX243" s="7"/>
      <c r="AY243" s="7"/>
      <c r="AZ243" s="7"/>
      <c r="BA243" s="7"/>
      <c r="BB243" s="7"/>
      <c r="BC243" s="22"/>
      <c r="BD243" s="22"/>
      <c r="BE243" s="22"/>
      <c r="BF243" s="22"/>
      <c r="BG243" s="22"/>
      <c r="BH243" s="22"/>
      <c r="BI243" s="7">
        <v>16</v>
      </c>
      <c r="BJ243" s="7"/>
      <c r="BK243" s="7"/>
      <c r="BL243" s="7">
        <v>13</v>
      </c>
      <c r="BM243" s="7"/>
      <c r="BN243" s="7">
        <v>12</v>
      </c>
      <c r="BO243" s="7">
        <v>10</v>
      </c>
      <c r="BP243" s="7"/>
      <c r="BQ243" s="7"/>
      <c r="BR243" s="7"/>
      <c r="BS243" s="7">
        <v>10</v>
      </c>
      <c r="BT243" s="7">
        <v>10</v>
      </c>
      <c r="BU243" s="7">
        <v>10</v>
      </c>
      <c r="BV243" s="7"/>
      <c r="BW243" s="7"/>
    </row>
    <row r="244" spans="1:78" ht="20.100000000000001" customHeight="1" x14ac:dyDescent="0.3">
      <c r="A244" s="13">
        <v>238</v>
      </c>
      <c r="B244" s="91" t="s">
        <v>407</v>
      </c>
      <c r="C244" s="92" t="s">
        <v>160</v>
      </c>
      <c r="D244" s="95"/>
      <c r="E244" s="94"/>
      <c r="F244" s="96">
        <v>94064828659</v>
      </c>
      <c r="G244" s="97"/>
      <c r="H244" s="97"/>
      <c r="I244" s="97"/>
      <c r="J244" s="91" t="s">
        <v>13</v>
      </c>
      <c r="K244" s="62">
        <v>141700</v>
      </c>
      <c r="L244" s="98"/>
      <c r="M244" s="98">
        <v>230</v>
      </c>
      <c r="N244" s="98"/>
      <c r="O244" s="98"/>
      <c r="P244" s="98"/>
      <c r="Q244" s="7" t="s">
        <v>185</v>
      </c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 t="s">
        <v>36</v>
      </c>
      <c r="AL244" s="7"/>
      <c r="AM244" s="7"/>
      <c r="AN244" s="7"/>
      <c r="AO244" s="7"/>
      <c r="AP244" s="7"/>
      <c r="AQ244" s="7"/>
      <c r="AR244" s="7"/>
      <c r="AS244" s="7"/>
      <c r="AT244" s="7">
        <v>19</v>
      </c>
      <c r="AU244" s="7">
        <v>15</v>
      </c>
      <c r="AV244" s="7"/>
      <c r="AW244" s="7"/>
      <c r="AX244" s="7">
        <v>19</v>
      </c>
      <c r="AY244" s="7"/>
      <c r="AZ244" s="7">
        <v>19</v>
      </c>
      <c r="BA244" s="7">
        <v>55</v>
      </c>
      <c r="BB244" s="7">
        <v>45</v>
      </c>
      <c r="BC244" s="7"/>
      <c r="BD244" s="7"/>
      <c r="BE244" s="7">
        <v>19</v>
      </c>
      <c r="BF244" s="7">
        <v>20</v>
      </c>
      <c r="BG244" s="7">
        <v>22</v>
      </c>
      <c r="BH244" s="7">
        <v>55</v>
      </c>
      <c r="BI244" s="86"/>
      <c r="BJ244" s="86"/>
      <c r="BK244" s="86"/>
      <c r="BL244" s="86"/>
      <c r="BM244" s="86"/>
      <c r="BN244" s="86"/>
      <c r="BO244" s="86"/>
      <c r="BP244" s="86"/>
      <c r="BQ244" s="86"/>
      <c r="BR244" s="86"/>
      <c r="BS244" s="86"/>
      <c r="BT244" s="86"/>
      <c r="BU244" s="86"/>
      <c r="BV244" s="86"/>
      <c r="BW244" s="86"/>
      <c r="BY244" s="91"/>
      <c r="BZ244" s="98"/>
    </row>
    <row r="245" spans="1:78" ht="20.100000000000001" customHeight="1" x14ac:dyDescent="0.3">
      <c r="A245" s="13">
        <v>239</v>
      </c>
      <c r="B245" s="4" t="s">
        <v>351</v>
      </c>
      <c r="C245" s="67" t="s">
        <v>160</v>
      </c>
      <c r="D245" s="20"/>
      <c r="E245" s="20"/>
      <c r="F245" s="2">
        <v>94064828659</v>
      </c>
      <c r="H245" s="3"/>
      <c r="J245" s="4" t="s">
        <v>86</v>
      </c>
      <c r="K245" s="62">
        <v>90000</v>
      </c>
      <c r="M245" s="1">
        <v>231</v>
      </c>
      <c r="Q245" s="7" t="s">
        <v>185</v>
      </c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>
        <v>14</v>
      </c>
      <c r="AL245" s="7"/>
      <c r="AM245" s="7"/>
      <c r="AN245" s="7"/>
      <c r="AO245" s="7"/>
      <c r="AP245" s="7"/>
      <c r="AQ245" s="7"/>
      <c r="AR245" s="7"/>
      <c r="AS245" s="7"/>
      <c r="AT245" s="7">
        <v>4</v>
      </c>
      <c r="AU245" s="7">
        <v>4</v>
      </c>
      <c r="AV245" s="7"/>
      <c r="AW245" s="7"/>
      <c r="AX245" s="7">
        <v>8</v>
      </c>
      <c r="AY245" s="7"/>
      <c r="AZ245" s="7">
        <v>5</v>
      </c>
      <c r="BA245" s="7">
        <v>111</v>
      </c>
      <c r="BB245" s="7">
        <v>9</v>
      </c>
      <c r="BC245" s="7"/>
      <c r="BD245" s="7"/>
      <c r="BE245" s="7">
        <v>9</v>
      </c>
      <c r="BF245" s="7">
        <v>9</v>
      </c>
      <c r="BG245" s="7">
        <v>9</v>
      </c>
      <c r="BH245" s="7">
        <v>111</v>
      </c>
      <c r="BI245" s="86"/>
      <c r="BJ245" s="86"/>
      <c r="BK245" s="86"/>
      <c r="BL245" s="86"/>
      <c r="BM245" s="86"/>
      <c r="BN245" s="86"/>
      <c r="BO245" s="86"/>
      <c r="BP245" s="86"/>
      <c r="BQ245" s="86"/>
      <c r="BR245" s="86"/>
      <c r="BS245" s="86"/>
      <c r="BT245" s="86"/>
      <c r="BU245" s="86"/>
      <c r="BV245" s="86"/>
      <c r="BW245" s="86"/>
    </row>
    <row r="246" spans="1:78" ht="20.100000000000001" customHeight="1" thickBot="1" x14ac:dyDescent="0.35">
      <c r="A246" s="13">
        <v>240</v>
      </c>
      <c r="B246" s="4" t="s">
        <v>351</v>
      </c>
      <c r="C246" s="67" t="s">
        <v>160</v>
      </c>
      <c r="F246" s="2">
        <v>94064828659</v>
      </c>
      <c r="H246" s="3"/>
      <c r="J246" s="4" t="s">
        <v>120</v>
      </c>
      <c r="M246" s="1">
        <v>232</v>
      </c>
      <c r="Q246" s="7" t="s">
        <v>185</v>
      </c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>
        <v>1</v>
      </c>
      <c r="AL246" s="7"/>
      <c r="AM246" s="7"/>
      <c r="AN246" s="7"/>
      <c r="AO246" s="7"/>
      <c r="AP246" s="7"/>
      <c r="AQ246" s="7"/>
      <c r="AR246" s="7"/>
      <c r="AS246" s="7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  <c r="BN246" s="22"/>
      <c r="BO246" s="22"/>
      <c r="BP246" s="22"/>
      <c r="BQ246" s="22"/>
      <c r="BR246" s="22"/>
      <c r="BS246" s="22"/>
      <c r="BT246" s="22"/>
      <c r="BU246" s="22"/>
      <c r="BV246" s="22"/>
      <c r="BW246" s="22"/>
    </row>
    <row r="247" spans="1:78" s="8" customFormat="1" ht="20.100000000000001" customHeight="1" x14ac:dyDescent="0.3">
      <c r="A247" s="13">
        <v>241</v>
      </c>
      <c r="B247" s="9" t="s">
        <v>352</v>
      </c>
      <c r="C247" s="66" t="s">
        <v>160</v>
      </c>
      <c r="D247" s="46">
        <f>VLOOKUP(F249,[1]SKU리스트!$H:$L,5,FALSE)</f>
        <v>16900</v>
      </c>
      <c r="E247" s="47">
        <f>VLOOKUP(F249,[1]SKU리스트!$H:$AK,30,FALSE)</f>
        <v>7944.3636363636342</v>
      </c>
      <c r="F247" s="10" t="s">
        <v>203</v>
      </c>
      <c r="G247" s="11"/>
      <c r="H247" s="11"/>
      <c r="I247" s="11"/>
      <c r="J247" s="9"/>
      <c r="K247" s="12"/>
      <c r="M247" s="8">
        <v>233</v>
      </c>
      <c r="Q247" s="44" t="s">
        <v>125</v>
      </c>
      <c r="R247" s="54">
        <v>0</v>
      </c>
      <c r="S247" s="54">
        <v>0</v>
      </c>
      <c r="T247" s="54">
        <v>0</v>
      </c>
      <c r="U247" s="54">
        <v>0</v>
      </c>
      <c r="V247" s="54">
        <v>2</v>
      </c>
      <c r="W247" s="54">
        <v>0</v>
      </c>
      <c r="X247" s="54">
        <v>0</v>
      </c>
      <c r="Y247" s="54">
        <v>0</v>
      </c>
      <c r="Z247" s="54">
        <v>0</v>
      </c>
      <c r="AA247" s="54">
        <v>0</v>
      </c>
      <c r="AB247" s="54">
        <v>0</v>
      </c>
      <c r="AC247" s="54">
        <v>0</v>
      </c>
      <c r="AD247" s="54">
        <v>0</v>
      </c>
      <c r="AE247" s="54">
        <v>0</v>
      </c>
      <c r="AF247" s="54">
        <v>0</v>
      </c>
      <c r="AG247" s="54">
        <v>0</v>
      </c>
      <c r="AH247" s="54">
        <v>0</v>
      </c>
      <c r="AI247" s="54">
        <v>0</v>
      </c>
      <c r="AJ247" s="54">
        <v>0</v>
      </c>
      <c r="AK247" s="54">
        <v>0</v>
      </c>
      <c r="AL247" s="54">
        <v>0</v>
      </c>
      <c r="AM247" s="54">
        <v>0</v>
      </c>
      <c r="AN247" s="54">
        <v>0</v>
      </c>
      <c r="AO247" s="54">
        <v>0</v>
      </c>
      <c r="AP247" s="54">
        <v>0</v>
      </c>
      <c r="AQ247" s="54">
        <v>1</v>
      </c>
      <c r="AR247" s="54">
        <v>3</v>
      </c>
      <c r="AS247" s="54">
        <v>1</v>
      </c>
      <c r="AT247" s="54">
        <v>0</v>
      </c>
      <c r="AU247" s="54">
        <v>1</v>
      </c>
      <c r="AV247" s="54">
        <v>0</v>
      </c>
      <c r="AW247" s="54">
        <v>0</v>
      </c>
      <c r="AX247" s="54">
        <v>0</v>
      </c>
      <c r="AY247" s="54">
        <v>0</v>
      </c>
      <c r="AZ247" s="54">
        <v>2</v>
      </c>
      <c r="BA247" s="54">
        <v>0</v>
      </c>
      <c r="BB247" s="54">
        <v>5</v>
      </c>
      <c r="BC247" s="54">
        <v>0</v>
      </c>
      <c r="BD247" s="54">
        <v>3</v>
      </c>
      <c r="BE247" s="54">
        <v>2</v>
      </c>
      <c r="BF247" s="54">
        <v>7</v>
      </c>
      <c r="BG247" s="54">
        <v>4</v>
      </c>
      <c r="BH247" s="54">
        <v>3</v>
      </c>
      <c r="BI247" s="54">
        <v>4</v>
      </c>
      <c r="BJ247" s="54">
        <v>4</v>
      </c>
      <c r="BK247" s="54">
        <v>1</v>
      </c>
      <c r="BL247" s="54">
        <v>5</v>
      </c>
      <c r="BM247" s="54">
        <v>3</v>
      </c>
      <c r="BN247" s="54">
        <v>2</v>
      </c>
      <c r="BO247" s="54">
        <v>2</v>
      </c>
      <c r="BP247" s="54">
        <v>4</v>
      </c>
      <c r="BQ247" s="54">
        <v>3</v>
      </c>
      <c r="BR247" s="54">
        <v>7</v>
      </c>
      <c r="BS247" s="54">
        <v>2</v>
      </c>
      <c r="BT247" s="54">
        <v>2</v>
      </c>
      <c r="BU247" s="54"/>
      <c r="BV247" s="54"/>
      <c r="BW247" s="54"/>
      <c r="BX247" s="85" t="str">
        <f>VLOOKUP(F247,[1]SKU리스트!$H:$AH,27,FALSE)</f>
        <v>광고X</v>
      </c>
      <c r="BY247" s="9"/>
    </row>
    <row r="248" spans="1:78" ht="20.100000000000001" customHeight="1" x14ac:dyDescent="0.3">
      <c r="A248" s="13">
        <v>242</v>
      </c>
      <c r="B248" s="91" t="s">
        <v>352</v>
      </c>
      <c r="C248" s="92" t="s">
        <v>160</v>
      </c>
      <c r="D248" s="98"/>
      <c r="E248" s="98"/>
      <c r="F248" s="96" t="s">
        <v>308</v>
      </c>
      <c r="G248" s="97"/>
      <c r="H248" s="97"/>
      <c r="I248" s="97"/>
      <c r="J248" s="91"/>
      <c r="L248" s="98"/>
      <c r="M248" s="98">
        <v>234</v>
      </c>
      <c r="N248" s="98"/>
      <c r="O248" s="98"/>
      <c r="P248" s="98"/>
      <c r="Q248" s="39" t="s">
        <v>282</v>
      </c>
      <c r="R248" s="5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50"/>
      <c r="AL248" s="50"/>
      <c r="AM248" s="50"/>
      <c r="AN248" s="50"/>
      <c r="AO248" s="53">
        <f>SUM(AI247:AO247)</f>
        <v>0</v>
      </c>
      <c r="AP248" s="51" t="s">
        <v>221</v>
      </c>
      <c r="AQ248" s="50"/>
      <c r="AR248" s="50"/>
      <c r="AS248" s="50"/>
      <c r="AT248" s="50"/>
      <c r="AU248" s="50"/>
      <c r="AV248" s="53">
        <f>SUM(AP247:AV247)</f>
        <v>6</v>
      </c>
      <c r="AW248" s="50" t="s">
        <v>221</v>
      </c>
      <c r="AX248" s="50"/>
      <c r="AY248" s="50"/>
      <c r="AZ248" s="50"/>
      <c r="BA248" s="50"/>
      <c r="BB248" s="50"/>
      <c r="BC248" s="53">
        <f>SUM(AW247:BC247)</f>
        <v>7</v>
      </c>
      <c r="BD248" s="50" t="s">
        <v>221</v>
      </c>
      <c r="BE248" s="50"/>
      <c r="BF248" s="50"/>
      <c r="BG248" s="50"/>
      <c r="BH248" s="50"/>
      <c r="BI248" s="50"/>
      <c r="BJ248" s="53">
        <f>SUM(BD247:BJ247)</f>
        <v>27</v>
      </c>
      <c r="BK248" s="50" t="s">
        <v>221</v>
      </c>
      <c r="BL248" s="50"/>
      <c r="BM248" s="50"/>
      <c r="BN248" s="50"/>
      <c r="BO248" s="50"/>
      <c r="BP248" s="50"/>
      <c r="BQ248" s="53">
        <f>SUM(BK247:BQ247)</f>
        <v>20</v>
      </c>
      <c r="BR248" s="50" t="s">
        <v>221</v>
      </c>
      <c r="BS248" s="50"/>
      <c r="BT248" s="50"/>
      <c r="BU248" s="50"/>
      <c r="BV248" s="50"/>
      <c r="BW248" s="50"/>
      <c r="BY248" s="91"/>
      <c r="BZ248" s="98"/>
    </row>
    <row r="249" spans="1:78" ht="20.100000000000001" customHeight="1" x14ac:dyDescent="0.3">
      <c r="A249" s="13">
        <v>243</v>
      </c>
      <c r="B249" s="91" t="s">
        <v>352</v>
      </c>
      <c r="C249" s="92" t="s">
        <v>160</v>
      </c>
      <c r="D249" s="91"/>
      <c r="E249" s="91"/>
      <c r="F249" s="96">
        <v>92573412233</v>
      </c>
      <c r="G249" s="97"/>
      <c r="H249" s="97"/>
      <c r="I249" s="97"/>
      <c r="J249" s="91"/>
      <c r="L249" s="98"/>
      <c r="M249" s="98">
        <v>235</v>
      </c>
      <c r="N249" s="98"/>
      <c r="O249" s="98"/>
      <c r="P249" s="98"/>
      <c r="Q249" s="41" t="s">
        <v>1</v>
      </c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 t="str">
        <f>IFERROR(VLOOKUP($F249,[2]원본!$D:$BX,AI$1,FALSE),"")</f>
        <v/>
      </c>
      <c r="AJ249" s="40" t="str">
        <f>IFERROR(VLOOKUP($F249,[2]원본!$D:$BX,AJ$1,FALSE),"")</f>
        <v/>
      </c>
      <c r="AK249" s="40" t="str">
        <f>IFERROR(VLOOKUP($F249,[2]원본!$D:$BX,AK$1,FALSE),"")</f>
        <v/>
      </c>
      <c r="AL249" s="40" t="str">
        <f>IFERROR(VLOOKUP($F249,[2]원본!$D:$BX,AL$1,FALSE),"")</f>
        <v/>
      </c>
      <c r="AM249" s="40" t="str">
        <f>IFERROR(VLOOKUP($F249,[2]원본!$D:$BX,AM$1,FALSE),"")</f>
        <v/>
      </c>
      <c r="AN249" s="40" t="str">
        <f>IFERROR(VLOOKUP($F249,[2]원본!$D:$BX,AN$1,FALSE),"")</f>
        <v/>
      </c>
      <c r="AO249" s="40" t="str">
        <f>IFERROR(VLOOKUP($F249,[2]원본!$D:$BX,AO$1,FALSE),"")</f>
        <v/>
      </c>
      <c r="AP249" s="40" t="str">
        <f>IFERROR(VLOOKUP($F249,[2]원본!$D:$BX,AP$1,FALSE),"")</f>
        <v/>
      </c>
      <c r="AQ249" s="40" t="str">
        <f>IFERROR(VLOOKUP($F249,[2]원본!$D:$BX,AQ$1,FALSE),"")</f>
        <v/>
      </c>
      <c r="AR249" s="40" t="str">
        <f>IFERROR(VLOOKUP($F249,[2]원본!$D:$BX,AR$1,FALSE),"")</f>
        <v/>
      </c>
      <c r="AS249" s="40" t="str">
        <f>IFERROR(VLOOKUP($F249,[2]원본!$D:$BX,AS$1,FALSE),"")</f>
        <v/>
      </c>
      <c r="AT249" s="40" t="str">
        <f>IFERROR(VLOOKUP($F249,[2]원본!$D:$BX,AT$1,FALSE),"")</f>
        <v/>
      </c>
      <c r="AU249" s="40" t="str">
        <f>IFERROR(VLOOKUP($F249,[2]원본!$D:$BX,AU$1,FALSE),"")</f>
        <v/>
      </c>
      <c r="AV249" s="40" t="str">
        <f>IFERROR(VLOOKUP($F249,[2]원본!$D:$BX,AV$1,FALSE),"")</f>
        <v/>
      </c>
      <c r="AW249" s="40" t="str">
        <f>IFERROR(VLOOKUP($F249,[2]원본!$D:$BX,AW$1,FALSE),"")</f>
        <v/>
      </c>
      <c r="AX249" s="40" t="str">
        <f>IFERROR(VLOOKUP($F249,[2]원본!$D:$BX,AX$1,FALSE),"")</f>
        <v/>
      </c>
      <c r="AY249" s="40" t="str">
        <f>IFERROR(VLOOKUP($F249,[2]원본!$D:$BX,AY$1,FALSE),"")</f>
        <v/>
      </c>
      <c r="AZ249" s="40" t="str">
        <f>IFERROR(VLOOKUP($F249,[2]원본!$D:$BX,AZ$1,FALSE),"")</f>
        <v/>
      </c>
      <c r="BA249" s="40" t="str">
        <f>IFERROR(VLOOKUP($F249,[2]원본!$D:$BX,BA$1,FALSE),"")</f>
        <v/>
      </c>
      <c r="BB249" s="40" t="str">
        <f>IFERROR(VLOOKUP($F249,[2]원본!$D:$BX,BB$1,FALSE),"")</f>
        <v/>
      </c>
      <c r="BC249" s="40" t="str">
        <f>IFERROR(VLOOKUP($F249,[2]원본!$D:$BX,BC$1,FALSE),"")</f>
        <v/>
      </c>
      <c r="BD249" s="40" t="str">
        <f>IFERROR(VLOOKUP($F249,[2]원본!$D:$BX,BD$1,FALSE),"")</f>
        <v/>
      </c>
      <c r="BE249" s="40" t="str">
        <f>IFERROR(VLOOKUP($F249,[2]원본!$D:$BX,BE$1,FALSE),"")</f>
        <v/>
      </c>
      <c r="BF249" s="40" t="str">
        <f>IFERROR(VLOOKUP($F249,[2]원본!$D:$BX,BF$1,FALSE),"")</f>
        <v/>
      </c>
      <c r="BG249" s="40" t="str">
        <f>IFERROR(VLOOKUP($F249,[2]원본!$D:$BX,BG$1,FALSE),"")</f>
        <v/>
      </c>
      <c r="BH249" s="40" t="str">
        <f>IFERROR(VLOOKUP($F249,[2]원본!$D:$BX,BH$1,FALSE),"")</f>
        <v/>
      </c>
      <c r="BI249" s="40" t="str">
        <f>IFERROR(VLOOKUP($F249,[2]원본!$D:$BX,BI$1,FALSE),"")</f>
        <v/>
      </c>
      <c r="BJ249" s="40" t="str">
        <f>IFERROR(VLOOKUP($F249,[2]원본!$D:$BX,BJ$1,FALSE),"")</f>
        <v/>
      </c>
      <c r="BK249" s="40" t="str">
        <f>IFERROR(VLOOKUP($F249,[2]원본!$D:$BX,BK$1,FALSE),"")</f>
        <v/>
      </c>
      <c r="BL249" s="40" t="str">
        <f>IFERROR(VLOOKUP($F249,[2]원본!$D:$BX,BL$1,FALSE),"")</f>
        <v/>
      </c>
      <c r="BM249" s="40" t="str">
        <f>IFERROR(VLOOKUP($F249,[2]원본!$D:$BX,BM$1,FALSE),"")</f>
        <v/>
      </c>
      <c r="BN249" s="40" t="str">
        <f>IFERROR(VLOOKUP($F249,[2]원본!$D:$BX,BN$1,FALSE),"")</f>
        <v/>
      </c>
      <c r="BO249" s="40" t="str">
        <f>IFERROR(VLOOKUP($F249,[2]원본!$D:$BX,BO$1,FALSE),"")</f>
        <v/>
      </c>
      <c r="BP249" s="40" t="str">
        <f>IFERROR(VLOOKUP($F249,[2]원본!$D:$BX,BP$1,FALSE),"")</f>
        <v/>
      </c>
      <c r="BQ249" s="40" t="str">
        <f>IFERROR(VLOOKUP($F249,[2]원본!$D:$BX,BQ$1,FALSE),"")</f>
        <v/>
      </c>
      <c r="BR249" s="40" t="str">
        <f>IFERROR(VLOOKUP($F249,[2]원본!$D:$BX,BR$1,FALSE),"")</f>
        <v/>
      </c>
      <c r="BS249" s="40" t="str">
        <f>IFERROR(VLOOKUP($F249,[2]원본!$D:$BX,BS$1,FALSE),"")</f>
        <v/>
      </c>
      <c r="BT249" s="40" t="str">
        <f>IFERROR(VLOOKUP($F249,[2]원본!$D:$BX,BT$1,FALSE),"")</f>
        <v/>
      </c>
      <c r="BU249" s="40" t="str">
        <f>IFERROR(VLOOKUP($F249,[2]원본!$D:$BX,BU$1,FALSE),"")</f>
        <v/>
      </c>
      <c r="BV249" s="40" t="str">
        <f>IFERROR(VLOOKUP($F249,#REF!,BV$1,FALSE),"")</f>
        <v/>
      </c>
      <c r="BW249" s="40"/>
      <c r="BX249" s="26">
        <f>(SUM(R249:BW249)*D247)-(SUM(R249:BW249)*E247)</f>
        <v>0</v>
      </c>
      <c r="BY249" s="91"/>
      <c r="BZ249" s="100" t="str">
        <f>IFERROR(VLOOKUP($F249,#REF!,BZ$1,FALSE),"")</f>
        <v/>
      </c>
    </row>
    <row r="250" spans="1:78" ht="20.100000000000001" customHeight="1" x14ac:dyDescent="0.3">
      <c r="A250" s="13">
        <v>244</v>
      </c>
      <c r="B250" s="4" t="s">
        <v>352</v>
      </c>
      <c r="C250" s="67" t="s">
        <v>160</v>
      </c>
      <c r="D250" s="82" t="s">
        <v>172</v>
      </c>
      <c r="F250" s="2">
        <v>92573412233</v>
      </c>
      <c r="G250" s="3" t="s">
        <v>159</v>
      </c>
      <c r="H250" s="3"/>
      <c r="J250" s="4" t="s">
        <v>86</v>
      </c>
      <c r="K250" s="62">
        <v>90000</v>
      </c>
      <c r="M250" s="1">
        <v>236</v>
      </c>
      <c r="Q250" s="7" t="s">
        <v>185</v>
      </c>
      <c r="R250" s="7">
        <v>56</v>
      </c>
      <c r="S250" s="7">
        <v>56</v>
      </c>
      <c r="T250" s="7">
        <v>6</v>
      </c>
      <c r="U250" s="7"/>
      <c r="V250" s="7">
        <v>6</v>
      </c>
      <c r="W250" s="7">
        <v>17</v>
      </c>
      <c r="X250" s="7">
        <v>1</v>
      </c>
      <c r="Y250" s="7">
        <v>1</v>
      </c>
      <c r="Z250" s="7">
        <v>1</v>
      </c>
      <c r="AA250" s="7">
        <v>2</v>
      </c>
      <c r="AB250" s="7"/>
      <c r="AC250" s="7">
        <v>2</v>
      </c>
      <c r="AD250" s="7">
        <v>1</v>
      </c>
      <c r="AE250" s="7">
        <v>12</v>
      </c>
      <c r="AF250" s="7"/>
      <c r="AG250" s="7">
        <v>3</v>
      </c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  <c r="BN250" s="22"/>
      <c r="BO250" s="22"/>
      <c r="BP250" s="22"/>
      <c r="BQ250" s="22"/>
      <c r="BR250" s="22"/>
      <c r="BS250" s="22"/>
      <c r="BT250" s="22"/>
      <c r="BU250" s="22"/>
      <c r="BV250" s="22"/>
      <c r="BW250" s="22"/>
      <c r="BZ250" s="1" t="s">
        <v>88</v>
      </c>
    </row>
    <row r="251" spans="1:78" s="14" customFormat="1" ht="20.100000000000001" customHeight="1" thickBot="1" x14ac:dyDescent="0.35">
      <c r="A251" s="13">
        <v>245</v>
      </c>
      <c r="B251" s="15" t="s">
        <v>352</v>
      </c>
      <c r="C251" s="68" t="s">
        <v>160</v>
      </c>
      <c r="D251" s="21"/>
      <c r="E251" s="21"/>
      <c r="F251" s="16">
        <v>92573412233</v>
      </c>
      <c r="G251" s="17"/>
      <c r="H251" s="17"/>
      <c r="I251" s="17"/>
      <c r="J251" s="15" t="s">
        <v>87</v>
      </c>
      <c r="K251" s="63">
        <v>4979</v>
      </c>
      <c r="M251" s="14">
        <v>237</v>
      </c>
      <c r="Q251" s="19" t="s">
        <v>185</v>
      </c>
      <c r="R251" s="19" t="s">
        <v>36</v>
      </c>
      <c r="S251" s="19"/>
      <c r="T251" s="19"/>
      <c r="U251" s="19"/>
      <c r="V251" s="19"/>
      <c r="W251" s="19"/>
      <c r="X251" s="19"/>
      <c r="Y251" s="19" t="s">
        <v>54</v>
      </c>
      <c r="Z251" s="19" t="s">
        <v>36</v>
      </c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23"/>
      <c r="AU251" s="23"/>
      <c r="AV251" s="23"/>
      <c r="AW251" s="23"/>
      <c r="AX251" s="23"/>
      <c r="AY251" s="23"/>
      <c r="AZ251" s="23"/>
      <c r="BA251" s="23"/>
      <c r="BB251" s="23"/>
      <c r="BC251" s="23"/>
      <c r="BD251" s="23"/>
      <c r="BE251" s="23"/>
      <c r="BF251" s="23"/>
      <c r="BG251" s="23"/>
      <c r="BH251" s="23"/>
      <c r="BI251" s="23"/>
      <c r="BJ251" s="23"/>
      <c r="BK251" s="23"/>
      <c r="BL251" s="23"/>
      <c r="BM251" s="23"/>
      <c r="BN251" s="23"/>
      <c r="BO251" s="23"/>
      <c r="BP251" s="23"/>
      <c r="BQ251" s="23"/>
      <c r="BR251" s="23"/>
      <c r="BS251" s="23"/>
      <c r="BT251" s="23"/>
      <c r="BU251" s="23"/>
      <c r="BV251" s="23"/>
      <c r="BW251" s="23"/>
      <c r="BX251" s="18"/>
      <c r="BY251" s="15"/>
    </row>
    <row r="252" spans="1:78" s="8" customFormat="1" ht="20.100000000000001" customHeight="1" x14ac:dyDescent="0.3">
      <c r="A252" s="13">
        <v>246</v>
      </c>
      <c r="B252" s="9" t="s">
        <v>353</v>
      </c>
      <c r="C252" s="66" t="s">
        <v>160</v>
      </c>
      <c r="D252" s="46">
        <f>VLOOKUP(F254,[1]SKU리스트!$H:$L,5,FALSE)</f>
        <v>9900</v>
      </c>
      <c r="E252" s="47">
        <f>VLOOKUP(F254,[1]SKU리스트!$H:$AK,30,FALSE)</f>
        <v>4632.5454545454531</v>
      </c>
      <c r="F252" s="10" t="s">
        <v>194</v>
      </c>
      <c r="G252" s="11"/>
      <c r="H252" s="11"/>
      <c r="I252" s="11"/>
      <c r="J252" s="9"/>
      <c r="K252" s="12"/>
      <c r="M252" s="8">
        <v>238</v>
      </c>
      <c r="Q252" s="44" t="s">
        <v>125</v>
      </c>
      <c r="R252" s="54">
        <v>0</v>
      </c>
      <c r="S252" s="54">
        <v>0</v>
      </c>
      <c r="T252" s="54">
        <v>2</v>
      </c>
      <c r="U252" s="54">
        <v>3</v>
      </c>
      <c r="V252" s="54">
        <v>2</v>
      </c>
      <c r="W252" s="54">
        <v>2</v>
      </c>
      <c r="X252" s="54">
        <v>2</v>
      </c>
      <c r="Y252" s="54">
        <v>0</v>
      </c>
      <c r="Z252" s="54">
        <v>2</v>
      </c>
      <c r="AA252" s="54">
        <v>1</v>
      </c>
      <c r="AB252" s="54">
        <v>2</v>
      </c>
      <c r="AC252" s="54">
        <v>0</v>
      </c>
      <c r="AD252" s="54">
        <v>0</v>
      </c>
      <c r="AE252" s="54">
        <v>0</v>
      </c>
      <c r="AF252" s="54">
        <v>0</v>
      </c>
      <c r="AG252" s="54">
        <v>0</v>
      </c>
      <c r="AH252" s="54">
        <v>0</v>
      </c>
      <c r="AI252" s="54">
        <v>0</v>
      </c>
      <c r="AJ252" s="54">
        <v>0</v>
      </c>
      <c r="AK252" s="54">
        <v>0</v>
      </c>
      <c r="AL252" s="54">
        <v>0</v>
      </c>
      <c r="AM252" s="54">
        <v>0</v>
      </c>
      <c r="AN252" s="54">
        <v>0</v>
      </c>
      <c r="AO252" s="54">
        <v>0</v>
      </c>
      <c r="AP252" s="54">
        <v>0</v>
      </c>
      <c r="AQ252" s="54">
        <v>2</v>
      </c>
      <c r="AR252" s="54">
        <v>0</v>
      </c>
      <c r="AS252" s="54">
        <v>1</v>
      </c>
      <c r="AT252" s="54">
        <v>1</v>
      </c>
      <c r="AU252" s="54">
        <v>1</v>
      </c>
      <c r="AV252" s="54">
        <v>0</v>
      </c>
      <c r="AW252" s="54">
        <v>0</v>
      </c>
      <c r="AX252" s="54">
        <v>2</v>
      </c>
      <c r="AY252" s="54">
        <v>0</v>
      </c>
      <c r="AZ252" s="54">
        <v>3</v>
      </c>
      <c r="BA252" s="54">
        <v>0</v>
      </c>
      <c r="BB252" s="54">
        <v>1</v>
      </c>
      <c r="BC252" s="54">
        <v>0</v>
      </c>
      <c r="BD252" s="54">
        <v>0</v>
      </c>
      <c r="BE252" s="54">
        <v>0</v>
      </c>
      <c r="BF252" s="54">
        <v>1</v>
      </c>
      <c r="BG252" s="54">
        <v>0</v>
      </c>
      <c r="BH252" s="54">
        <v>2</v>
      </c>
      <c r="BI252" s="54">
        <v>0</v>
      </c>
      <c r="BJ252" s="54">
        <v>0</v>
      </c>
      <c r="BK252" s="54">
        <v>0</v>
      </c>
      <c r="BL252" s="54">
        <v>0</v>
      </c>
      <c r="BM252" s="54">
        <v>0</v>
      </c>
      <c r="BN252" s="54">
        <v>1</v>
      </c>
      <c r="BO252" s="54">
        <v>2</v>
      </c>
      <c r="BP252" s="54">
        <v>0</v>
      </c>
      <c r="BQ252" s="54">
        <v>1</v>
      </c>
      <c r="BR252" s="54">
        <v>0</v>
      </c>
      <c r="BS252" s="54">
        <v>0</v>
      </c>
      <c r="BT252" s="54">
        <v>2</v>
      </c>
      <c r="BU252" s="54"/>
      <c r="BV252" s="54"/>
      <c r="BW252" s="54"/>
      <c r="BX252" s="85">
        <f>VLOOKUP(F252,[1]SKU리스트!$H:$AH,27,FALSE)</f>
        <v>12205</v>
      </c>
      <c r="BY252" s="9"/>
    </row>
    <row r="253" spans="1:78" ht="20.100000000000001" customHeight="1" x14ac:dyDescent="0.3">
      <c r="A253" s="13">
        <v>247</v>
      </c>
      <c r="B253" s="91" t="s">
        <v>353</v>
      </c>
      <c r="C253" s="92" t="s">
        <v>160</v>
      </c>
      <c r="D253" s="98"/>
      <c r="E253" s="98"/>
      <c r="F253" s="96" t="s">
        <v>309</v>
      </c>
      <c r="G253" s="97"/>
      <c r="H253" s="97"/>
      <c r="I253" s="97"/>
      <c r="J253" s="91"/>
      <c r="L253" s="98"/>
      <c r="M253" s="98">
        <v>239</v>
      </c>
      <c r="N253" s="98"/>
      <c r="O253" s="98"/>
      <c r="P253" s="98"/>
      <c r="Q253" s="39" t="s">
        <v>282</v>
      </c>
      <c r="R253" s="5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50"/>
      <c r="AL253" s="50"/>
      <c r="AM253" s="50"/>
      <c r="AN253" s="50"/>
      <c r="AO253" s="53">
        <f>SUM(AI252:AO252)</f>
        <v>0</v>
      </c>
      <c r="AP253" s="51">
        <v>0</v>
      </c>
      <c r="AQ253" s="50"/>
      <c r="AR253" s="50"/>
      <c r="AS253" s="50"/>
      <c r="AT253" s="50"/>
      <c r="AU253" s="50"/>
      <c r="AV253" s="53">
        <f>SUM(AP252:AV252)</f>
        <v>5</v>
      </c>
      <c r="AW253" s="50">
        <v>2</v>
      </c>
      <c r="AX253" s="50"/>
      <c r="AY253" s="50"/>
      <c r="AZ253" s="50"/>
      <c r="BA253" s="50"/>
      <c r="BB253" s="50"/>
      <c r="BC253" s="53">
        <f>SUM(AW252:BC252)</f>
        <v>6</v>
      </c>
      <c r="BD253" s="50">
        <v>4</v>
      </c>
      <c r="BE253" s="50"/>
      <c r="BF253" s="50"/>
      <c r="BG253" s="50"/>
      <c r="BH253" s="50"/>
      <c r="BI253" s="50"/>
      <c r="BJ253" s="53">
        <f>SUM(BD252:BJ252)</f>
        <v>3</v>
      </c>
      <c r="BK253" s="50">
        <v>2</v>
      </c>
      <c r="BL253" s="50"/>
      <c r="BM253" s="50"/>
      <c r="BN253" s="50"/>
      <c r="BO253" s="50"/>
      <c r="BP253" s="50"/>
      <c r="BQ253" s="53">
        <f>SUM(BK252:BQ252)</f>
        <v>4</v>
      </c>
      <c r="BR253" s="50">
        <v>5</v>
      </c>
      <c r="BS253" s="50"/>
      <c r="BT253" s="50"/>
      <c r="BU253" s="50"/>
      <c r="BV253" s="50"/>
      <c r="BW253" s="50"/>
      <c r="BY253" s="91"/>
      <c r="BZ253" s="98"/>
    </row>
    <row r="254" spans="1:78" ht="20.100000000000001" customHeight="1" x14ac:dyDescent="0.3">
      <c r="A254" s="13">
        <v>248</v>
      </c>
      <c r="B254" s="91" t="s">
        <v>353</v>
      </c>
      <c r="C254" s="92" t="s">
        <v>160</v>
      </c>
      <c r="D254" s="91"/>
      <c r="E254" s="91"/>
      <c r="F254" s="96">
        <v>92242613463</v>
      </c>
      <c r="G254" s="97"/>
      <c r="H254" s="97"/>
      <c r="I254" s="97"/>
      <c r="J254" s="91"/>
      <c r="L254" s="98"/>
      <c r="M254" s="98">
        <v>240</v>
      </c>
      <c r="N254" s="98"/>
      <c r="O254" s="98"/>
      <c r="P254" s="98"/>
      <c r="Q254" s="41" t="s">
        <v>1</v>
      </c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 t="str">
        <f>IFERROR(VLOOKUP($F254,[2]원본!$D:$BX,AI$1,FALSE),"")</f>
        <v/>
      </c>
      <c r="AJ254" s="40" t="str">
        <f>IFERROR(VLOOKUP($F254,[2]원본!$D:$BX,AJ$1,FALSE),"")</f>
        <v/>
      </c>
      <c r="AK254" s="40" t="str">
        <f>IFERROR(VLOOKUP($F254,[2]원본!$D:$BX,AK$1,FALSE),"")</f>
        <v/>
      </c>
      <c r="AL254" s="40" t="str">
        <f>IFERROR(VLOOKUP($F254,[2]원본!$D:$BX,AL$1,FALSE),"")</f>
        <v/>
      </c>
      <c r="AM254" s="40" t="str">
        <f>IFERROR(VLOOKUP($F254,[2]원본!$D:$BX,AM$1,FALSE),"")</f>
        <v/>
      </c>
      <c r="AN254" s="40" t="str">
        <f>IFERROR(VLOOKUP($F254,[2]원본!$D:$BX,AN$1,FALSE),"")</f>
        <v/>
      </c>
      <c r="AO254" s="40" t="str">
        <f>IFERROR(VLOOKUP($F254,[2]원본!$D:$BX,AO$1,FALSE),"")</f>
        <v/>
      </c>
      <c r="AP254" s="40" t="str">
        <f>IFERROR(VLOOKUP($F254,[2]원본!$D:$BX,AP$1,FALSE),"")</f>
        <v/>
      </c>
      <c r="AQ254" s="40" t="str">
        <f>IFERROR(VLOOKUP($F254,[2]원본!$D:$BX,AQ$1,FALSE),"")</f>
        <v/>
      </c>
      <c r="AR254" s="40" t="str">
        <f>IFERROR(VLOOKUP($F254,[2]원본!$D:$BX,AR$1,FALSE),"")</f>
        <v/>
      </c>
      <c r="AS254" s="40" t="str">
        <f>IFERROR(VLOOKUP($F254,[2]원본!$D:$BX,AS$1,FALSE),"")</f>
        <v/>
      </c>
      <c r="AT254" s="40" t="str">
        <f>IFERROR(VLOOKUP($F254,[2]원본!$D:$BX,AT$1,FALSE),"")</f>
        <v/>
      </c>
      <c r="AU254" s="40" t="str">
        <f>IFERROR(VLOOKUP($F254,[2]원본!$D:$BX,AU$1,FALSE),"")</f>
        <v/>
      </c>
      <c r="AV254" s="40" t="str">
        <f>IFERROR(VLOOKUP($F254,[2]원본!$D:$BX,AV$1,FALSE),"")</f>
        <v/>
      </c>
      <c r="AW254" s="40" t="str">
        <f>IFERROR(VLOOKUP($F254,[2]원본!$D:$BX,AW$1,FALSE),"")</f>
        <v/>
      </c>
      <c r="AX254" s="40" t="str">
        <f>IFERROR(VLOOKUP($F254,[2]원본!$D:$BX,AX$1,FALSE),"")</f>
        <v/>
      </c>
      <c r="AY254" s="40" t="str">
        <f>IFERROR(VLOOKUP($F254,[2]원본!$D:$BX,AY$1,FALSE),"")</f>
        <v/>
      </c>
      <c r="AZ254" s="40" t="str">
        <f>IFERROR(VLOOKUP($F254,[2]원본!$D:$BX,AZ$1,FALSE),"")</f>
        <v/>
      </c>
      <c r="BA254" s="40" t="str">
        <f>IFERROR(VLOOKUP($F254,[2]원본!$D:$BX,BA$1,FALSE),"")</f>
        <v/>
      </c>
      <c r="BB254" s="40" t="str">
        <f>IFERROR(VLOOKUP($F254,[2]원본!$D:$BX,BB$1,FALSE),"")</f>
        <v/>
      </c>
      <c r="BC254" s="40" t="str">
        <f>IFERROR(VLOOKUP($F254,[2]원본!$D:$BX,BC$1,FALSE),"")</f>
        <v/>
      </c>
      <c r="BD254" s="40" t="str">
        <f>IFERROR(VLOOKUP($F254,[2]원본!$D:$BX,BD$1,FALSE),"")</f>
        <v/>
      </c>
      <c r="BE254" s="40" t="str">
        <f>IFERROR(VLOOKUP($F254,[2]원본!$D:$BX,BE$1,FALSE),"")</f>
        <v/>
      </c>
      <c r="BF254" s="40" t="str">
        <f>IFERROR(VLOOKUP($F254,[2]원본!$D:$BX,BF$1,FALSE),"")</f>
        <v/>
      </c>
      <c r="BG254" s="40" t="str">
        <f>IFERROR(VLOOKUP($F254,[2]원본!$D:$BX,BG$1,FALSE),"")</f>
        <v/>
      </c>
      <c r="BH254" s="40" t="str">
        <f>IFERROR(VLOOKUP($F254,[2]원본!$D:$BX,BH$1,FALSE),"")</f>
        <v/>
      </c>
      <c r="BI254" s="40" t="str">
        <f>IFERROR(VLOOKUP($F254,[2]원본!$D:$BX,BI$1,FALSE),"")</f>
        <v/>
      </c>
      <c r="BJ254" s="40" t="str">
        <f>IFERROR(VLOOKUP($F254,[2]원본!$D:$BX,BJ$1,FALSE),"")</f>
        <v/>
      </c>
      <c r="BK254" s="40" t="str">
        <f>IFERROR(VLOOKUP($F254,[2]원본!$D:$BX,BK$1,FALSE),"")</f>
        <v/>
      </c>
      <c r="BL254" s="40" t="str">
        <f>IFERROR(VLOOKUP($F254,[2]원본!$D:$BX,BL$1,FALSE),"")</f>
        <v/>
      </c>
      <c r="BM254" s="40" t="str">
        <f>IFERROR(VLOOKUP($F254,[2]원본!$D:$BX,BM$1,FALSE),"")</f>
        <v/>
      </c>
      <c r="BN254" s="40" t="str">
        <f>IFERROR(VLOOKUP($F254,[2]원본!$D:$BX,BN$1,FALSE),"")</f>
        <v/>
      </c>
      <c r="BO254" s="40" t="str">
        <f>IFERROR(VLOOKUP($F254,[2]원본!$D:$BX,BO$1,FALSE),"")</f>
        <v/>
      </c>
      <c r="BP254" s="40" t="str">
        <f>IFERROR(VLOOKUP($F254,[2]원본!$D:$BX,BP$1,FALSE),"")</f>
        <v/>
      </c>
      <c r="BQ254" s="40" t="str">
        <f>IFERROR(VLOOKUP($F254,[2]원본!$D:$BX,BQ$1,FALSE),"")</f>
        <v/>
      </c>
      <c r="BR254" s="40" t="str">
        <f>IFERROR(VLOOKUP($F254,[2]원본!$D:$BX,BR$1,FALSE),"")</f>
        <v/>
      </c>
      <c r="BS254" s="40" t="str">
        <f>IFERROR(VLOOKUP($F254,[2]원본!$D:$BX,BS$1,FALSE),"")</f>
        <v/>
      </c>
      <c r="BT254" s="40" t="str">
        <f>IFERROR(VLOOKUP($F254,[2]원본!$D:$BX,BT$1,FALSE),"")</f>
        <v/>
      </c>
      <c r="BU254" s="40" t="str">
        <f>IFERROR(VLOOKUP($F254,[2]원본!$D:$BX,BU$1,FALSE),"")</f>
        <v/>
      </c>
      <c r="BV254" s="40" t="str">
        <f>IFERROR(VLOOKUP($F254,#REF!,BV$1,FALSE),"")</f>
        <v/>
      </c>
      <c r="BW254" s="40"/>
      <c r="BX254" s="26">
        <f>(SUM(R254:BW254)*D252)-(SUM(R254:BW254)*E252)</f>
        <v>0</v>
      </c>
      <c r="BY254" s="91"/>
      <c r="BZ254" s="100" t="str">
        <f>IFERROR(VLOOKUP($F254,#REF!,BZ$1,FALSE),"")</f>
        <v/>
      </c>
    </row>
    <row r="255" spans="1:78" ht="20.100000000000001" customHeight="1" x14ac:dyDescent="0.3">
      <c r="A255" s="13">
        <v>249</v>
      </c>
      <c r="B255" s="91" t="s">
        <v>353</v>
      </c>
      <c r="C255" s="92" t="s">
        <v>160</v>
      </c>
      <c r="D255" s="95" t="s">
        <v>60</v>
      </c>
      <c r="E255" s="91"/>
      <c r="F255" s="96">
        <v>92242613463</v>
      </c>
      <c r="G255" s="97" t="s">
        <v>132</v>
      </c>
      <c r="H255" s="97"/>
      <c r="I255" s="97"/>
      <c r="J255" s="91" t="s">
        <v>57</v>
      </c>
      <c r="K255" s="5">
        <v>800</v>
      </c>
      <c r="L255" s="98">
        <v>1</v>
      </c>
      <c r="M255" s="98">
        <v>241</v>
      </c>
      <c r="N255" s="98"/>
      <c r="O255" s="98"/>
      <c r="P255" s="98"/>
      <c r="Q255" s="42" t="s">
        <v>0</v>
      </c>
      <c r="R255" s="7"/>
      <c r="S255" s="7"/>
      <c r="T255" s="7">
        <v>95</v>
      </c>
      <c r="U255" s="7"/>
      <c r="V255" s="7">
        <v>8</v>
      </c>
      <c r="W255" s="7">
        <v>5</v>
      </c>
      <c r="X255" s="7">
        <v>10</v>
      </c>
      <c r="Y255" s="7" t="s">
        <v>54</v>
      </c>
      <c r="Z255" s="7">
        <v>248</v>
      </c>
      <c r="AA255" s="7">
        <v>212</v>
      </c>
      <c r="AB255" s="7"/>
      <c r="AC255" s="7">
        <v>196</v>
      </c>
      <c r="AD255" s="7"/>
      <c r="AE255" s="7">
        <v>28</v>
      </c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>
        <v>159</v>
      </c>
      <c r="AU255" s="7">
        <v>146</v>
      </c>
      <c r="AV255" s="7"/>
      <c r="AW255" s="7"/>
      <c r="AX255" s="7">
        <v>155</v>
      </c>
      <c r="AY255" s="7"/>
      <c r="AZ255" s="7">
        <v>168</v>
      </c>
      <c r="BA255" s="7">
        <v>168</v>
      </c>
      <c r="BB255" s="7"/>
      <c r="BC255" s="7"/>
      <c r="BD255" s="7"/>
      <c r="BE255" s="7"/>
      <c r="BF255" s="7"/>
      <c r="BG255" s="7"/>
      <c r="BH255" s="7">
        <v>168</v>
      </c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Y255" s="91"/>
      <c r="BZ255" s="98"/>
    </row>
    <row r="256" spans="1:78" ht="20.100000000000001" customHeight="1" x14ac:dyDescent="0.3">
      <c r="A256" s="13">
        <v>250</v>
      </c>
      <c r="B256" s="91" t="s">
        <v>353</v>
      </c>
      <c r="C256" s="92" t="s">
        <v>160</v>
      </c>
      <c r="D256" s="94"/>
      <c r="E256" s="94"/>
      <c r="F256" s="96">
        <v>92242613463</v>
      </c>
      <c r="G256" s="97"/>
      <c r="H256" s="97"/>
      <c r="I256" s="97"/>
      <c r="J256" s="91" t="s">
        <v>58</v>
      </c>
      <c r="K256" s="5">
        <v>100</v>
      </c>
      <c r="L256" s="98"/>
      <c r="M256" s="98">
        <v>242</v>
      </c>
      <c r="N256" s="98"/>
      <c r="O256" s="98"/>
      <c r="P256" s="98"/>
      <c r="Q256" s="7" t="s">
        <v>185</v>
      </c>
      <c r="R256" s="7">
        <v>1</v>
      </c>
      <c r="S256" s="7">
        <v>1</v>
      </c>
      <c r="T256" s="7">
        <v>5</v>
      </c>
      <c r="U256" s="7"/>
      <c r="V256" s="7">
        <v>2</v>
      </c>
      <c r="W256" s="7">
        <v>3</v>
      </c>
      <c r="X256" s="7">
        <v>3</v>
      </c>
      <c r="Y256" s="7">
        <v>3</v>
      </c>
      <c r="Z256" s="7">
        <v>3</v>
      </c>
      <c r="AA256" s="7">
        <v>5</v>
      </c>
      <c r="AB256" s="7"/>
      <c r="AC256" s="7">
        <v>3</v>
      </c>
      <c r="AD256" s="7"/>
      <c r="AE256" s="7">
        <v>8</v>
      </c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  <c r="BL256" s="22"/>
      <c r="BM256" s="22"/>
      <c r="BN256" s="22"/>
      <c r="BO256" s="22"/>
      <c r="BP256" s="22"/>
      <c r="BQ256" s="22"/>
      <c r="BR256" s="22"/>
      <c r="BS256" s="22"/>
      <c r="BT256" s="22"/>
      <c r="BU256" s="22"/>
      <c r="BV256" s="22"/>
      <c r="BW256" s="22"/>
      <c r="BY256" s="91"/>
      <c r="BZ256" s="98"/>
    </row>
    <row r="257" spans="1:78" s="14" customFormat="1" ht="20.100000000000001" customHeight="1" thickBot="1" x14ac:dyDescent="0.35">
      <c r="A257" s="13">
        <v>251</v>
      </c>
      <c r="B257" s="15" t="s">
        <v>353</v>
      </c>
      <c r="C257" s="68" t="s">
        <v>160</v>
      </c>
      <c r="D257" s="21"/>
      <c r="E257" s="21"/>
      <c r="F257" s="16">
        <v>92242613463</v>
      </c>
      <c r="G257" s="17"/>
      <c r="H257" s="17"/>
      <c r="I257" s="17"/>
      <c r="J257" s="15" t="s">
        <v>59</v>
      </c>
      <c r="K257" s="18">
        <v>100</v>
      </c>
      <c r="M257" s="14">
        <v>243</v>
      </c>
      <c r="Q257" s="19" t="s">
        <v>185</v>
      </c>
      <c r="R257" s="19">
        <v>1</v>
      </c>
      <c r="S257" s="19">
        <v>1</v>
      </c>
      <c r="T257" s="19">
        <v>1</v>
      </c>
      <c r="U257" s="19"/>
      <c r="V257" s="19">
        <v>2</v>
      </c>
      <c r="W257" s="19">
        <v>1</v>
      </c>
      <c r="X257" s="19">
        <v>4</v>
      </c>
      <c r="Y257" s="19">
        <v>4</v>
      </c>
      <c r="Z257" s="19">
        <v>4</v>
      </c>
      <c r="AA257" s="19">
        <v>4</v>
      </c>
      <c r="AB257" s="19"/>
      <c r="AC257" s="19">
        <v>4</v>
      </c>
      <c r="AD257" s="19"/>
      <c r="AE257" s="19">
        <v>3</v>
      </c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23"/>
      <c r="AU257" s="23"/>
      <c r="AV257" s="23"/>
      <c r="AW257" s="23"/>
      <c r="AX257" s="23"/>
      <c r="AY257" s="23"/>
      <c r="AZ257" s="23"/>
      <c r="BA257" s="23"/>
      <c r="BB257" s="23"/>
      <c r="BC257" s="23"/>
      <c r="BD257" s="23"/>
      <c r="BE257" s="23"/>
      <c r="BF257" s="23"/>
      <c r="BG257" s="23"/>
      <c r="BH257" s="23"/>
      <c r="BI257" s="23"/>
      <c r="BJ257" s="23"/>
      <c r="BK257" s="23"/>
      <c r="BL257" s="23"/>
      <c r="BM257" s="23"/>
      <c r="BN257" s="23"/>
      <c r="BO257" s="23"/>
      <c r="BP257" s="23"/>
      <c r="BQ257" s="23"/>
      <c r="BR257" s="23"/>
      <c r="BS257" s="23"/>
      <c r="BT257" s="23"/>
      <c r="BU257" s="23"/>
      <c r="BV257" s="23"/>
      <c r="BW257" s="23"/>
      <c r="BX257" s="18"/>
      <c r="BY257" s="15"/>
    </row>
    <row r="258" spans="1:78" s="8" customFormat="1" ht="20.100000000000001" customHeight="1" x14ac:dyDescent="0.3">
      <c r="A258" s="13">
        <v>252</v>
      </c>
      <c r="B258" s="9" t="s">
        <v>354</v>
      </c>
      <c r="C258" s="66" t="s">
        <v>160</v>
      </c>
      <c r="D258" s="46">
        <f>VLOOKUP(F260,[1]SKU리스트!$H:$L,5,FALSE)</f>
        <v>8300</v>
      </c>
      <c r="E258" s="47">
        <f>VLOOKUP(F260,[1]SKU리스트!$H:$AK,30,FALSE)</f>
        <v>3626.909090909091</v>
      </c>
      <c r="F258" s="10" t="s">
        <v>195</v>
      </c>
      <c r="G258" s="11"/>
      <c r="H258" s="11"/>
      <c r="I258" s="11"/>
      <c r="J258" s="9"/>
      <c r="K258" s="12"/>
      <c r="M258" s="8">
        <v>244</v>
      </c>
      <c r="Q258" s="44" t="s">
        <v>125</v>
      </c>
      <c r="R258" s="54">
        <v>2</v>
      </c>
      <c r="S258" s="54">
        <v>0</v>
      </c>
      <c r="T258" s="54">
        <v>0</v>
      </c>
      <c r="U258" s="54">
        <v>1</v>
      </c>
      <c r="V258" s="54">
        <v>2</v>
      </c>
      <c r="W258" s="54">
        <v>-1</v>
      </c>
      <c r="X258" s="54">
        <v>2</v>
      </c>
      <c r="Y258" s="54">
        <v>3</v>
      </c>
      <c r="Z258" s="54">
        <v>1</v>
      </c>
      <c r="AA258" s="54">
        <v>3</v>
      </c>
      <c r="AB258" s="54">
        <v>2</v>
      </c>
      <c r="AC258" s="54">
        <v>2</v>
      </c>
      <c r="AD258" s="54">
        <v>2</v>
      </c>
      <c r="AE258" s="54">
        <v>0</v>
      </c>
      <c r="AF258" s="54">
        <v>2</v>
      </c>
      <c r="AG258" s="54">
        <v>3</v>
      </c>
      <c r="AH258" s="54">
        <v>1</v>
      </c>
      <c r="AI258" s="54">
        <v>1</v>
      </c>
      <c r="AJ258" s="54">
        <v>0</v>
      </c>
      <c r="AK258" s="54">
        <v>0</v>
      </c>
      <c r="AL258" s="54">
        <v>1</v>
      </c>
      <c r="AM258" s="54">
        <v>1</v>
      </c>
      <c r="AN258" s="54">
        <v>2</v>
      </c>
      <c r="AO258" s="54">
        <v>0</v>
      </c>
      <c r="AP258" s="54">
        <v>3</v>
      </c>
      <c r="AQ258" s="54">
        <v>3</v>
      </c>
      <c r="AR258" s="54">
        <v>1</v>
      </c>
      <c r="AS258" s="54">
        <v>1</v>
      </c>
      <c r="AT258" s="54">
        <v>0</v>
      </c>
      <c r="AU258" s="54">
        <v>0</v>
      </c>
      <c r="AV258" s="54">
        <v>1</v>
      </c>
      <c r="AW258" s="54">
        <v>0</v>
      </c>
      <c r="AX258" s="54">
        <v>1</v>
      </c>
      <c r="AY258" s="54">
        <v>1</v>
      </c>
      <c r="AZ258" s="54">
        <v>2</v>
      </c>
      <c r="BA258" s="54">
        <v>2</v>
      </c>
      <c r="BB258" s="54">
        <v>1</v>
      </c>
      <c r="BC258" s="54">
        <v>1</v>
      </c>
      <c r="BD258" s="54">
        <v>0</v>
      </c>
      <c r="BE258" s="54">
        <v>1</v>
      </c>
      <c r="BF258" s="54">
        <v>3</v>
      </c>
      <c r="BG258" s="54">
        <v>1</v>
      </c>
      <c r="BH258" s="54">
        <v>0</v>
      </c>
      <c r="BI258" s="54">
        <v>3</v>
      </c>
      <c r="BJ258" s="54">
        <v>4</v>
      </c>
      <c r="BK258" s="54">
        <v>0</v>
      </c>
      <c r="BL258" s="54">
        <v>0</v>
      </c>
      <c r="BM258" s="54">
        <v>2</v>
      </c>
      <c r="BN258" s="54">
        <v>5</v>
      </c>
      <c r="BO258" s="54">
        <v>2</v>
      </c>
      <c r="BP258" s="54">
        <v>2</v>
      </c>
      <c r="BQ258" s="54">
        <v>1</v>
      </c>
      <c r="BR258" s="54">
        <v>2</v>
      </c>
      <c r="BS258" s="54">
        <v>1</v>
      </c>
      <c r="BT258" s="54">
        <v>1</v>
      </c>
      <c r="BU258" s="54"/>
      <c r="BV258" s="54"/>
      <c r="BW258" s="54"/>
      <c r="BX258" s="85">
        <f>VLOOKUP(F258,[1]SKU리스트!$H:$AH,27,FALSE)</f>
        <v>35387</v>
      </c>
      <c r="BY258" s="9"/>
    </row>
    <row r="259" spans="1:78" ht="20.100000000000001" customHeight="1" x14ac:dyDescent="0.3">
      <c r="A259" s="13">
        <v>253</v>
      </c>
      <c r="B259" s="4" t="s">
        <v>354</v>
      </c>
      <c r="C259" s="67" t="s">
        <v>160</v>
      </c>
      <c r="D259" s="1"/>
      <c r="E259" s="1"/>
      <c r="F259" s="2" t="s">
        <v>310</v>
      </c>
      <c r="H259" s="3"/>
      <c r="M259" s="1">
        <v>245</v>
      </c>
      <c r="Q259" s="39" t="s">
        <v>282</v>
      </c>
      <c r="R259" s="5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50"/>
      <c r="AL259" s="50"/>
      <c r="AM259" s="50"/>
      <c r="AN259" s="50"/>
      <c r="AO259" s="53">
        <f>SUM(AI258:AO258)</f>
        <v>5</v>
      </c>
      <c r="AP259" s="51">
        <v>3</v>
      </c>
      <c r="AQ259" s="50"/>
      <c r="AR259" s="50"/>
      <c r="AS259" s="50"/>
      <c r="AT259" s="50"/>
      <c r="AU259" s="50"/>
      <c r="AV259" s="53">
        <f>SUM(AP258:AV258)</f>
        <v>9</v>
      </c>
      <c r="AW259" s="50">
        <v>6</v>
      </c>
      <c r="AX259" s="50"/>
      <c r="AY259" s="50"/>
      <c r="AZ259" s="50"/>
      <c r="BA259" s="50"/>
      <c r="BB259" s="50"/>
      <c r="BC259" s="53">
        <f>SUM(AW258:BC258)</f>
        <v>8</v>
      </c>
      <c r="BD259" s="50">
        <v>14</v>
      </c>
      <c r="BE259" s="50"/>
      <c r="BF259" s="50"/>
      <c r="BG259" s="50"/>
      <c r="BH259" s="50"/>
      <c r="BI259" s="50"/>
      <c r="BJ259" s="53">
        <f>SUM(BD258:BJ258)</f>
        <v>12</v>
      </c>
      <c r="BK259" s="50">
        <v>12</v>
      </c>
      <c r="BL259" s="50"/>
      <c r="BM259" s="50"/>
      <c r="BN259" s="50"/>
      <c r="BO259" s="50"/>
      <c r="BP259" s="50"/>
      <c r="BQ259" s="53">
        <f>SUM(BK258:BQ258)</f>
        <v>12</v>
      </c>
      <c r="BR259" s="50">
        <v>14</v>
      </c>
      <c r="BS259" s="50"/>
      <c r="BT259" s="50"/>
      <c r="BU259" s="50"/>
      <c r="BV259" s="50"/>
      <c r="BW259" s="50"/>
    </row>
    <row r="260" spans="1:78" ht="20.100000000000001" customHeight="1" x14ac:dyDescent="0.3">
      <c r="A260" s="13">
        <v>254</v>
      </c>
      <c r="B260" s="91" t="s">
        <v>354</v>
      </c>
      <c r="C260" s="92" t="s">
        <v>160</v>
      </c>
      <c r="D260" s="91"/>
      <c r="E260" s="91"/>
      <c r="F260" s="96">
        <v>92868674350</v>
      </c>
      <c r="G260" s="97"/>
      <c r="H260" s="97"/>
      <c r="I260" s="97"/>
      <c r="J260" s="91"/>
      <c r="L260" s="98"/>
      <c r="M260" s="98">
        <v>246</v>
      </c>
      <c r="N260" s="98"/>
      <c r="O260" s="98"/>
      <c r="P260" s="98"/>
      <c r="Q260" s="41" t="s">
        <v>1</v>
      </c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 t="str">
        <f>IFERROR(VLOOKUP($F260,[2]원본!$D:$BX,AI$1,FALSE),"")</f>
        <v/>
      </c>
      <c r="AJ260" s="40" t="str">
        <f>IFERROR(VLOOKUP($F260,[2]원본!$D:$BX,AJ$1,FALSE),"")</f>
        <v/>
      </c>
      <c r="AK260" s="40" t="str">
        <f>IFERROR(VLOOKUP($F260,[2]원본!$D:$BX,AK$1,FALSE),"")</f>
        <v/>
      </c>
      <c r="AL260" s="40" t="str">
        <f>IFERROR(VLOOKUP($F260,[2]원본!$D:$BX,AL$1,FALSE),"")</f>
        <v/>
      </c>
      <c r="AM260" s="40" t="str">
        <f>IFERROR(VLOOKUP($F260,[2]원본!$D:$BX,AM$1,FALSE),"")</f>
        <v/>
      </c>
      <c r="AN260" s="40" t="str">
        <f>IFERROR(VLOOKUP($F260,[2]원본!$D:$BX,AN$1,FALSE),"")</f>
        <v/>
      </c>
      <c r="AO260" s="40" t="str">
        <f>IFERROR(VLOOKUP($F260,[2]원본!$D:$BX,AO$1,FALSE),"")</f>
        <v/>
      </c>
      <c r="AP260" s="40" t="str">
        <f>IFERROR(VLOOKUP($F260,[2]원본!$D:$BX,AP$1,FALSE),"")</f>
        <v/>
      </c>
      <c r="AQ260" s="40" t="str">
        <f>IFERROR(VLOOKUP($F260,[2]원본!$D:$BX,AQ$1,FALSE),"")</f>
        <v/>
      </c>
      <c r="AR260" s="40" t="str">
        <f>IFERROR(VLOOKUP($F260,[2]원본!$D:$BX,AR$1,FALSE),"")</f>
        <v/>
      </c>
      <c r="AS260" s="40" t="str">
        <f>IFERROR(VLOOKUP($F260,[2]원본!$D:$BX,AS$1,FALSE),"")</f>
        <v/>
      </c>
      <c r="AT260" s="40" t="str">
        <f>IFERROR(VLOOKUP($F260,[2]원본!$D:$BX,AT$1,FALSE),"")</f>
        <v/>
      </c>
      <c r="AU260" s="40" t="str">
        <f>IFERROR(VLOOKUP($F260,[2]원본!$D:$BX,AU$1,FALSE),"")</f>
        <v/>
      </c>
      <c r="AV260" s="40" t="str">
        <f>IFERROR(VLOOKUP($F260,[2]원본!$D:$BX,AV$1,FALSE),"")</f>
        <v/>
      </c>
      <c r="AW260" s="40" t="str">
        <f>IFERROR(VLOOKUP($F260,[2]원본!$D:$BX,AW$1,FALSE),"")</f>
        <v/>
      </c>
      <c r="AX260" s="40" t="str">
        <f>IFERROR(VLOOKUP($F260,[2]원본!$D:$BX,AX$1,FALSE),"")</f>
        <v/>
      </c>
      <c r="AY260" s="40" t="str">
        <f>IFERROR(VLOOKUP($F260,[2]원본!$D:$BX,AY$1,FALSE),"")</f>
        <v/>
      </c>
      <c r="AZ260" s="40" t="str">
        <f>IFERROR(VLOOKUP($F260,[2]원본!$D:$BX,AZ$1,FALSE),"")</f>
        <v/>
      </c>
      <c r="BA260" s="40" t="str">
        <f>IFERROR(VLOOKUP($F260,[2]원본!$D:$BX,BA$1,FALSE),"")</f>
        <v/>
      </c>
      <c r="BB260" s="40" t="str">
        <f>IFERROR(VLOOKUP($F260,[2]원본!$D:$BX,BB$1,FALSE),"")</f>
        <v/>
      </c>
      <c r="BC260" s="40" t="str">
        <f>IFERROR(VLOOKUP($F260,[2]원본!$D:$BX,BC$1,FALSE),"")</f>
        <v/>
      </c>
      <c r="BD260" s="40" t="str">
        <f>IFERROR(VLOOKUP($F260,[2]원본!$D:$BX,BD$1,FALSE),"")</f>
        <v/>
      </c>
      <c r="BE260" s="40" t="str">
        <f>IFERROR(VLOOKUP($F260,[2]원본!$D:$BX,BE$1,FALSE),"")</f>
        <v/>
      </c>
      <c r="BF260" s="40" t="str">
        <f>IFERROR(VLOOKUP($F260,[2]원본!$D:$BX,BF$1,FALSE),"")</f>
        <v/>
      </c>
      <c r="BG260" s="40" t="str">
        <f>IFERROR(VLOOKUP($F260,[2]원본!$D:$BX,BG$1,FALSE),"")</f>
        <v/>
      </c>
      <c r="BH260" s="40" t="str">
        <f>IFERROR(VLOOKUP($F260,[2]원본!$D:$BX,BH$1,FALSE),"")</f>
        <v/>
      </c>
      <c r="BI260" s="40" t="str">
        <f>IFERROR(VLOOKUP($F260,[2]원본!$D:$BX,BI$1,FALSE),"")</f>
        <v/>
      </c>
      <c r="BJ260" s="40" t="str">
        <f>IFERROR(VLOOKUP($F260,[2]원본!$D:$BX,BJ$1,FALSE),"")</f>
        <v/>
      </c>
      <c r="BK260" s="40" t="str">
        <f>IFERROR(VLOOKUP($F260,[2]원본!$D:$BX,BK$1,FALSE),"")</f>
        <v/>
      </c>
      <c r="BL260" s="40" t="str">
        <f>IFERROR(VLOOKUP($F260,[2]원본!$D:$BX,BL$1,FALSE),"")</f>
        <v/>
      </c>
      <c r="BM260" s="40" t="str">
        <f>IFERROR(VLOOKUP($F260,[2]원본!$D:$BX,BM$1,FALSE),"")</f>
        <v/>
      </c>
      <c r="BN260" s="40" t="str">
        <f>IFERROR(VLOOKUP($F260,[2]원본!$D:$BX,BN$1,FALSE),"")</f>
        <v/>
      </c>
      <c r="BO260" s="40" t="str">
        <f>IFERROR(VLOOKUP($F260,[2]원본!$D:$BX,BO$1,FALSE),"")</f>
        <v/>
      </c>
      <c r="BP260" s="40" t="str">
        <f>IFERROR(VLOOKUP($F260,[2]원본!$D:$BX,BP$1,FALSE),"")</f>
        <v/>
      </c>
      <c r="BQ260" s="40" t="str">
        <f>IFERROR(VLOOKUP($F260,[2]원본!$D:$BX,BQ$1,FALSE),"")</f>
        <v/>
      </c>
      <c r="BR260" s="40" t="str">
        <f>IFERROR(VLOOKUP($F260,[2]원본!$D:$BX,BR$1,FALSE),"")</f>
        <v/>
      </c>
      <c r="BS260" s="40" t="str">
        <f>IFERROR(VLOOKUP($F260,[2]원본!$D:$BX,BS$1,FALSE),"")</f>
        <v/>
      </c>
      <c r="BT260" s="40" t="str">
        <f>IFERROR(VLOOKUP($F260,[2]원본!$D:$BX,BT$1,FALSE),"")</f>
        <v/>
      </c>
      <c r="BU260" s="40" t="str">
        <f>IFERROR(VLOOKUP($F260,[2]원본!$D:$BX,BU$1,FALSE),"")</f>
        <v/>
      </c>
      <c r="BV260" s="40" t="str">
        <f>IFERROR(VLOOKUP($F260,#REF!,BV$1,FALSE),"")</f>
        <v/>
      </c>
      <c r="BW260" s="40"/>
      <c r="BX260" s="26">
        <f>(SUM(R260:BW260)*D258)-(SUM(R260:BW260)*E258)</f>
        <v>0</v>
      </c>
      <c r="BY260" s="91"/>
      <c r="BZ260" s="100" t="str">
        <f>IFERROR(VLOOKUP($F260,#REF!,BZ$1,FALSE),"")</f>
        <v/>
      </c>
    </row>
    <row r="261" spans="1:78" ht="20.100000000000001" customHeight="1" x14ac:dyDescent="0.3">
      <c r="A261" s="13">
        <v>255</v>
      </c>
      <c r="B261" s="91" t="s">
        <v>354</v>
      </c>
      <c r="C261" s="92" t="s">
        <v>160</v>
      </c>
      <c r="D261" s="95" t="s">
        <v>166</v>
      </c>
      <c r="E261" s="91"/>
      <c r="F261" s="96">
        <v>92868674350</v>
      </c>
      <c r="G261" s="97" t="s">
        <v>133</v>
      </c>
      <c r="H261" s="97"/>
      <c r="I261" s="97"/>
      <c r="J261" s="91" t="s">
        <v>61</v>
      </c>
      <c r="K261" s="5">
        <v>2000</v>
      </c>
      <c r="L261" s="98">
        <v>1</v>
      </c>
      <c r="M261" s="98">
        <v>249</v>
      </c>
      <c r="N261" s="98"/>
      <c r="O261" s="98"/>
      <c r="P261" s="98"/>
      <c r="Q261" s="42" t="s">
        <v>0</v>
      </c>
      <c r="R261" s="7"/>
      <c r="S261" s="7"/>
      <c r="T261" s="7">
        <v>24</v>
      </c>
      <c r="U261" s="7"/>
      <c r="V261" s="7">
        <v>17</v>
      </c>
      <c r="W261" s="7">
        <v>16</v>
      </c>
      <c r="X261" s="7">
        <v>31</v>
      </c>
      <c r="Y261" s="7">
        <v>51</v>
      </c>
      <c r="Z261" s="7">
        <v>51</v>
      </c>
      <c r="AA261" s="7">
        <v>13</v>
      </c>
      <c r="AB261" s="7"/>
      <c r="AC261" s="7">
        <v>9</v>
      </c>
      <c r="AD261" s="7"/>
      <c r="AE261" s="7">
        <v>4</v>
      </c>
      <c r="AF261" s="7"/>
      <c r="AG261" s="7"/>
      <c r="AH261" s="7"/>
      <c r="AI261" s="7"/>
      <c r="AJ261" s="7"/>
      <c r="AK261" s="7">
        <v>19</v>
      </c>
      <c r="AL261" s="7"/>
      <c r="AM261" s="7"/>
      <c r="AN261" s="7"/>
      <c r="AO261" s="7"/>
      <c r="AP261" s="7"/>
      <c r="AQ261" s="7"/>
      <c r="AR261" s="7"/>
      <c r="AS261" s="7"/>
      <c r="AT261" s="7">
        <v>17</v>
      </c>
      <c r="AU261" s="7">
        <v>17</v>
      </c>
      <c r="AV261" s="7"/>
      <c r="AW261" s="7"/>
      <c r="AX261" s="7">
        <v>16</v>
      </c>
      <c r="AY261" s="7"/>
      <c r="AZ261" s="7">
        <v>16</v>
      </c>
      <c r="BA261" s="7">
        <v>22</v>
      </c>
      <c r="BB261" s="7">
        <v>212</v>
      </c>
      <c r="BC261" s="7"/>
      <c r="BD261" s="7"/>
      <c r="BE261" s="7"/>
      <c r="BF261" s="7">
        <v>132</v>
      </c>
      <c r="BG261" s="7">
        <v>134</v>
      </c>
      <c r="BH261" s="7">
        <v>22</v>
      </c>
      <c r="BI261" s="7">
        <v>210</v>
      </c>
      <c r="BJ261" s="7"/>
      <c r="BK261" s="7"/>
      <c r="BL261" s="7">
        <v>111</v>
      </c>
      <c r="BM261" s="7"/>
      <c r="BN261" s="7">
        <v>113</v>
      </c>
      <c r="BO261" s="7">
        <v>113</v>
      </c>
      <c r="BP261" s="7"/>
      <c r="BQ261" s="7"/>
      <c r="BR261" s="7"/>
      <c r="BS261" s="7">
        <v>111</v>
      </c>
      <c r="BT261" s="7">
        <v>115</v>
      </c>
      <c r="BU261" s="7">
        <v>115</v>
      </c>
      <c r="BV261" s="7"/>
      <c r="BW261" s="7"/>
      <c r="BY261" s="91"/>
      <c r="BZ261" s="98"/>
    </row>
    <row r="262" spans="1:78" ht="20.100000000000001" customHeight="1" x14ac:dyDescent="0.3">
      <c r="A262" s="13">
        <v>256</v>
      </c>
      <c r="B262" s="91" t="s">
        <v>354</v>
      </c>
      <c r="C262" s="92" t="s">
        <v>160</v>
      </c>
      <c r="D262" s="94"/>
      <c r="E262" s="94"/>
      <c r="F262" s="96">
        <v>92868674350</v>
      </c>
      <c r="G262" s="97"/>
      <c r="H262" s="97"/>
      <c r="I262" s="97"/>
      <c r="J262" s="91" t="s">
        <v>62</v>
      </c>
      <c r="K262" s="5">
        <v>800</v>
      </c>
      <c r="L262" s="98">
        <v>1</v>
      </c>
      <c r="M262" s="98">
        <v>247</v>
      </c>
      <c r="N262" s="98"/>
      <c r="O262" s="98"/>
      <c r="P262" s="98"/>
      <c r="Q262" s="42" t="s">
        <v>0</v>
      </c>
      <c r="R262" s="7"/>
      <c r="S262" s="7"/>
      <c r="T262" s="7">
        <v>23</v>
      </c>
      <c r="U262" s="7"/>
      <c r="V262" s="7">
        <v>22</v>
      </c>
      <c r="W262" s="7">
        <v>6</v>
      </c>
      <c r="X262" s="7">
        <v>27</v>
      </c>
      <c r="Y262" s="7">
        <v>22</v>
      </c>
      <c r="Z262" s="7">
        <v>22</v>
      </c>
      <c r="AA262" s="7">
        <v>16</v>
      </c>
      <c r="AB262" s="7"/>
      <c r="AC262" s="7">
        <v>8</v>
      </c>
      <c r="AD262" s="7"/>
      <c r="AE262" s="7">
        <v>2</v>
      </c>
      <c r="AF262" s="7"/>
      <c r="AG262" s="7"/>
      <c r="AH262" s="7"/>
      <c r="AI262" s="7"/>
      <c r="AJ262" s="7"/>
      <c r="AK262" s="7">
        <v>16</v>
      </c>
      <c r="AL262" s="7"/>
      <c r="AM262" s="7"/>
      <c r="AN262" s="7"/>
      <c r="AO262" s="7"/>
      <c r="AP262" s="7"/>
      <c r="AQ262" s="7"/>
      <c r="AR262" s="7"/>
      <c r="AS262" s="7"/>
      <c r="AT262" s="7">
        <v>7</v>
      </c>
      <c r="AU262" s="7">
        <v>7</v>
      </c>
      <c r="AV262" s="7"/>
      <c r="AW262" s="7"/>
      <c r="AX262" s="7">
        <v>11</v>
      </c>
      <c r="AY262" s="7"/>
      <c r="AZ262" s="7">
        <v>13</v>
      </c>
      <c r="BA262" s="7">
        <v>4</v>
      </c>
      <c r="BB262" s="7">
        <v>12</v>
      </c>
      <c r="BC262" s="7"/>
      <c r="BD262" s="7"/>
      <c r="BE262" s="7">
        <v>16</v>
      </c>
      <c r="BF262" s="7">
        <v>14</v>
      </c>
      <c r="BG262" s="7">
        <v>19</v>
      </c>
      <c r="BH262" s="7">
        <v>4</v>
      </c>
      <c r="BI262" s="7">
        <v>22</v>
      </c>
      <c r="BJ262" s="7"/>
      <c r="BK262" s="7"/>
      <c r="BL262" s="7">
        <v>36</v>
      </c>
      <c r="BM262" s="7"/>
      <c r="BN262" s="7">
        <v>19</v>
      </c>
      <c r="BO262" s="7">
        <v>19</v>
      </c>
      <c r="BP262" s="7"/>
      <c r="BQ262" s="7"/>
      <c r="BR262" s="7"/>
      <c r="BS262" s="7">
        <v>23</v>
      </c>
      <c r="BT262" s="7">
        <v>25</v>
      </c>
      <c r="BU262" s="7"/>
      <c r="BV262" s="7"/>
      <c r="BW262" s="7"/>
      <c r="BY262" s="91"/>
      <c r="BZ262" s="98"/>
    </row>
    <row r="263" spans="1:78" ht="20.100000000000001" customHeight="1" x14ac:dyDescent="0.3">
      <c r="A263" s="13">
        <v>257</v>
      </c>
      <c r="B263" s="91" t="s">
        <v>354</v>
      </c>
      <c r="C263" s="92" t="s">
        <v>160</v>
      </c>
      <c r="D263" s="94"/>
      <c r="E263" s="94"/>
      <c r="F263" s="96">
        <v>92868674350</v>
      </c>
      <c r="G263" s="97"/>
      <c r="H263" s="97"/>
      <c r="I263" s="97"/>
      <c r="J263" s="91" t="s">
        <v>64</v>
      </c>
      <c r="K263" s="5">
        <v>200</v>
      </c>
      <c r="L263" s="98">
        <v>1</v>
      </c>
      <c r="M263" s="98">
        <v>248</v>
      </c>
      <c r="N263" s="98"/>
      <c r="O263" s="98"/>
      <c r="P263" s="98"/>
      <c r="Q263" s="42" t="s">
        <v>0</v>
      </c>
      <c r="R263" s="7">
        <v>2</v>
      </c>
      <c r="S263" s="7">
        <v>1</v>
      </c>
      <c r="T263" s="7">
        <v>3</v>
      </c>
      <c r="U263" s="7"/>
      <c r="V263" s="7">
        <v>2</v>
      </c>
      <c r="W263" s="7">
        <v>2</v>
      </c>
      <c r="X263" s="7">
        <v>2</v>
      </c>
      <c r="Y263" s="7">
        <v>3</v>
      </c>
      <c r="Z263" s="7">
        <v>3</v>
      </c>
      <c r="AA263" s="7">
        <v>3</v>
      </c>
      <c r="AB263" s="7"/>
      <c r="AC263" s="7">
        <v>2</v>
      </c>
      <c r="AD263" s="7"/>
      <c r="AE263" s="7">
        <v>6</v>
      </c>
      <c r="AF263" s="7"/>
      <c r="AG263" s="7"/>
      <c r="AH263" s="7"/>
      <c r="AI263" s="7"/>
      <c r="AJ263" s="7"/>
      <c r="AK263" s="7">
        <v>6</v>
      </c>
      <c r="AL263" s="7"/>
      <c r="AM263" s="7"/>
      <c r="AN263" s="7"/>
      <c r="AO263" s="7"/>
      <c r="AP263" s="7"/>
      <c r="AQ263" s="7"/>
      <c r="AR263" s="7"/>
      <c r="AS263" s="7"/>
      <c r="AT263" s="7">
        <v>6</v>
      </c>
      <c r="AU263" s="7">
        <v>2</v>
      </c>
      <c r="AV263" s="7"/>
      <c r="AW263" s="7"/>
      <c r="AX263" s="7">
        <v>5</v>
      </c>
      <c r="AY263" s="7"/>
      <c r="AZ263" s="7">
        <v>6</v>
      </c>
      <c r="BA263" s="7">
        <v>9</v>
      </c>
      <c r="BB263" s="7">
        <v>6</v>
      </c>
      <c r="BC263" s="7"/>
      <c r="BD263" s="7"/>
      <c r="BE263" s="7">
        <v>5</v>
      </c>
      <c r="BF263" s="7">
        <v>4</v>
      </c>
      <c r="BG263" s="7">
        <v>2</v>
      </c>
      <c r="BH263" s="7">
        <v>9</v>
      </c>
      <c r="BI263" s="7">
        <v>3</v>
      </c>
      <c r="BJ263" s="7"/>
      <c r="BK263" s="7"/>
      <c r="BL263" s="7">
        <v>3</v>
      </c>
      <c r="BM263" s="7"/>
      <c r="BN263" s="7">
        <v>3</v>
      </c>
      <c r="BO263" s="7">
        <v>3</v>
      </c>
      <c r="BP263" s="7"/>
      <c r="BQ263" s="7"/>
      <c r="BR263" s="7"/>
      <c r="BS263" s="7">
        <v>3</v>
      </c>
      <c r="BT263" s="7">
        <v>3</v>
      </c>
      <c r="BU263" s="7">
        <v>3</v>
      </c>
      <c r="BV263" s="7"/>
      <c r="BW263" s="7"/>
      <c r="BY263" s="91"/>
      <c r="BZ263" s="98"/>
    </row>
    <row r="264" spans="1:78" ht="20.100000000000001" customHeight="1" thickBot="1" x14ac:dyDescent="0.35">
      <c r="A264" s="13">
        <v>258</v>
      </c>
      <c r="B264" s="4" t="s">
        <v>354</v>
      </c>
      <c r="C264" s="67" t="s">
        <v>160</v>
      </c>
      <c r="D264" s="20"/>
      <c r="E264" s="20"/>
      <c r="F264" s="2">
        <v>92868674350</v>
      </c>
      <c r="H264" s="3"/>
      <c r="J264" s="4" t="s">
        <v>63</v>
      </c>
      <c r="K264" s="5">
        <v>8700</v>
      </c>
      <c r="M264" s="1">
        <v>250</v>
      </c>
      <c r="Q264" s="7" t="s">
        <v>185</v>
      </c>
      <c r="R264" s="7">
        <v>46</v>
      </c>
      <c r="S264" s="7">
        <v>24</v>
      </c>
      <c r="T264" s="7">
        <v>26</v>
      </c>
      <c r="U264" s="7"/>
      <c r="V264" s="7">
        <v>29</v>
      </c>
      <c r="W264" s="7">
        <v>30</v>
      </c>
      <c r="X264" s="7">
        <v>20</v>
      </c>
      <c r="Y264" s="7">
        <v>164</v>
      </c>
      <c r="Z264" s="7">
        <v>164</v>
      </c>
      <c r="AA264" s="7" t="s">
        <v>36</v>
      </c>
      <c r="AB264" s="7"/>
      <c r="AC264" s="7" t="s">
        <v>36</v>
      </c>
      <c r="AD264" s="7">
        <v>81</v>
      </c>
      <c r="AE264" s="7" t="s">
        <v>36</v>
      </c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  <c r="BH264" s="22"/>
      <c r="BI264" s="22"/>
      <c r="BJ264" s="22"/>
      <c r="BK264" s="22"/>
      <c r="BL264" s="22"/>
      <c r="BM264" s="22"/>
      <c r="BN264" s="22"/>
      <c r="BO264" s="22"/>
      <c r="BP264" s="22"/>
      <c r="BQ264" s="22"/>
      <c r="BR264" s="22"/>
      <c r="BS264" s="22"/>
      <c r="BT264" s="22"/>
      <c r="BU264" s="22"/>
      <c r="BV264" s="22"/>
      <c r="BW264" s="22"/>
    </row>
    <row r="265" spans="1:78" s="8" customFormat="1" ht="20.100000000000001" customHeight="1" x14ac:dyDescent="0.3">
      <c r="A265" s="13">
        <v>259</v>
      </c>
      <c r="B265" s="9" t="s">
        <v>354</v>
      </c>
      <c r="C265" s="66" t="s">
        <v>160</v>
      </c>
      <c r="D265" s="46">
        <f>VLOOKUP(F267,[1]SKU리스트!$H:$L,5,FALSE)</f>
        <v>12500</v>
      </c>
      <c r="E265" s="47">
        <f>VLOOKUP(F267,[1]SKU리스트!$H:$AK,30,FALSE)</f>
        <v>5936.363636363636</v>
      </c>
      <c r="F265" s="10" t="s">
        <v>196</v>
      </c>
      <c r="G265" s="11"/>
      <c r="H265" s="11"/>
      <c r="I265" s="11"/>
      <c r="J265" s="9"/>
      <c r="K265" s="12"/>
      <c r="M265" s="8">
        <v>251</v>
      </c>
      <c r="Q265" s="44" t="s">
        <v>125</v>
      </c>
      <c r="R265" s="54">
        <v>4</v>
      </c>
      <c r="S265" s="54">
        <v>1</v>
      </c>
      <c r="T265" s="54">
        <v>1</v>
      </c>
      <c r="U265" s="54">
        <v>2</v>
      </c>
      <c r="V265" s="54">
        <v>0</v>
      </c>
      <c r="W265" s="54">
        <v>3</v>
      </c>
      <c r="X265" s="54">
        <v>3</v>
      </c>
      <c r="Y265" s="54">
        <v>1</v>
      </c>
      <c r="Z265" s="54">
        <v>4</v>
      </c>
      <c r="AA265" s="54">
        <v>1</v>
      </c>
      <c r="AB265" s="54">
        <v>1</v>
      </c>
      <c r="AC265" s="54">
        <v>5</v>
      </c>
      <c r="AD265" s="54">
        <v>3</v>
      </c>
      <c r="AE265" s="54">
        <v>1</v>
      </c>
      <c r="AF265" s="54">
        <v>1</v>
      </c>
      <c r="AG265" s="54">
        <v>1</v>
      </c>
      <c r="AH265" s="54">
        <v>0</v>
      </c>
      <c r="AI265" s="54">
        <v>2</v>
      </c>
      <c r="AJ265" s="54">
        <v>-6</v>
      </c>
      <c r="AK265" s="54">
        <v>-1</v>
      </c>
      <c r="AL265" s="54">
        <v>2</v>
      </c>
      <c r="AM265" s="54">
        <v>0</v>
      </c>
      <c r="AN265" s="54">
        <v>2</v>
      </c>
      <c r="AO265" s="54">
        <v>5</v>
      </c>
      <c r="AP265" s="54">
        <v>3</v>
      </c>
      <c r="AQ265" s="54">
        <v>1</v>
      </c>
      <c r="AR265" s="54">
        <v>3</v>
      </c>
      <c r="AS265" s="54">
        <v>2</v>
      </c>
      <c r="AT265" s="54">
        <v>0</v>
      </c>
      <c r="AU265" s="54">
        <v>2</v>
      </c>
      <c r="AV265" s="54">
        <v>4</v>
      </c>
      <c r="AW265" s="54">
        <v>8</v>
      </c>
      <c r="AX265" s="54">
        <v>4</v>
      </c>
      <c r="AY265" s="54">
        <v>8</v>
      </c>
      <c r="AZ265" s="54">
        <v>6</v>
      </c>
      <c r="BA265" s="54">
        <v>4</v>
      </c>
      <c r="BB265" s="54">
        <v>4</v>
      </c>
      <c r="BC265" s="54">
        <v>2</v>
      </c>
      <c r="BD265" s="54">
        <v>0</v>
      </c>
      <c r="BE265" s="54">
        <v>3</v>
      </c>
      <c r="BF265" s="54">
        <v>3</v>
      </c>
      <c r="BG265" s="54">
        <v>2</v>
      </c>
      <c r="BH265" s="54">
        <v>1</v>
      </c>
      <c r="BI265" s="54">
        <v>1</v>
      </c>
      <c r="BJ265" s="54">
        <v>7</v>
      </c>
      <c r="BK265" s="54">
        <v>1</v>
      </c>
      <c r="BL265" s="54">
        <v>3</v>
      </c>
      <c r="BM265" s="54">
        <v>1</v>
      </c>
      <c r="BN265" s="54">
        <v>1</v>
      </c>
      <c r="BO265" s="54">
        <v>-1</v>
      </c>
      <c r="BP265" s="54">
        <v>0</v>
      </c>
      <c r="BQ265" s="54">
        <v>0</v>
      </c>
      <c r="BR265" s="54">
        <v>0</v>
      </c>
      <c r="BS265" s="54">
        <v>0</v>
      </c>
      <c r="BT265" s="54">
        <v>0</v>
      </c>
      <c r="BU265" s="54"/>
      <c r="BV265" s="54"/>
      <c r="BW265" s="54"/>
      <c r="BX265" s="85">
        <f>VLOOKUP(F265,[1]SKU리스트!$H:$AH,27,FALSE)</f>
        <v>5309</v>
      </c>
      <c r="BY265" s="9"/>
    </row>
    <row r="266" spans="1:78" ht="20.100000000000001" customHeight="1" x14ac:dyDescent="0.3">
      <c r="A266" s="13">
        <v>260</v>
      </c>
      <c r="B266" s="4" t="s">
        <v>354</v>
      </c>
      <c r="C266" s="67" t="s">
        <v>160</v>
      </c>
      <c r="D266" s="1"/>
      <c r="E266" s="1"/>
      <c r="F266" s="2" t="s">
        <v>311</v>
      </c>
      <c r="H266" s="3"/>
      <c r="M266" s="1">
        <v>252</v>
      </c>
      <c r="Q266" s="39" t="s">
        <v>282</v>
      </c>
      <c r="R266" s="5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50"/>
      <c r="AL266" s="50"/>
      <c r="AM266" s="50"/>
      <c r="AN266" s="50"/>
      <c r="AO266" s="53">
        <f>SUM(AI265:AO265)</f>
        <v>4</v>
      </c>
      <c r="AP266" s="51">
        <v>6</v>
      </c>
      <c r="AQ266" s="50"/>
      <c r="AR266" s="50"/>
      <c r="AS266" s="50"/>
      <c r="AT266" s="50"/>
      <c r="AU266" s="50"/>
      <c r="AV266" s="53">
        <f>SUM(AP265:AV265)</f>
        <v>15</v>
      </c>
      <c r="AW266" s="50">
        <v>6</v>
      </c>
      <c r="AX266" s="50"/>
      <c r="AY266" s="50"/>
      <c r="AZ266" s="50"/>
      <c r="BA266" s="50"/>
      <c r="BB266" s="50"/>
      <c r="BC266" s="53">
        <f>SUM(AW265:BC265)</f>
        <v>36</v>
      </c>
      <c r="BD266" s="50">
        <v>22</v>
      </c>
      <c r="BE266" s="50"/>
      <c r="BF266" s="50"/>
      <c r="BG266" s="50"/>
      <c r="BH266" s="50"/>
      <c r="BI266" s="50"/>
      <c r="BJ266" s="53">
        <f>SUM(BD265:BJ265)</f>
        <v>17</v>
      </c>
      <c r="BK266" s="50">
        <v>7</v>
      </c>
      <c r="BL266" s="50"/>
      <c r="BM266" s="50"/>
      <c r="BN266" s="50"/>
      <c r="BO266" s="50"/>
      <c r="BP266" s="50"/>
      <c r="BQ266" s="53">
        <f>SUM(BK265:BQ265)</f>
        <v>5</v>
      </c>
      <c r="BR266" s="50">
        <v>0</v>
      </c>
      <c r="BS266" s="50"/>
      <c r="BT266" s="50"/>
      <c r="BU266" s="50"/>
      <c r="BV266" s="50"/>
      <c r="BW266" s="50"/>
    </row>
    <row r="267" spans="1:78" ht="20.100000000000001" customHeight="1" x14ac:dyDescent="0.3">
      <c r="A267" s="13">
        <v>261</v>
      </c>
      <c r="B267" s="91" t="s">
        <v>354</v>
      </c>
      <c r="C267" s="92" t="s">
        <v>160</v>
      </c>
      <c r="D267" s="91"/>
      <c r="E267" s="91"/>
      <c r="F267" s="96">
        <v>92876152674</v>
      </c>
      <c r="G267" s="97"/>
      <c r="H267" s="97"/>
      <c r="I267" s="97"/>
      <c r="J267" s="91"/>
      <c r="L267" s="98"/>
      <c r="M267" s="98">
        <v>253</v>
      </c>
      <c r="N267" s="98"/>
      <c r="O267" s="98"/>
      <c r="P267" s="98"/>
      <c r="Q267" s="41" t="s">
        <v>1</v>
      </c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 t="str">
        <f>IFERROR(VLOOKUP($F267,[2]원본!$D:$BX,AI$1,FALSE),"")</f>
        <v/>
      </c>
      <c r="AJ267" s="40" t="str">
        <f>IFERROR(VLOOKUP($F267,[2]원본!$D:$BX,AJ$1,FALSE),"")</f>
        <v/>
      </c>
      <c r="AK267" s="40" t="str">
        <f>IFERROR(VLOOKUP($F267,[2]원본!$D:$BX,AK$1,FALSE),"")</f>
        <v/>
      </c>
      <c r="AL267" s="40" t="str">
        <f>IFERROR(VLOOKUP($F267,[2]원본!$D:$BX,AL$1,FALSE),"")</f>
        <v/>
      </c>
      <c r="AM267" s="40" t="str">
        <f>IFERROR(VLOOKUP($F267,[2]원본!$D:$BX,AM$1,FALSE),"")</f>
        <v/>
      </c>
      <c r="AN267" s="40" t="str">
        <f>IFERROR(VLOOKUP($F267,[2]원본!$D:$BX,AN$1,FALSE),"")</f>
        <v/>
      </c>
      <c r="AO267" s="40" t="str">
        <f>IFERROR(VLOOKUP($F267,[2]원본!$D:$BX,AO$1,FALSE),"")</f>
        <v/>
      </c>
      <c r="AP267" s="40" t="str">
        <f>IFERROR(VLOOKUP($F267,[2]원본!$D:$BX,AP$1,FALSE),"")</f>
        <v/>
      </c>
      <c r="AQ267" s="40" t="str">
        <f>IFERROR(VLOOKUP($F267,[2]원본!$D:$BX,AQ$1,FALSE),"")</f>
        <v/>
      </c>
      <c r="AR267" s="40" t="str">
        <f>IFERROR(VLOOKUP($F267,[2]원본!$D:$BX,AR$1,FALSE),"")</f>
        <v/>
      </c>
      <c r="AS267" s="40" t="str">
        <f>IFERROR(VLOOKUP($F267,[2]원본!$D:$BX,AS$1,FALSE),"")</f>
        <v/>
      </c>
      <c r="AT267" s="40" t="str">
        <f>IFERROR(VLOOKUP($F267,[2]원본!$D:$BX,AT$1,FALSE),"")</f>
        <v/>
      </c>
      <c r="AU267" s="40" t="str">
        <f>IFERROR(VLOOKUP($F267,[2]원본!$D:$BX,AU$1,FALSE),"")</f>
        <v/>
      </c>
      <c r="AV267" s="40" t="str">
        <f>IFERROR(VLOOKUP($F267,[2]원본!$D:$BX,AV$1,FALSE),"")</f>
        <v/>
      </c>
      <c r="AW267" s="40" t="str">
        <f>IFERROR(VLOOKUP($F267,[2]원본!$D:$BX,AW$1,FALSE),"")</f>
        <v/>
      </c>
      <c r="AX267" s="40" t="str">
        <f>IFERROR(VLOOKUP($F267,[2]원본!$D:$BX,AX$1,FALSE),"")</f>
        <v/>
      </c>
      <c r="AY267" s="40" t="str">
        <f>IFERROR(VLOOKUP($F267,[2]원본!$D:$BX,AY$1,FALSE),"")</f>
        <v/>
      </c>
      <c r="AZ267" s="40" t="str">
        <f>IFERROR(VLOOKUP($F267,[2]원본!$D:$BX,AZ$1,FALSE),"")</f>
        <v/>
      </c>
      <c r="BA267" s="40" t="str">
        <f>IFERROR(VLOOKUP($F267,[2]원본!$D:$BX,BA$1,FALSE),"")</f>
        <v/>
      </c>
      <c r="BB267" s="40" t="str">
        <f>IFERROR(VLOOKUP($F267,[2]원본!$D:$BX,BB$1,FALSE),"")</f>
        <v/>
      </c>
      <c r="BC267" s="40" t="str">
        <f>IFERROR(VLOOKUP($F267,[2]원본!$D:$BX,BC$1,FALSE),"")</f>
        <v/>
      </c>
      <c r="BD267" s="40" t="str">
        <f>IFERROR(VLOOKUP($F267,[2]원본!$D:$BX,BD$1,FALSE),"")</f>
        <v/>
      </c>
      <c r="BE267" s="40" t="str">
        <f>IFERROR(VLOOKUP($F267,[2]원본!$D:$BX,BE$1,FALSE),"")</f>
        <v/>
      </c>
      <c r="BF267" s="40" t="str">
        <f>IFERROR(VLOOKUP($F267,[2]원본!$D:$BX,BF$1,FALSE),"")</f>
        <v/>
      </c>
      <c r="BG267" s="40" t="str">
        <f>IFERROR(VLOOKUP($F267,[2]원본!$D:$BX,BG$1,FALSE),"")</f>
        <v/>
      </c>
      <c r="BH267" s="40" t="str">
        <f>IFERROR(VLOOKUP($F267,[2]원본!$D:$BX,BH$1,FALSE),"")</f>
        <v/>
      </c>
      <c r="BI267" s="40" t="str">
        <f>IFERROR(VLOOKUP($F267,[2]원본!$D:$BX,BI$1,FALSE),"")</f>
        <v/>
      </c>
      <c r="BJ267" s="40" t="str">
        <f>IFERROR(VLOOKUP($F267,[2]원본!$D:$BX,BJ$1,FALSE),"")</f>
        <v/>
      </c>
      <c r="BK267" s="40" t="str">
        <f>IFERROR(VLOOKUP($F267,[2]원본!$D:$BX,BK$1,FALSE),"")</f>
        <v/>
      </c>
      <c r="BL267" s="40" t="str">
        <f>IFERROR(VLOOKUP($F267,[2]원본!$D:$BX,BL$1,FALSE),"")</f>
        <v/>
      </c>
      <c r="BM267" s="40" t="str">
        <f>IFERROR(VLOOKUP($F267,[2]원본!$D:$BX,BM$1,FALSE),"")</f>
        <v/>
      </c>
      <c r="BN267" s="40" t="str">
        <f>IFERROR(VLOOKUP($F267,[2]원본!$D:$BX,BN$1,FALSE),"")</f>
        <v/>
      </c>
      <c r="BO267" s="40" t="str">
        <f>IFERROR(VLOOKUP($F267,[2]원본!$D:$BX,BO$1,FALSE),"")</f>
        <v/>
      </c>
      <c r="BP267" s="40" t="str">
        <f>IFERROR(VLOOKUP($F267,[2]원본!$D:$BX,BP$1,FALSE),"")</f>
        <v/>
      </c>
      <c r="BQ267" s="40" t="str">
        <f>IFERROR(VLOOKUP($F267,[2]원본!$D:$BX,BQ$1,FALSE),"")</f>
        <v/>
      </c>
      <c r="BR267" s="40" t="str">
        <f>IFERROR(VLOOKUP($F267,[2]원본!$D:$BX,BR$1,FALSE),"")</f>
        <v/>
      </c>
      <c r="BS267" s="40" t="str">
        <f>IFERROR(VLOOKUP($F267,[2]원본!$D:$BX,BS$1,FALSE),"")</f>
        <v/>
      </c>
      <c r="BT267" s="40" t="str">
        <f>IFERROR(VLOOKUP($F267,[2]원본!$D:$BX,BT$1,FALSE),"")</f>
        <v/>
      </c>
      <c r="BU267" s="40" t="str">
        <f>IFERROR(VLOOKUP($F267,[2]원본!$D:$BX,BU$1,FALSE),"")</f>
        <v/>
      </c>
      <c r="BV267" s="40" t="str">
        <f>IFERROR(VLOOKUP($F267,#REF!,BV$1,FALSE),"")</f>
        <v/>
      </c>
      <c r="BW267" s="40"/>
      <c r="BX267" s="26">
        <f>(SUM(R267:BW267)*D265)-(SUM(R267:BW267)*E265)</f>
        <v>0</v>
      </c>
      <c r="BY267" s="91"/>
      <c r="BZ267" s="100" t="str">
        <f>IFERROR(VLOOKUP($F267,#REF!,BZ$1,FALSE),"")</f>
        <v/>
      </c>
    </row>
    <row r="268" spans="1:78" ht="20.100000000000001" customHeight="1" x14ac:dyDescent="0.3">
      <c r="A268" s="13">
        <v>262</v>
      </c>
      <c r="B268" s="91" t="s">
        <v>354</v>
      </c>
      <c r="C268" s="92" t="s">
        <v>160</v>
      </c>
      <c r="D268" s="95" t="s">
        <v>167</v>
      </c>
      <c r="E268" s="91"/>
      <c r="F268" s="96">
        <v>92876152674</v>
      </c>
      <c r="G268" s="97" t="s">
        <v>134</v>
      </c>
      <c r="H268" s="97"/>
      <c r="I268" s="97"/>
      <c r="J268" s="91" t="s">
        <v>61</v>
      </c>
      <c r="K268" s="5">
        <v>2000</v>
      </c>
      <c r="L268" s="98">
        <v>1</v>
      </c>
      <c r="M268" s="98">
        <v>254</v>
      </c>
      <c r="N268" s="98"/>
      <c r="O268" s="98"/>
      <c r="P268" s="98"/>
      <c r="Q268" s="42" t="s">
        <v>0</v>
      </c>
      <c r="R268" s="7"/>
      <c r="S268" s="7"/>
      <c r="T268" s="7">
        <v>8</v>
      </c>
      <c r="U268" s="7"/>
      <c r="V268" s="7">
        <v>13</v>
      </c>
      <c r="W268" s="7">
        <v>11</v>
      </c>
      <c r="X268" s="7">
        <v>19</v>
      </c>
      <c r="Y268" s="7">
        <v>22</v>
      </c>
      <c r="Z268" s="7">
        <v>22</v>
      </c>
      <c r="AA268" s="7">
        <v>21</v>
      </c>
      <c r="AB268" s="7"/>
      <c r="AC268" s="7">
        <v>9</v>
      </c>
      <c r="AD268" s="7"/>
      <c r="AE268" s="7">
        <v>14</v>
      </c>
      <c r="AF268" s="7"/>
      <c r="AG268" s="7"/>
      <c r="AH268" s="7"/>
      <c r="AI268" s="7"/>
      <c r="AJ268" s="7"/>
      <c r="AK268" s="7">
        <v>6</v>
      </c>
      <c r="AL268" s="7"/>
      <c r="AM268" s="7"/>
      <c r="AN268" s="7"/>
      <c r="AO268" s="7"/>
      <c r="AP268" s="7"/>
      <c r="AQ268" s="7"/>
      <c r="AR268" s="7"/>
      <c r="AS268" s="7"/>
      <c r="AT268" s="7">
        <v>17</v>
      </c>
      <c r="AU268" s="7">
        <v>17</v>
      </c>
      <c r="AV268" s="7"/>
      <c r="AW268" s="7"/>
      <c r="AX268" s="7">
        <v>19</v>
      </c>
      <c r="AY268" s="7"/>
      <c r="AZ268" s="7">
        <v>19</v>
      </c>
      <c r="BA268" s="7">
        <v>7</v>
      </c>
      <c r="BB268" s="7">
        <v>122</v>
      </c>
      <c r="BC268" s="7"/>
      <c r="BD268" s="7"/>
      <c r="BE268" s="7"/>
      <c r="BF268" s="7">
        <v>122</v>
      </c>
      <c r="BG268" s="7">
        <v>132</v>
      </c>
      <c r="BH268" s="7">
        <v>7</v>
      </c>
      <c r="BI268" s="7">
        <v>217</v>
      </c>
      <c r="BJ268" s="7"/>
      <c r="BK268" s="7"/>
      <c r="BL268" s="7">
        <v>111</v>
      </c>
      <c r="BM268" s="7"/>
      <c r="BN268" s="7">
        <v>111</v>
      </c>
      <c r="BO268" s="7">
        <v>111</v>
      </c>
      <c r="BP268" s="7"/>
      <c r="BQ268" s="7"/>
      <c r="BR268" s="7"/>
      <c r="BS268" s="7">
        <v>136</v>
      </c>
      <c r="BT268" s="7">
        <v>112</v>
      </c>
      <c r="BU268" s="7">
        <v>131</v>
      </c>
      <c r="BV268" s="7"/>
      <c r="BW268" s="7"/>
      <c r="BY268" s="91"/>
      <c r="BZ268" s="98"/>
    </row>
    <row r="269" spans="1:78" ht="20.100000000000001" customHeight="1" x14ac:dyDescent="0.3">
      <c r="A269" s="13">
        <v>263</v>
      </c>
      <c r="B269" s="4" t="s">
        <v>354</v>
      </c>
      <c r="C269" s="67" t="s">
        <v>160</v>
      </c>
      <c r="D269" s="20"/>
      <c r="E269" s="20"/>
      <c r="F269" s="2">
        <v>92876152674</v>
      </c>
      <c r="H269" s="3"/>
      <c r="J269" s="4" t="s">
        <v>62</v>
      </c>
      <c r="K269" s="5">
        <v>800</v>
      </c>
      <c r="L269" s="1">
        <v>1</v>
      </c>
      <c r="M269" s="1">
        <v>255</v>
      </c>
      <c r="Q269" s="42" t="s">
        <v>0</v>
      </c>
      <c r="R269" s="7"/>
      <c r="S269" s="7"/>
      <c r="T269" s="7">
        <v>17</v>
      </c>
      <c r="U269" s="7"/>
      <c r="V269" s="7">
        <v>31</v>
      </c>
      <c r="W269" s="7">
        <v>8</v>
      </c>
      <c r="X269" s="7">
        <v>26</v>
      </c>
      <c r="Y269" s="7">
        <v>63</v>
      </c>
      <c r="Z269" s="7">
        <v>63</v>
      </c>
      <c r="AA269" s="7">
        <v>33</v>
      </c>
      <c r="AB269" s="7"/>
      <c r="AC269" s="7">
        <v>8</v>
      </c>
      <c r="AD269" s="7"/>
      <c r="AE269" s="7">
        <v>16</v>
      </c>
      <c r="AF269" s="7"/>
      <c r="AG269" s="7"/>
      <c r="AH269" s="7"/>
      <c r="AI269" s="7"/>
      <c r="AJ269" s="7"/>
      <c r="AK269" s="7">
        <v>3</v>
      </c>
      <c r="AL269" s="7"/>
      <c r="AM269" s="7"/>
      <c r="AN269" s="7"/>
      <c r="AO269" s="7"/>
      <c r="AP269" s="7"/>
      <c r="AQ269" s="7"/>
      <c r="AR269" s="7"/>
      <c r="AS269" s="7"/>
      <c r="AT269" s="7">
        <v>7</v>
      </c>
      <c r="AU269" s="7">
        <v>6</v>
      </c>
      <c r="AV269" s="7"/>
      <c r="AW269" s="7"/>
      <c r="AX269" s="7">
        <v>10</v>
      </c>
      <c r="AY269" s="7"/>
      <c r="AZ269" s="7">
        <v>13</v>
      </c>
      <c r="BA269" s="7">
        <v>4</v>
      </c>
      <c r="BB269" s="7">
        <v>14</v>
      </c>
      <c r="BC269" s="7"/>
      <c r="BD269" s="7"/>
      <c r="BE269" s="7">
        <v>18</v>
      </c>
      <c r="BF269" s="7">
        <v>17</v>
      </c>
      <c r="BG269" s="7">
        <v>21</v>
      </c>
      <c r="BH269" s="7">
        <v>4</v>
      </c>
      <c r="BI269" s="7">
        <v>22</v>
      </c>
      <c r="BJ269" s="7"/>
      <c r="BK269" s="7"/>
      <c r="BL269" s="7">
        <v>30</v>
      </c>
      <c r="BM269" s="7"/>
      <c r="BN269" s="7">
        <v>22</v>
      </c>
      <c r="BO269" s="7">
        <v>21</v>
      </c>
      <c r="BP269" s="7"/>
      <c r="BQ269" s="7"/>
      <c r="BR269" s="7"/>
      <c r="BS269" s="7">
        <v>21</v>
      </c>
      <c r="BT269" s="7"/>
      <c r="BU269" s="7"/>
      <c r="BV269" s="7"/>
      <c r="BW269" s="7"/>
    </row>
    <row r="270" spans="1:78" ht="20.100000000000001" customHeight="1" x14ac:dyDescent="0.3">
      <c r="A270" s="13">
        <v>264</v>
      </c>
      <c r="B270" s="4" t="s">
        <v>354</v>
      </c>
      <c r="C270" s="67" t="s">
        <v>160</v>
      </c>
      <c r="D270" s="20"/>
      <c r="E270" s="20"/>
      <c r="F270" s="2">
        <v>92876152674</v>
      </c>
      <c r="H270" s="3"/>
      <c r="J270" s="4" t="s">
        <v>64</v>
      </c>
      <c r="K270" s="5">
        <v>200</v>
      </c>
      <c r="L270" s="1">
        <v>1</v>
      </c>
      <c r="M270" s="1">
        <v>256</v>
      </c>
      <c r="Q270" s="42" t="s">
        <v>0</v>
      </c>
      <c r="R270" s="7">
        <v>1</v>
      </c>
      <c r="S270" s="7">
        <v>1</v>
      </c>
      <c r="T270" s="7">
        <v>2</v>
      </c>
      <c r="U270" s="7"/>
      <c r="V270" s="7">
        <v>3</v>
      </c>
      <c r="W270" s="7">
        <v>1</v>
      </c>
      <c r="X270" s="7">
        <v>2</v>
      </c>
      <c r="Y270" s="7">
        <v>2</v>
      </c>
      <c r="Z270" s="7">
        <v>2</v>
      </c>
      <c r="AA270" s="7">
        <v>2</v>
      </c>
      <c r="AB270" s="7"/>
      <c r="AC270" s="7">
        <v>2</v>
      </c>
      <c r="AD270" s="7"/>
      <c r="AE270" s="7">
        <v>2</v>
      </c>
      <c r="AF270" s="7"/>
      <c r="AG270" s="7"/>
      <c r="AH270" s="7"/>
      <c r="AI270" s="7"/>
      <c r="AJ270" s="7"/>
      <c r="AK270" s="7">
        <v>2</v>
      </c>
      <c r="AL270" s="7"/>
      <c r="AM270" s="7"/>
      <c r="AN270" s="7"/>
      <c r="AO270" s="7"/>
      <c r="AP270" s="7"/>
      <c r="AQ270" s="7"/>
      <c r="AR270" s="7"/>
      <c r="AS270" s="7"/>
      <c r="AT270" s="7">
        <v>6</v>
      </c>
      <c r="AU270" s="7">
        <v>6</v>
      </c>
      <c r="AV270" s="7"/>
      <c r="AW270" s="7"/>
      <c r="AX270" s="7">
        <v>3</v>
      </c>
      <c r="AY270" s="7"/>
      <c r="AZ270" s="7">
        <v>6</v>
      </c>
      <c r="BA270" s="7">
        <v>6</v>
      </c>
      <c r="BB270" s="7">
        <v>3</v>
      </c>
      <c r="BC270" s="7"/>
      <c r="BD270" s="7"/>
      <c r="BE270" s="7">
        <v>3</v>
      </c>
      <c r="BF270" s="7">
        <v>6</v>
      </c>
      <c r="BG270" s="7">
        <v>3</v>
      </c>
      <c r="BH270" s="7">
        <v>6</v>
      </c>
      <c r="BI270" s="7">
        <v>3</v>
      </c>
      <c r="BJ270" s="7"/>
      <c r="BK270" s="7"/>
      <c r="BL270" s="7">
        <v>3</v>
      </c>
      <c r="BM270" s="7"/>
      <c r="BN270" s="7">
        <v>3</v>
      </c>
      <c r="BO270" s="7">
        <v>3</v>
      </c>
      <c r="BP270" s="7"/>
      <c r="BQ270" s="7"/>
      <c r="BR270" s="7"/>
      <c r="BS270" s="7">
        <v>3</v>
      </c>
      <c r="BT270" s="7">
        <v>3</v>
      </c>
      <c r="BU270" s="7">
        <v>3</v>
      </c>
      <c r="BV270" s="7"/>
      <c r="BW270" s="7"/>
    </row>
    <row r="271" spans="1:78" ht="20.100000000000001" customHeight="1" thickBot="1" x14ac:dyDescent="0.35">
      <c r="A271" s="13">
        <v>265</v>
      </c>
      <c r="B271" s="4" t="s">
        <v>354</v>
      </c>
      <c r="C271" s="67" t="s">
        <v>160</v>
      </c>
      <c r="D271" s="20"/>
      <c r="E271" s="20"/>
      <c r="F271" s="2">
        <v>92876152674</v>
      </c>
      <c r="H271" s="3"/>
      <c r="J271" s="4" t="s">
        <v>63</v>
      </c>
      <c r="K271" s="5">
        <v>8700</v>
      </c>
      <c r="M271" s="1">
        <v>257</v>
      </c>
      <c r="Q271" s="7" t="s">
        <v>185</v>
      </c>
      <c r="R271" s="7">
        <v>17</v>
      </c>
      <c r="S271" s="7">
        <v>24</v>
      </c>
      <c r="T271" s="7">
        <v>22</v>
      </c>
      <c r="U271" s="7"/>
      <c r="V271" s="7">
        <v>21</v>
      </c>
      <c r="W271" s="7">
        <v>21</v>
      </c>
      <c r="X271" s="7">
        <v>29</v>
      </c>
      <c r="Y271" s="7">
        <v>164</v>
      </c>
      <c r="Z271" s="7">
        <v>164</v>
      </c>
      <c r="AA271" s="7" t="s">
        <v>36</v>
      </c>
      <c r="AB271" s="7"/>
      <c r="AC271" s="7" t="s">
        <v>36</v>
      </c>
      <c r="AD271" s="7">
        <v>77</v>
      </c>
      <c r="AE271" s="7" t="s">
        <v>36</v>
      </c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2"/>
      <c r="BH271" s="22"/>
      <c r="BI271" s="22"/>
      <c r="BJ271" s="22"/>
      <c r="BK271" s="22"/>
      <c r="BL271" s="22"/>
      <c r="BM271" s="22"/>
      <c r="BN271" s="22"/>
      <c r="BO271" s="22"/>
      <c r="BP271" s="22"/>
      <c r="BQ271" s="22"/>
      <c r="BR271" s="22"/>
      <c r="BS271" s="22"/>
      <c r="BT271" s="22"/>
      <c r="BU271" s="22"/>
      <c r="BV271" s="22"/>
      <c r="BW271" s="22"/>
    </row>
    <row r="272" spans="1:78" s="8" customFormat="1" ht="20.100000000000001" customHeight="1" x14ac:dyDescent="0.3">
      <c r="A272" s="13">
        <v>266</v>
      </c>
      <c r="B272" s="9" t="s">
        <v>355</v>
      </c>
      <c r="C272" s="66" t="s">
        <v>160</v>
      </c>
      <c r="D272" s="46">
        <f>VLOOKUP(F274,[1]SKU리스트!$H:$L,5,FALSE)</f>
        <v>12900</v>
      </c>
      <c r="E272" s="47">
        <f>VLOOKUP(F274,[1]SKU리스트!$H:$AK,30,FALSE)</f>
        <v>3587.0909090909081</v>
      </c>
      <c r="F272" s="10" t="s">
        <v>197</v>
      </c>
      <c r="G272" s="11"/>
      <c r="H272" s="11"/>
      <c r="I272" s="11"/>
      <c r="J272" s="9"/>
      <c r="K272" s="12"/>
      <c r="M272" s="8">
        <v>258</v>
      </c>
      <c r="Q272" s="44" t="s">
        <v>125</v>
      </c>
      <c r="R272" s="54">
        <v>4</v>
      </c>
      <c r="S272" s="54">
        <v>5</v>
      </c>
      <c r="T272" s="54">
        <v>1</v>
      </c>
      <c r="U272" s="54">
        <v>1</v>
      </c>
      <c r="V272" s="54">
        <v>0</v>
      </c>
      <c r="W272" s="54">
        <v>3</v>
      </c>
      <c r="X272" s="54">
        <v>6</v>
      </c>
      <c r="Y272" s="54">
        <v>6</v>
      </c>
      <c r="Z272" s="54">
        <v>4</v>
      </c>
      <c r="AA272" s="54">
        <v>4</v>
      </c>
      <c r="AB272" s="54">
        <v>6</v>
      </c>
      <c r="AC272" s="54">
        <v>6</v>
      </c>
      <c r="AD272" s="54">
        <v>4</v>
      </c>
      <c r="AE272" s="54">
        <v>6</v>
      </c>
      <c r="AF272" s="54">
        <v>3</v>
      </c>
      <c r="AG272" s="54">
        <v>6</v>
      </c>
      <c r="AH272" s="54">
        <v>0</v>
      </c>
      <c r="AI272" s="54">
        <v>0</v>
      </c>
      <c r="AJ272" s="54">
        <v>0</v>
      </c>
      <c r="AK272" s="54">
        <v>0</v>
      </c>
      <c r="AL272" s="54">
        <v>1</v>
      </c>
      <c r="AM272" s="54">
        <v>3</v>
      </c>
      <c r="AN272" s="54">
        <v>2</v>
      </c>
      <c r="AO272" s="54">
        <v>0</v>
      </c>
      <c r="AP272" s="54">
        <v>0</v>
      </c>
      <c r="AQ272" s="54">
        <v>1</v>
      </c>
      <c r="AR272" s="54">
        <v>3</v>
      </c>
      <c r="AS272" s="54">
        <v>2</v>
      </c>
      <c r="AT272" s="54">
        <v>2</v>
      </c>
      <c r="AU272" s="54">
        <v>0</v>
      </c>
      <c r="AV272" s="54">
        <v>1</v>
      </c>
      <c r="AW272" s="54">
        <v>2</v>
      </c>
      <c r="AX272" s="54">
        <v>3</v>
      </c>
      <c r="AY272" s="54">
        <v>0</v>
      </c>
      <c r="AZ272" s="54">
        <v>0</v>
      </c>
      <c r="BA272" s="54">
        <v>0</v>
      </c>
      <c r="BB272" s="54">
        <v>16</v>
      </c>
      <c r="BC272" s="54">
        <v>0</v>
      </c>
      <c r="BD272" s="54">
        <v>1</v>
      </c>
      <c r="BE272" s="54">
        <v>1</v>
      </c>
      <c r="BF272" s="54">
        <v>3</v>
      </c>
      <c r="BG272" s="54">
        <v>2</v>
      </c>
      <c r="BH272" s="54">
        <v>0</v>
      </c>
      <c r="BI272" s="54">
        <v>2</v>
      </c>
      <c r="BJ272" s="54">
        <v>0</v>
      </c>
      <c r="BK272" s="54">
        <v>2</v>
      </c>
      <c r="BL272" s="54">
        <v>0</v>
      </c>
      <c r="BM272" s="54">
        <v>1</v>
      </c>
      <c r="BN272" s="54">
        <v>0</v>
      </c>
      <c r="BO272" s="54">
        <v>4</v>
      </c>
      <c r="BP272" s="54">
        <v>2</v>
      </c>
      <c r="BQ272" s="54">
        <v>0</v>
      </c>
      <c r="BR272" s="54">
        <v>0</v>
      </c>
      <c r="BS272" s="54">
        <v>0</v>
      </c>
      <c r="BT272" s="54">
        <v>1</v>
      </c>
      <c r="BU272" s="54"/>
      <c r="BV272" s="54"/>
      <c r="BW272" s="54"/>
      <c r="BX272" s="85" t="str">
        <f>VLOOKUP(F272,[1]SKU리스트!$H:$AH,27,FALSE)</f>
        <v>광고X</v>
      </c>
      <c r="BY272" s="9"/>
    </row>
    <row r="273" spans="1:78" ht="20.100000000000001" customHeight="1" x14ac:dyDescent="0.3">
      <c r="A273" s="13">
        <v>267</v>
      </c>
      <c r="B273" s="4" t="s">
        <v>355</v>
      </c>
      <c r="C273" s="67" t="s">
        <v>160</v>
      </c>
      <c r="D273" s="1"/>
      <c r="E273" s="1"/>
      <c r="F273" s="2" t="s">
        <v>312</v>
      </c>
      <c r="H273" s="3"/>
      <c r="M273" s="1">
        <v>259</v>
      </c>
      <c r="Q273" s="39" t="s">
        <v>282</v>
      </c>
      <c r="R273" s="5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50"/>
      <c r="AL273" s="50"/>
      <c r="AM273" s="50"/>
      <c r="AN273" s="50"/>
      <c r="AO273" s="53">
        <f>SUM(AI272:AO272)</f>
        <v>6</v>
      </c>
      <c r="AP273" s="51" t="s">
        <v>221</v>
      </c>
      <c r="AQ273" s="50"/>
      <c r="AR273" s="50"/>
      <c r="AS273" s="50"/>
      <c r="AT273" s="50"/>
      <c r="AU273" s="50"/>
      <c r="AV273" s="53">
        <f>SUM(AP272:AV272)</f>
        <v>9</v>
      </c>
      <c r="AW273" s="50" t="s">
        <v>221</v>
      </c>
      <c r="AX273" s="50"/>
      <c r="AY273" s="50"/>
      <c r="AZ273" s="50"/>
      <c r="BA273" s="50"/>
      <c r="BB273" s="50"/>
      <c r="BC273" s="53">
        <f>SUM(AW272:BC272)</f>
        <v>21</v>
      </c>
      <c r="BD273" s="50" t="s">
        <v>221</v>
      </c>
      <c r="BE273" s="50"/>
      <c r="BF273" s="50"/>
      <c r="BG273" s="50"/>
      <c r="BH273" s="50"/>
      <c r="BI273" s="50"/>
      <c r="BJ273" s="53">
        <f>SUM(BD272:BJ272)</f>
        <v>9</v>
      </c>
      <c r="BK273" s="50" t="s">
        <v>221</v>
      </c>
      <c r="BL273" s="50"/>
      <c r="BM273" s="50"/>
      <c r="BN273" s="50"/>
      <c r="BO273" s="50"/>
      <c r="BP273" s="50"/>
      <c r="BQ273" s="53">
        <f>SUM(BK272:BQ272)</f>
        <v>9</v>
      </c>
      <c r="BR273" s="50" t="s">
        <v>221</v>
      </c>
      <c r="BS273" s="50"/>
      <c r="BT273" s="50"/>
      <c r="BU273" s="50"/>
      <c r="BV273" s="50"/>
      <c r="BW273" s="50"/>
    </row>
    <row r="274" spans="1:78" ht="20.100000000000001" customHeight="1" x14ac:dyDescent="0.3">
      <c r="A274" s="13">
        <v>268</v>
      </c>
      <c r="B274" s="91" t="s">
        <v>355</v>
      </c>
      <c r="C274" s="92" t="s">
        <v>160</v>
      </c>
      <c r="D274" s="91"/>
      <c r="E274" s="91"/>
      <c r="F274" s="96">
        <v>91774730750</v>
      </c>
      <c r="G274" s="97"/>
      <c r="H274" s="97"/>
      <c r="I274" s="97"/>
      <c r="J274" s="91"/>
      <c r="L274" s="98"/>
      <c r="M274" s="98">
        <v>260</v>
      </c>
      <c r="N274" s="98"/>
      <c r="O274" s="98"/>
      <c r="P274" s="98"/>
      <c r="Q274" s="41" t="s">
        <v>1</v>
      </c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 t="str">
        <f>IFERROR(VLOOKUP($F274,[2]원본!$D:$BX,AI$1,FALSE),"")</f>
        <v/>
      </c>
      <c r="AJ274" s="40" t="str">
        <f>IFERROR(VLOOKUP($F274,[2]원본!$D:$BX,AJ$1,FALSE),"")</f>
        <v/>
      </c>
      <c r="AK274" s="40" t="str">
        <f>IFERROR(VLOOKUP($F274,[2]원본!$D:$BX,AK$1,FALSE),"")</f>
        <v/>
      </c>
      <c r="AL274" s="40" t="str">
        <f>IFERROR(VLOOKUP($F274,[2]원본!$D:$BX,AL$1,FALSE),"")</f>
        <v/>
      </c>
      <c r="AM274" s="40" t="str">
        <f>IFERROR(VLOOKUP($F274,[2]원본!$D:$BX,AM$1,FALSE),"")</f>
        <v/>
      </c>
      <c r="AN274" s="40" t="str">
        <f>IFERROR(VLOOKUP($F274,[2]원본!$D:$BX,AN$1,FALSE),"")</f>
        <v/>
      </c>
      <c r="AO274" s="40" t="str">
        <f>IFERROR(VLOOKUP($F274,[2]원본!$D:$BX,AO$1,FALSE),"")</f>
        <v/>
      </c>
      <c r="AP274" s="40" t="str">
        <f>IFERROR(VLOOKUP($F274,[2]원본!$D:$BX,AP$1,FALSE),"")</f>
        <v/>
      </c>
      <c r="AQ274" s="40" t="str">
        <f>IFERROR(VLOOKUP($F274,[2]원본!$D:$BX,AQ$1,FALSE),"")</f>
        <v/>
      </c>
      <c r="AR274" s="40" t="str">
        <f>IFERROR(VLOOKUP($F274,[2]원본!$D:$BX,AR$1,FALSE),"")</f>
        <v/>
      </c>
      <c r="AS274" s="40" t="str">
        <f>IFERROR(VLOOKUP($F274,[2]원본!$D:$BX,AS$1,FALSE),"")</f>
        <v/>
      </c>
      <c r="AT274" s="40" t="str">
        <f>IFERROR(VLOOKUP($F274,[2]원본!$D:$BX,AT$1,FALSE),"")</f>
        <v/>
      </c>
      <c r="AU274" s="40" t="str">
        <f>IFERROR(VLOOKUP($F274,[2]원본!$D:$BX,AU$1,FALSE),"")</f>
        <v/>
      </c>
      <c r="AV274" s="40" t="str">
        <f>IFERROR(VLOOKUP($F274,[2]원본!$D:$BX,AV$1,FALSE),"")</f>
        <v/>
      </c>
      <c r="AW274" s="40" t="str">
        <f>IFERROR(VLOOKUP($F274,[2]원본!$D:$BX,AW$1,FALSE),"")</f>
        <v/>
      </c>
      <c r="AX274" s="40" t="str">
        <f>IFERROR(VLOOKUP($F274,[2]원본!$D:$BX,AX$1,FALSE),"")</f>
        <v/>
      </c>
      <c r="AY274" s="40" t="str">
        <f>IFERROR(VLOOKUP($F274,[2]원본!$D:$BX,AY$1,FALSE),"")</f>
        <v/>
      </c>
      <c r="AZ274" s="40" t="str">
        <f>IFERROR(VLOOKUP($F274,[2]원본!$D:$BX,AZ$1,FALSE),"")</f>
        <v/>
      </c>
      <c r="BA274" s="40" t="str">
        <f>IFERROR(VLOOKUP($F274,[2]원본!$D:$BX,BA$1,FALSE),"")</f>
        <v/>
      </c>
      <c r="BB274" s="40" t="str">
        <f>IFERROR(VLOOKUP($F274,[2]원본!$D:$BX,BB$1,FALSE),"")</f>
        <v/>
      </c>
      <c r="BC274" s="40" t="str">
        <f>IFERROR(VLOOKUP($F274,[2]원본!$D:$BX,BC$1,FALSE),"")</f>
        <v/>
      </c>
      <c r="BD274" s="40" t="str">
        <f>IFERROR(VLOOKUP($F274,[2]원본!$D:$BX,BD$1,FALSE),"")</f>
        <v/>
      </c>
      <c r="BE274" s="40" t="str">
        <f>IFERROR(VLOOKUP($F274,[2]원본!$D:$BX,BE$1,FALSE),"")</f>
        <v/>
      </c>
      <c r="BF274" s="40" t="str">
        <f>IFERROR(VLOOKUP($F274,[2]원본!$D:$BX,BF$1,FALSE),"")</f>
        <v/>
      </c>
      <c r="BG274" s="40" t="str">
        <f>IFERROR(VLOOKUP($F274,[2]원본!$D:$BX,BG$1,FALSE),"")</f>
        <v/>
      </c>
      <c r="BH274" s="40" t="str">
        <f>IFERROR(VLOOKUP($F274,[2]원본!$D:$BX,BH$1,FALSE),"")</f>
        <v/>
      </c>
      <c r="BI274" s="40" t="str">
        <f>IFERROR(VLOOKUP($F274,[2]원본!$D:$BX,BI$1,FALSE),"")</f>
        <v/>
      </c>
      <c r="BJ274" s="40" t="str">
        <f>IFERROR(VLOOKUP($F274,[2]원본!$D:$BX,BJ$1,FALSE),"")</f>
        <v/>
      </c>
      <c r="BK274" s="40" t="str">
        <f>IFERROR(VLOOKUP($F274,[2]원본!$D:$BX,BK$1,FALSE),"")</f>
        <v/>
      </c>
      <c r="BL274" s="40" t="str">
        <f>IFERROR(VLOOKUP($F274,[2]원본!$D:$BX,BL$1,FALSE),"")</f>
        <v/>
      </c>
      <c r="BM274" s="40" t="str">
        <f>IFERROR(VLOOKUP($F274,[2]원본!$D:$BX,BM$1,FALSE),"")</f>
        <v/>
      </c>
      <c r="BN274" s="40" t="str">
        <f>IFERROR(VLOOKUP($F274,[2]원본!$D:$BX,BN$1,FALSE),"")</f>
        <v/>
      </c>
      <c r="BO274" s="40" t="str">
        <f>IFERROR(VLOOKUP($F274,[2]원본!$D:$BX,BO$1,FALSE),"")</f>
        <v/>
      </c>
      <c r="BP274" s="40" t="str">
        <f>IFERROR(VLOOKUP($F274,[2]원본!$D:$BX,BP$1,FALSE),"")</f>
        <v/>
      </c>
      <c r="BQ274" s="40" t="str">
        <f>IFERROR(VLOOKUP($F274,[2]원본!$D:$BX,BQ$1,FALSE),"")</f>
        <v/>
      </c>
      <c r="BR274" s="40" t="str">
        <f>IFERROR(VLOOKUP($F274,[2]원본!$D:$BX,BR$1,FALSE),"")</f>
        <v/>
      </c>
      <c r="BS274" s="40" t="str">
        <f>IFERROR(VLOOKUP($F274,[2]원본!$D:$BX,BS$1,FALSE),"")</f>
        <v/>
      </c>
      <c r="BT274" s="40" t="str">
        <f>IFERROR(VLOOKUP($F274,[2]원본!$D:$BX,BT$1,FALSE),"")</f>
        <v/>
      </c>
      <c r="BU274" s="40" t="str">
        <f>IFERROR(VLOOKUP($F274,[2]원본!$D:$BX,BU$1,FALSE),"")</f>
        <v/>
      </c>
      <c r="BV274" s="40" t="str">
        <f>IFERROR(VLOOKUP($F274,#REF!,BV$1,FALSE),"")</f>
        <v/>
      </c>
      <c r="BW274" s="40"/>
      <c r="BX274" s="26">
        <f>(SUM(R274:BW274)*D272)-(SUM(R274:BW274)*E272)</f>
        <v>0</v>
      </c>
      <c r="BY274" s="91"/>
      <c r="BZ274" s="100" t="str">
        <f>IFERROR(VLOOKUP($F274,#REF!,BZ$1,FALSE),"")</f>
        <v/>
      </c>
    </row>
    <row r="275" spans="1:78" ht="20.100000000000001" customHeight="1" x14ac:dyDescent="0.3">
      <c r="A275" s="13">
        <v>269</v>
      </c>
      <c r="B275" s="91" t="s">
        <v>355</v>
      </c>
      <c r="C275" s="92" t="s">
        <v>160</v>
      </c>
      <c r="D275" s="95" t="s">
        <v>65</v>
      </c>
      <c r="E275" s="91"/>
      <c r="F275" s="96">
        <v>91774730750</v>
      </c>
      <c r="G275" s="97" t="s">
        <v>135</v>
      </c>
      <c r="H275" s="97"/>
      <c r="I275" s="97"/>
      <c r="J275" s="91" t="s">
        <v>66</v>
      </c>
      <c r="K275" s="62">
        <v>690900</v>
      </c>
      <c r="L275" s="98">
        <v>1</v>
      </c>
      <c r="M275" s="98">
        <v>261</v>
      </c>
      <c r="N275" s="98"/>
      <c r="O275" s="98"/>
      <c r="P275" s="98"/>
      <c r="Q275" s="42" t="s">
        <v>0</v>
      </c>
      <c r="R275" s="7" t="s">
        <v>36</v>
      </c>
      <c r="S275" s="7"/>
      <c r="T275" s="7" t="s">
        <v>36</v>
      </c>
      <c r="U275" s="7"/>
      <c r="V275" s="7"/>
      <c r="W275" s="7"/>
      <c r="X275" s="7"/>
      <c r="Y275" s="7" t="s">
        <v>54</v>
      </c>
      <c r="Z275" s="7" t="s">
        <v>36</v>
      </c>
      <c r="AA275" s="7" t="s">
        <v>36</v>
      </c>
      <c r="AB275" s="7"/>
      <c r="AC275" s="7" t="s">
        <v>36</v>
      </c>
      <c r="AD275" s="7" t="s">
        <v>36</v>
      </c>
      <c r="AE275" s="7" t="s">
        <v>36</v>
      </c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>
        <v>35</v>
      </c>
      <c r="AU275" s="7">
        <v>31</v>
      </c>
      <c r="AV275" s="7"/>
      <c r="AW275" s="7"/>
      <c r="AX275" s="7"/>
      <c r="AY275" s="7"/>
      <c r="AZ275" s="7"/>
      <c r="BA275" s="7">
        <v>35</v>
      </c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Y275" s="91"/>
      <c r="BZ275" s="98"/>
    </row>
    <row r="276" spans="1:78" ht="20.100000000000001" customHeight="1" x14ac:dyDescent="0.3">
      <c r="A276" s="13">
        <v>270</v>
      </c>
      <c r="B276" s="4" t="s">
        <v>355</v>
      </c>
      <c r="C276" s="67" t="s">
        <v>160</v>
      </c>
      <c r="D276" s="20" t="s">
        <v>67</v>
      </c>
      <c r="E276" s="20"/>
      <c r="F276" s="2">
        <v>91774730750</v>
      </c>
      <c r="H276" s="3"/>
      <c r="J276" s="4" t="s">
        <v>68</v>
      </c>
      <c r="K276" s="62">
        <v>69100</v>
      </c>
      <c r="M276" s="1">
        <v>262</v>
      </c>
      <c r="Q276" s="7" t="s">
        <v>185</v>
      </c>
      <c r="R276" s="7">
        <v>5</v>
      </c>
      <c r="S276" s="7">
        <v>5</v>
      </c>
      <c r="T276" s="7">
        <v>6</v>
      </c>
      <c r="U276" s="7">
        <v>6</v>
      </c>
      <c r="V276" s="7">
        <v>6</v>
      </c>
      <c r="W276" s="7">
        <v>7</v>
      </c>
      <c r="X276" s="7">
        <v>7</v>
      </c>
      <c r="Y276" s="7">
        <v>31</v>
      </c>
      <c r="Z276" s="7">
        <v>31</v>
      </c>
      <c r="AA276" s="7">
        <v>39</v>
      </c>
      <c r="AB276" s="7"/>
      <c r="AC276" s="7">
        <v>58</v>
      </c>
      <c r="AD276" s="7">
        <v>37</v>
      </c>
      <c r="AE276" s="7">
        <v>7</v>
      </c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  <c r="BH276" s="22"/>
      <c r="BI276" s="22"/>
      <c r="BJ276" s="22"/>
      <c r="BK276" s="22"/>
      <c r="BL276" s="22"/>
      <c r="BM276" s="22"/>
      <c r="BN276" s="22"/>
      <c r="BO276" s="22"/>
      <c r="BP276" s="22"/>
      <c r="BQ276" s="22"/>
      <c r="BR276" s="22"/>
      <c r="BS276" s="22"/>
      <c r="BT276" s="22"/>
      <c r="BU276" s="22"/>
      <c r="BV276" s="22"/>
      <c r="BW276" s="22"/>
    </row>
    <row r="277" spans="1:78" s="14" customFormat="1" ht="20.100000000000001" customHeight="1" thickBot="1" x14ac:dyDescent="0.35">
      <c r="A277" s="13">
        <v>271</v>
      </c>
      <c r="B277" s="15" t="s">
        <v>355</v>
      </c>
      <c r="C277" s="68" t="s">
        <v>160</v>
      </c>
      <c r="D277" s="21" t="s">
        <v>69</v>
      </c>
      <c r="E277" s="21"/>
      <c r="F277" s="16">
        <v>91774730750</v>
      </c>
      <c r="G277" s="17"/>
      <c r="H277" s="17"/>
      <c r="I277" s="17"/>
      <c r="J277" s="15" t="s">
        <v>70</v>
      </c>
      <c r="K277" s="63">
        <v>6207</v>
      </c>
      <c r="M277" s="14">
        <v>263</v>
      </c>
      <c r="Q277" s="19" t="s">
        <v>185</v>
      </c>
      <c r="R277" s="19">
        <v>12</v>
      </c>
      <c r="S277" s="19">
        <v>12</v>
      </c>
      <c r="T277" s="19">
        <v>7</v>
      </c>
      <c r="U277" s="19">
        <v>8</v>
      </c>
      <c r="V277" s="19" t="s">
        <v>36</v>
      </c>
      <c r="W277" s="19" t="s">
        <v>36</v>
      </c>
      <c r="X277" s="19" t="s">
        <v>36</v>
      </c>
      <c r="Y277" s="19" t="s">
        <v>54</v>
      </c>
      <c r="Z277" s="19" t="s">
        <v>36</v>
      </c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23"/>
      <c r="AU277" s="23"/>
      <c r="AV277" s="23"/>
      <c r="AW277" s="23"/>
      <c r="AX277" s="23"/>
      <c r="AY277" s="23"/>
      <c r="AZ277" s="23"/>
      <c r="BA277" s="23"/>
      <c r="BB277" s="23"/>
      <c r="BC277" s="23"/>
      <c r="BD277" s="23"/>
      <c r="BE277" s="23"/>
      <c r="BF277" s="23"/>
      <c r="BG277" s="23"/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23"/>
      <c r="BT277" s="23"/>
      <c r="BU277" s="23"/>
      <c r="BV277" s="23"/>
      <c r="BW277" s="23"/>
      <c r="BX277" s="18"/>
      <c r="BY277" s="15"/>
    </row>
    <row r="278" spans="1:78" s="8" customFormat="1" ht="20.100000000000001" customHeight="1" x14ac:dyDescent="0.3">
      <c r="A278" s="13">
        <v>272</v>
      </c>
      <c r="B278" s="9" t="s">
        <v>356</v>
      </c>
      <c r="C278" s="66" t="s">
        <v>160</v>
      </c>
      <c r="D278" s="46">
        <f>VLOOKUP(F280,[1]SKU리스트!$H:$L,5,FALSE)</f>
        <v>15650</v>
      </c>
      <c r="E278" s="47">
        <f>VLOOKUP(F280,[1]SKU리스트!$H:$AK,30,FALSE)</f>
        <v>6453.9090909090901</v>
      </c>
      <c r="F278" s="10" t="s">
        <v>198</v>
      </c>
      <c r="G278" s="11"/>
      <c r="H278" s="11"/>
      <c r="I278" s="11"/>
      <c r="J278" s="9"/>
      <c r="K278" s="12"/>
      <c r="M278" s="8">
        <v>264</v>
      </c>
      <c r="Q278" s="44" t="s">
        <v>125</v>
      </c>
      <c r="R278" s="54">
        <v>1</v>
      </c>
      <c r="S278" s="54">
        <v>1</v>
      </c>
      <c r="T278" s="54">
        <v>2</v>
      </c>
      <c r="U278" s="54">
        <v>4</v>
      </c>
      <c r="V278" s="54">
        <v>0</v>
      </c>
      <c r="W278" s="54">
        <v>0</v>
      </c>
      <c r="X278" s="54">
        <v>2</v>
      </c>
      <c r="Y278" s="54">
        <v>5</v>
      </c>
      <c r="Z278" s="54">
        <v>1</v>
      </c>
      <c r="AA278" s="54">
        <v>1</v>
      </c>
      <c r="AB278" s="54">
        <v>0</v>
      </c>
      <c r="AC278" s="54">
        <v>1</v>
      </c>
      <c r="AD278" s="54">
        <v>1</v>
      </c>
      <c r="AE278" s="54">
        <v>1</v>
      </c>
      <c r="AF278" s="54">
        <v>0</v>
      </c>
      <c r="AG278" s="54">
        <v>0</v>
      </c>
      <c r="AH278" s="54">
        <v>1</v>
      </c>
      <c r="AI278" s="54">
        <v>0</v>
      </c>
      <c r="AJ278" s="54">
        <v>1</v>
      </c>
      <c r="AK278" s="54">
        <v>-1</v>
      </c>
      <c r="AL278" s="54">
        <v>0</v>
      </c>
      <c r="AM278" s="54">
        <v>1</v>
      </c>
      <c r="AN278" s="54">
        <v>1</v>
      </c>
      <c r="AO278" s="54">
        <v>0</v>
      </c>
      <c r="AP278" s="54">
        <v>2</v>
      </c>
      <c r="AQ278" s="54">
        <v>0</v>
      </c>
      <c r="AR278" s="54">
        <v>0</v>
      </c>
      <c r="AS278" s="54">
        <v>0</v>
      </c>
      <c r="AT278" s="54">
        <v>0</v>
      </c>
      <c r="AU278" s="54">
        <v>0</v>
      </c>
      <c r="AV278" s="54">
        <v>0</v>
      </c>
      <c r="AW278" s="54">
        <v>1</v>
      </c>
      <c r="AX278" s="54">
        <v>1</v>
      </c>
      <c r="AY278" s="54">
        <v>0</v>
      </c>
      <c r="AZ278" s="54">
        <v>0</v>
      </c>
      <c r="BA278" s="54">
        <v>0</v>
      </c>
      <c r="BB278" s="54">
        <v>0</v>
      </c>
      <c r="BC278" s="54">
        <v>0</v>
      </c>
      <c r="BD278" s="54">
        <v>0</v>
      </c>
      <c r="BE278" s="54">
        <v>0</v>
      </c>
      <c r="BF278" s="54">
        <v>0</v>
      </c>
      <c r="BG278" s="54">
        <v>1</v>
      </c>
      <c r="BH278" s="54">
        <v>0</v>
      </c>
      <c r="BI278" s="54">
        <v>1</v>
      </c>
      <c r="BJ278" s="54">
        <v>1</v>
      </c>
      <c r="BK278" s="54">
        <v>1</v>
      </c>
      <c r="BL278" s="54">
        <v>0</v>
      </c>
      <c r="BM278" s="54">
        <v>2</v>
      </c>
      <c r="BN278" s="54">
        <v>0</v>
      </c>
      <c r="BO278" s="54">
        <v>0</v>
      </c>
      <c r="BP278" s="54">
        <v>1</v>
      </c>
      <c r="BQ278" s="54">
        <v>0</v>
      </c>
      <c r="BR278" s="54">
        <v>1</v>
      </c>
      <c r="BS278" s="54">
        <v>0</v>
      </c>
      <c r="BT278" s="54">
        <v>0</v>
      </c>
      <c r="BU278" s="54"/>
      <c r="BV278" s="54"/>
      <c r="BW278" s="54"/>
      <c r="BX278" s="85">
        <f>VLOOKUP(F278,[1]SKU리스트!$H:$AH,27,FALSE)</f>
        <v>18482</v>
      </c>
      <c r="BY278" s="9"/>
    </row>
    <row r="279" spans="1:78" ht="20.100000000000001" customHeight="1" x14ac:dyDescent="0.3">
      <c r="A279" s="13">
        <v>273</v>
      </c>
      <c r="B279" s="4" t="s">
        <v>356</v>
      </c>
      <c r="C279" s="67" t="s">
        <v>160</v>
      </c>
      <c r="D279" s="1"/>
      <c r="E279" s="1"/>
      <c r="F279" s="2" t="s">
        <v>313</v>
      </c>
      <c r="H279" s="3"/>
      <c r="M279" s="1">
        <v>265</v>
      </c>
      <c r="Q279" s="39" t="s">
        <v>282</v>
      </c>
      <c r="R279" s="5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50"/>
      <c r="AL279" s="50"/>
      <c r="AM279" s="50"/>
      <c r="AN279" s="50"/>
      <c r="AO279" s="53">
        <f>SUM(AI278:AO278)</f>
        <v>2</v>
      </c>
      <c r="AP279" s="51">
        <v>2</v>
      </c>
      <c r="AQ279" s="50"/>
      <c r="AR279" s="50"/>
      <c r="AS279" s="50"/>
      <c r="AT279" s="50"/>
      <c r="AU279" s="50"/>
      <c r="AV279" s="53">
        <f>SUM(AP278:AV278)</f>
        <v>2</v>
      </c>
      <c r="AW279" s="50">
        <v>1</v>
      </c>
      <c r="AX279" s="50"/>
      <c r="AY279" s="50"/>
      <c r="AZ279" s="50"/>
      <c r="BA279" s="50"/>
      <c r="BB279" s="50"/>
      <c r="BC279" s="53">
        <f>SUM(AW278:BC278)</f>
        <v>2</v>
      </c>
      <c r="BD279" s="50">
        <v>0</v>
      </c>
      <c r="BE279" s="50"/>
      <c r="BF279" s="50"/>
      <c r="BG279" s="50"/>
      <c r="BH279" s="50"/>
      <c r="BI279" s="50"/>
      <c r="BJ279" s="53">
        <f>SUM(BD278:BJ278)</f>
        <v>3</v>
      </c>
      <c r="BK279" s="50">
        <v>2</v>
      </c>
      <c r="BL279" s="50"/>
      <c r="BM279" s="50"/>
      <c r="BN279" s="50"/>
      <c r="BO279" s="50"/>
      <c r="BP279" s="50"/>
      <c r="BQ279" s="53">
        <f>SUM(BK278:BQ278)</f>
        <v>4</v>
      </c>
      <c r="BR279" s="50">
        <v>1</v>
      </c>
      <c r="BS279" s="50"/>
      <c r="BT279" s="50"/>
      <c r="BU279" s="50"/>
      <c r="BV279" s="50"/>
      <c r="BW279" s="50"/>
    </row>
    <row r="280" spans="1:78" ht="20.100000000000001" customHeight="1" x14ac:dyDescent="0.3">
      <c r="A280" s="13">
        <v>274</v>
      </c>
      <c r="B280" s="4" t="s">
        <v>356</v>
      </c>
      <c r="C280" s="67" t="s">
        <v>160</v>
      </c>
      <c r="F280" s="2">
        <v>92868646878</v>
      </c>
      <c r="H280" s="3"/>
      <c r="M280" s="1">
        <v>266</v>
      </c>
      <c r="Q280" s="41" t="s">
        <v>1</v>
      </c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 t="str">
        <f>IFERROR(VLOOKUP($F280,[2]원본!$D:$BX,AI$1,FALSE),"")</f>
        <v/>
      </c>
      <c r="AJ280" s="40" t="str">
        <f>IFERROR(VLOOKUP($F280,[2]원본!$D:$BX,AJ$1,FALSE),"")</f>
        <v/>
      </c>
      <c r="AK280" s="40" t="str">
        <f>IFERROR(VLOOKUP($F280,[2]원본!$D:$BX,AK$1,FALSE),"")</f>
        <v/>
      </c>
      <c r="AL280" s="40" t="str">
        <f>IFERROR(VLOOKUP($F280,[2]원본!$D:$BX,AL$1,FALSE),"")</f>
        <v/>
      </c>
      <c r="AM280" s="40" t="str">
        <f>IFERROR(VLOOKUP($F280,[2]원본!$D:$BX,AM$1,FALSE),"")</f>
        <v/>
      </c>
      <c r="AN280" s="40" t="str">
        <f>IFERROR(VLOOKUP($F280,[2]원본!$D:$BX,AN$1,FALSE),"")</f>
        <v/>
      </c>
      <c r="AO280" s="40" t="str">
        <f>IFERROR(VLOOKUP($F280,[2]원본!$D:$BX,AO$1,FALSE),"")</f>
        <v/>
      </c>
      <c r="AP280" s="40" t="str">
        <f>IFERROR(VLOOKUP($F280,[2]원본!$D:$BX,AP$1,FALSE),"")</f>
        <v/>
      </c>
      <c r="AQ280" s="40" t="str">
        <f>IFERROR(VLOOKUP($F280,[2]원본!$D:$BX,AQ$1,FALSE),"")</f>
        <v/>
      </c>
      <c r="AR280" s="40" t="str">
        <f>IFERROR(VLOOKUP($F280,[2]원본!$D:$BX,AR$1,FALSE),"")</f>
        <v/>
      </c>
      <c r="AS280" s="40" t="str">
        <f>IFERROR(VLOOKUP($F280,[2]원본!$D:$BX,AS$1,FALSE),"")</f>
        <v/>
      </c>
      <c r="AT280" s="40" t="str">
        <f>IFERROR(VLOOKUP($F280,[2]원본!$D:$BX,AT$1,FALSE),"")</f>
        <v/>
      </c>
      <c r="AU280" s="40" t="str">
        <f>IFERROR(VLOOKUP($F280,[2]원본!$D:$BX,AU$1,FALSE),"")</f>
        <v/>
      </c>
      <c r="AV280" s="40" t="str">
        <f>IFERROR(VLOOKUP($F280,[2]원본!$D:$BX,AV$1,FALSE),"")</f>
        <v/>
      </c>
      <c r="AW280" s="40" t="str">
        <f>IFERROR(VLOOKUP($F280,[2]원본!$D:$BX,AW$1,FALSE),"")</f>
        <v/>
      </c>
      <c r="AX280" s="40" t="str">
        <f>IFERROR(VLOOKUP($F280,[2]원본!$D:$BX,AX$1,FALSE),"")</f>
        <v/>
      </c>
      <c r="AY280" s="40" t="str">
        <f>IFERROR(VLOOKUP($F280,[2]원본!$D:$BX,AY$1,FALSE),"")</f>
        <v/>
      </c>
      <c r="AZ280" s="40" t="str">
        <f>IFERROR(VLOOKUP($F280,[2]원본!$D:$BX,AZ$1,FALSE),"")</f>
        <v/>
      </c>
      <c r="BA280" s="40" t="str">
        <f>IFERROR(VLOOKUP($F280,[2]원본!$D:$BX,BA$1,FALSE),"")</f>
        <v/>
      </c>
      <c r="BB280" s="40" t="str">
        <f>IFERROR(VLOOKUP($F280,[2]원본!$D:$BX,BB$1,FALSE),"")</f>
        <v/>
      </c>
      <c r="BC280" s="40" t="str">
        <f>IFERROR(VLOOKUP($F280,[2]원본!$D:$BX,BC$1,FALSE),"")</f>
        <v/>
      </c>
      <c r="BD280" s="40" t="str">
        <f>IFERROR(VLOOKUP($F280,[2]원본!$D:$BX,BD$1,FALSE),"")</f>
        <v/>
      </c>
      <c r="BE280" s="40" t="str">
        <f>IFERROR(VLOOKUP($F280,[2]원본!$D:$BX,BE$1,FALSE),"")</f>
        <v/>
      </c>
      <c r="BF280" s="40" t="str">
        <f>IFERROR(VLOOKUP($F280,[2]원본!$D:$BX,BF$1,FALSE),"")</f>
        <v/>
      </c>
      <c r="BG280" s="40" t="str">
        <f>IFERROR(VLOOKUP($F280,[2]원본!$D:$BX,BG$1,FALSE),"")</f>
        <v/>
      </c>
      <c r="BH280" s="40" t="str">
        <f>IFERROR(VLOOKUP($F280,[2]원본!$D:$BX,BH$1,FALSE),"")</f>
        <v/>
      </c>
      <c r="BI280" s="40" t="str">
        <f>IFERROR(VLOOKUP($F280,[2]원본!$D:$BX,BI$1,FALSE),"")</f>
        <v/>
      </c>
      <c r="BJ280" s="40" t="str">
        <f>IFERROR(VLOOKUP($F280,[2]원본!$D:$BX,BJ$1,FALSE),"")</f>
        <v/>
      </c>
      <c r="BK280" s="40" t="str">
        <f>IFERROR(VLOOKUP($F280,[2]원본!$D:$BX,BK$1,FALSE),"")</f>
        <v/>
      </c>
      <c r="BL280" s="40" t="str">
        <f>IFERROR(VLOOKUP($F280,[2]원본!$D:$BX,BL$1,FALSE),"")</f>
        <v/>
      </c>
      <c r="BM280" s="40" t="str">
        <f>IFERROR(VLOOKUP($F280,[2]원본!$D:$BX,BM$1,FALSE),"")</f>
        <v/>
      </c>
      <c r="BN280" s="40" t="str">
        <f>IFERROR(VLOOKUP($F280,[2]원본!$D:$BX,BN$1,FALSE),"")</f>
        <v/>
      </c>
      <c r="BO280" s="40" t="str">
        <f>IFERROR(VLOOKUP($F280,[2]원본!$D:$BX,BO$1,FALSE),"")</f>
        <v/>
      </c>
      <c r="BP280" s="40" t="str">
        <f>IFERROR(VLOOKUP($F280,[2]원본!$D:$BX,BP$1,FALSE),"")</f>
        <v/>
      </c>
      <c r="BQ280" s="40" t="str">
        <f>IFERROR(VLOOKUP($F280,[2]원본!$D:$BX,BQ$1,FALSE),"")</f>
        <v/>
      </c>
      <c r="BR280" s="40" t="str">
        <f>IFERROR(VLOOKUP($F280,[2]원본!$D:$BX,BR$1,FALSE),"")</f>
        <v/>
      </c>
      <c r="BS280" s="40" t="str">
        <f>IFERROR(VLOOKUP($F280,[2]원본!$D:$BX,BS$1,FALSE),"")</f>
        <v/>
      </c>
      <c r="BT280" s="40" t="str">
        <f>IFERROR(VLOOKUP($F280,[2]원본!$D:$BX,BT$1,FALSE),"")</f>
        <v/>
      </c>
      <c r="BU280" s="40" t="str">
        <f>IFERROR(VLOOKUP($F280,[2]원본!$D:$BX,BU$1,FALSE),"")</f>
        <v/>
      </c>
      <c r="BV280" s="40" t="str">
        <f>IFERROR(VLOOKUP($F280,#REF!,BV$1,FALSE),"")</f>
        <v/>
      </c>
      <c r="BW280" s="40"/>
      <c r="BX280" s="26">
        <f>(SUM(R280:BW280)*D278)-(SUM(R280:BW280)*E278)</f>
        <v>0</v>
      </c>
      <c r="BZ280" s="100" t="str">
        <f>IFERROR(VLOOKUP($F280,#REF!,BZ$1,FALSE),"")</f>
        <v/>
      </c>
    </row>
    <row r="281" spans="1:78" ht="20.100000000000001" customHeight="1" x14ac:dyDescent="0.3">
      <c r="A281" s="13">
        <v>275</v>
      </c>
      <c r="B281" s="91" t="s">
        <v>356</v>
      </c>
      <c r="C281" s="92" t="s">
        <v>160</v>
      </c>
      <c r="D281" s="95" t="s">
        <v>168</v>
      </c>
      <c r="E281" s="94"/>
      <c r="F281" s="96">
        <v>92868646878</v>
      </c>
      <c r="G281" s="97" t="s">
        <v>136</v>
      </c>
      <c r="H281" s="97"/>
      <c r="I281" s="97"/>
      <c r="J281" s="91" t="s">
        <v>74</v>
      </c>
      <c r="K281" s="62">
        <v>395700</v>
      </c>
      <c r="L281" s="98"/>
      <c r="M281" s="98">
        <v>269</v>
      </c>
      <c r="N281" s="98"/>
      <c r="O281" s="98"/>
      <c r="P281" s="98"/>
      <c r="Q281" s="7" t="s">
        <v>185</v>
      </c>
      <c r="R281" s="7"/>
      <c r="S281" s="7"/>
      <c r="T281" s="7"/>
      <c r="U281" s="7"/>
      <c r="V281" s="7"/>
      <c r="W281" s="7"/>
      <c r="X281" s="7"/>
      <c r="Y281" s="7" t="s">
        <v>54</v>
      </c>
      <c r="Z281" s="7">
        <v>135</v>
      </c>
      <c r="AA281" s="7">
        <v>127</v>
      </c>
      <c r="AB281" s="7"/>
      <c r="AC281" s="7">
        <v>75</v>
      </c>
      <c r="AD281" s="7" t="s">
        <v>36</v>
      </c>
      <c r="AE281" s="7">
        <v>60</v>
      </c>
      <c r="AF281" s="7">
        <v>45</v>
      </c>
      <c r="AG281" s="7"/>
      <c r="AH281" s="7"/>
      <c r="AI281" s="7"/>
      <c r="AJ281" s="7"/>
      <c r="AK281" s="7">
        <v>16</v>
      </c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>
        <v>39</v>
      </c>
      <c r="BB281" s="7"/>
      <c r="BC281" s="7"/>
      <c r="BD281" s="7"/>
      <c r="BE281" s="7"/>
      <c r="BF281" s="7"/>
      <c r="BG281" s="7"/>
      <c r="BH281" s="7">
        <v>39</v>
      </c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Y281" s="91"/>
      <c r="BZ281" s="98"/>
    </row>
    <row r="282" spans="1:78" ht="20.100000000000001" customHeight="1" x14ac:dyDescent="0.3">
      <c r="A282" s="13">
        <v>276</v>
      </c>
      <c r="B282" s="91" t="s">
        <v>356</v>
      </c>
      <c r="C282" s="92" t="s">
        <v>160</v>
      </c>
      <c r="D282" s="94" t="s">
        <v>73</v>
      </c>
      <c r="E282" s="91"/>
      <c r="F282" s="96">
        <v>92868646878</v>
      </c>
      <c r="G282" s="97"/>
      <c r="H282" s="97"/>
      <c r="I282" s="97"/>
      <c r="J282" s="91" t="s">
        <v>71</v>
      </c>
      <c r="K282" s="62">
        <v>189400</v>
      </c>
      <c r="L282" s="98"/>
      <c r="M282" s="98">
        <v>267</v>
      </c>
      <c r="N282" s="98"/>
      <c r="O282" s="98"/>
      <c r="P282" s="98"/>
      <c r="Q282" s="7" t="s">
        <v>185</v>
      </c>
      <c r="R282" s="7"/>
      <c r="S282" s="7"/>
      <c r="T282" s="7"/>
      <c r="U282" s="7"/>
      <c r="V282" s="7"/>
      <c r="W282" s="7"/>
      <c r="X282" s="7"/>
      <c r="Y282" s="7" t="s">
        <v>54</v>
      </c>
      <c r="Z282" s="7" t="s">
        <v>36</v>
      </c>
      <c r="AA282" s="7" t="s">
        <v>36</v>
      </c>
      <c r="AB282" s="7"/>
      <c r="AC282" s="7" t="s">
        <v>36</v>
      </c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22"/>
      <c r="AU282" s="22"/>
      <c r="AV282" s="22"/>
      <c r="AW282" s="22"/>
      <c r="AX282" s="22"/>
      <c r="AY282" s="22"/>
      <c r="AZ282" s="22"/>
      <c r="BA282" s="22"/>
      <c r="BB282" s="22"/>
      <c r="BC282" s="22"/>
      <c r="BD282" s="22"/>
      <c r="BE282" s="22"/>
      <c r="BF282" s="22"/>
      <c r="BG282" s="22"/>
      <c r="BH282" s="22"/>
      <c r="BI282" s="22"/>
      <c r="BJ282" s="22"/>
      <c r="BK282" s="22"/>
      <c r="BL282" s="22"/>
      <c r="BM282" s="22"/>
      <c r="BN282" s="22"/>
      <c r="BO282" s="22"/>
      <c r="BP282" s="22"/>
      <c r="BQ282" s="22"/>
      <c r="BR282" s="22"/>
      <c r="BS282" s="22"/>
      <c r="BT282" s="22"/>
      <c r="BU282" s="22"/>
      <c r="BV282" s="22"/>
      <c r="BW282" s="22"/>
      <c r="BY282" s="91"/>
      <c r="BZ282" s="98"/>
    </row>
    <row r="283" spans="1:78" ht="20.100000000000001" customHeight="1" x14ac:dyDescent="0.3">
      <c r="A283" s="13">
        <v>277</v>
      </c>
      <c r="B283" s="91" t="s">
        <v>356</v>
      </c>
      <c r="C283" s="92" t="s">
        <v>160</v>
      </c>
      <c r="D283" s="94"/>
      <c r="E283" s="94"/>
      <c r="F283" s="96">
        <v>92868646878</v>
      </c>
      <c r="G283" s="97"/>
      <c r="H283" s="97"/>
      <c r="I283" s="97"/>
      <c r="J283" s="91" t="s">
        <v>72</v>
      </c>
      <c r="K283" s="62">
        <v>155700</v>
      </c>
      <c r="L283" s="98"/>
      <c r="M283" s="98">
        <v>268</v>
      </c>
      <c r="N283" s="98"/>
      <c r="O283" s="98"/>
      <c r="P283" s="98"/>
      <c r="Q283" s="7" t="s">
        <v>185</v>
      </c>
      <c r="R283" s="7"/>
      <c r="S283" s="7"/>
      <c r="T283" s="7"/>
      <c r="U283" s="7"/>
      <c r="V283" s="7"/>
      <c r="W283" s="7"/>
      <c r="X283" s="7"/>
      <c r="Y283" s="7" t="s">
        <v>54</v>
      </c>
      <c r="Z283" s="7">
        <v>72</v>
      </c>
      <c r="AA283" s="7">
        <v>66</v>
      </c>
      <c r="AB283" s="7"/>
      <c r="AC283" s="7">
        <v>68</v>
      </c>
      <c r="AD283" s="7" t="s">
        <v>36</v>
      </c>
      <c r="AE283" s="7">
        <v>39</v>
      </c>
      <c r="AF283" s="7">
        <v>34</v>
      </c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>
        <v>28</v>
      </c>
      <c r="BB283" s="7"/>
      <c r="BC283" s="7"/>
      <c r="BD283" s="7"/>
      <c r="BE283" s="7"/>
      <c r="BF283" s="7"/>
      <c r="BG283" s="7"/>
      <c r="BH283" s="7">
        <v>28</v>
      </c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106"/>
      <c r="BU283" s="106"/>
      <c r="BV283" s="106"/>
      <c r="BW283" s="106"/>
      <c r="BY283" s="91"/>
      <c r="BZ283" s="98"/>
    </row>
    <row r="284" spans="1:78" ht="20.100000000000001" customHeight="1" x14ac:dyDescent="0.3">
      <c r="A284" s="13">
        <v>278</v>
      </c>
      <c r="B284" s="91" t="s">
        <v>356</v>
      </c>
      <c r="C284" s="92" t="s">
        <v>160</v>
      </c>
      <c r="D284" s="94"/>
      <c r="E284" s="94"/>
      <c r="F284" s="96">
        <v>92868646878</v>
      </c>
      <c r="G284" s="97"/>
      <c r="H284" s="97"/>
      <c r="I284" s="97"/>
      <c r="J284" s="91" t="s">
        <v>75</v>
      </c>
      <c r="K284" s="5">
        <v>16000</v>
      </c>
      <c r="L284" s="98">
        <v>1</v>
      </c>
      <c r="M284" s="98">
        <v>270</v>
      </c>
      <c r="N284" s="98"/>
      <c r="O284" s="98"/>
      <c r="P284" s="98"/>
      <c r="Q284" s="42" t="s">
        <v>0</v>
      </c>
      <c r="R284" s="7"/>
      <c r="S284" s="7"/>
      <c r="T284" s="7"/>
      <c r="U284" s="7"/>
      <c r="V284" s="7"/>
      <c r="W284" s="7"/>
      <c r="X284" s="7"/>
      <c r="Y284" s="7" t="s">
        <v>54</v>
      </c>
      <c r="Z284" s="7" t="s">
        <v>36</v>
      </c>
      <c r="AA284" s="7" t="s">
        <v>36</v>
      </c>
      <c r="AB284" s="7"/>
      <c r="AC284" s="7">
        <v>8</v>
      </c>
      <c r="AD284" s="7">
        <v>9</v>
      </c>
      <c r="AE284" s="7">
        <v>2</v>
      </c>
      <c r="AF284" s="7">
        <v>2</v>
      </c>
      <c r="AG284" s="7"/>
      <c r="AH284" s="7"/>
      <c r="AI284" s="7"/>
      <c r="AJ284" s="7"/>
      <c r="AK284" s="7">
        <v>2</v>
      </c>
      <c r="AL284" s="7"/>
      <c r="AM284" s="7"/>
      <c r="AN284" s="7"/>
      <c r="AO284" s="7"/>
      <c r="AP284" s="7"/>
      <c r="AQ284" s="7"/>
      <c r="AR284" s="7"/>
      <c r="AS284" s="7"/>
      <c r="AT284" s="7">
        <v>20</v>
      </c>
      <c r="AU284" s="7">
        <v>16</v>
      </c>
      <c r="AV284" s="7"/>
      <c r="AW284" s="7"/>
      <c r="AX284" s="7">
        <v>15</v>
      </c>
      <c r="AY284" s="7"/>
      <c r="AZ284" s="7">
        <v>16</v>
      </c>
      <c r="BA284" s="7">
        <v>2</v>
      </c>
      <c r="BB284" s="7">
        <v>19</v>
      </c>
      <c r="BC284" s="7"/>
      <c r="BD284" s="7"/>
      <c r="BE284" s="7">
        <v>16</v>
      </c>
      <c r="BF284" s="7">
        <v>12</v>
      </c>
      <c r="BG284" s="7">
        <v>13</v>
      </c>
      <c r="BH284" s="7">
        <v>2</v>
      </c>
      <c r="BI284" s="7">
        <v>11</v>
      </c>
      <c r="BJ284" s="7"/>
      <c r="BK284" s="7"/>
      <c r="BL284" s="7">
        <v>6</v>
      </c>
      <c r="BM284" s="7"/>
      <c r="BN284" s="7">
        <v>6</v>
      </c>
      <c r="BO284" s="7">
        <v>6</v>
      </c>
      <c r="BP284" s="7"/>
      <c r="BQ284" s="7"/>
      <c r="BR284" s="7"/>
      <c r="BS284" s="7">
        <v>6</v>
      </c>
      <c r="BT284" s="7">
        <v>6</v>
      </c>
      <c r="BU284" s="7">
        <v>6</v>
      </c>
      <c r="BV284" s="7"/>
      <c r="BW284" s="7"/>
      <c r="BY284" s="91"/>
      <c r="BZ284" s="98"/>
    </row>
    <row r="285" spans="1:78" s="14" customFormat="1" ht="20.100000000000001" customHeight="1" thickBot="1" x14ac:dyDescent="0.35">
      <c r="A285" s="13">
        <v>279</v>
      </c>
      <c r="B285" s="15" t="s">
        <v>356</v>
      </c>
      <c r="C285" s="68" t="s">
        <v>160</v>
      </c>
      <c r="D285" s="21"/>
      <c r="E285" s="21"/>
      <c r="F285" s="16">
        <v>92868646878</v>
      </c>
      <c r="G285" s="17"/>
      <c r="H285" s="17"/>
      <c r="I285" s="17"/>
      <c r="J285" s="15" t="s">
        <v>76</v>
      </c>
      <c r="K285" s="18">
        <v>100</v>
      </c>
      <c r="M285" s="14">
        <v>271</v>
      </c>
      <c r="Q285" s="19" t="s">
        <v>185</v>
      </c>
      <c r="R285" s="19">
        <v>1</v>
      </c>
      <c r="S285" s="19">
        <v>1</v>
      </c>
      <c r="T285" s="19">
        <v>1</v>
      </c>
      <c r="U285" s="19"/>
      <c r="V285" s="19">
        <v>1</v>
      </c>
      <c r="W285" s="19">
        <v>1</v>
      </c>
      <c r="X285" s="19">
        <v>1</v>
      </c>
      <c r="Y285" s="19">
        <v>1</v>
      </c>
      <c r="Z285" s="19">
        <v>38</v>
      </c>
      <c r="AA285" s="19">
        <v>36</v>
      </c>
      <c r="AB285" s="19"/>
      <c r="AC285" s="19">
        <v>37</v>
      </c>
      <c r="AD285" s="19"/>
      <c r="AE285" s="19">
        <v>11</v>
      </c>
      <c r="AF285" s="19"/>
      <c r="AG285" s="19"/>
      <c r="AH285" s="19"/>
      <c r="AI285" s="19"/>
      <c r="AJ285" s="19"/>
      <c r="AK285" s="19">
        <v>32</v>
      </c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/>
      <c r="AY285" s="19"/>
      <c r="AZ285" s="19"/>
      <c r="BA285" s="19">
        <v>41</v>
      </c>
      <c r="BB285" s="19"/>
      <c r="BC285" s="19"/>
      <c r="BD285" s="19"/>
      <c r="BE285" s="19"/>
      <c r="BF285" s="19"/>
      <c r="BG285" s="19"/>
      <c r="BH285" s="19">
        <v>41</v>
      </c>
      <c r="BI285" s="19"/>
      <c r="BJ285" s="19"/>
      <c r="BK285" s="19"/>
      <c r="BL285" s="19"/>
      <c r="BM285" s="19"/>
      <c r="BN285" s="19"/>
      <c r="BO285" s="19"/>
      <c r="BP285" s="19"/>
      <c r="BQ285" s="19"/>
      <c r="BR285" s="19"/>
      <c r="BS285" s="19"/>
      <c r="BT285" s="107"/>
      <c r="BU285" s="107"/>
      <c r="BV285" s="107"/>
      <c r="BW285" s="107"/>
      <c r="BX285" s="18"/>
      <c r="BY285" s="15"/>
    </row>
    <row r="286" spans="1:78" s="8" customFormat="1" ht="20.100000000000001" customHeight="1" x14ac:dyDescent="0.3">
      <c r="A286" s="13">
        <v>280</v>
      </c>
      <c r="B286" s="9" t="s">
        <v>357</v>
      </c>
      <c r="C286" s="66" t="s">
        <v>160</v>
      </c>
      <c r="D286" s="46">
        <f>VLOOKUP(F288,[1]SKU리스트!$H:$L,5,FALSE)</f>
        <v>88000</v>
      </c>
      <c r="E286" s="47">
        <f>VLOOKUP(F288,[1]SKU리스트!$H:$AK,30,FALSE)</f>
        <v>30260</v>
      </c>
      <c r="F286" s="10" t="s">
        <v>186</v>
      </c>
      <c r="G286" s="11"/>
      <c r="H286" s="11"/>
      <c r="I286" s="11"/>
      <c r="J286" s="9"/>
      <c r="K286" s="12"/>
      <c r="M286" s="8">
        <v>272</v>
      </c>
      <c r="Q286" s="44" t="s">
        <v>125</v>
      </c>
      <c r="R286" s="54">
        <v>0</v>
      </c>
      <c r="S286" s="54">
        <v>0</v>
      </c>
      <c r="T286" s="54">
        <v>0</v>
      </c>
      <c r="U286" s="54">
        <v>1</v>
      </c>
      <c r="V286" s="54">
        <v>0</v>
      </c>
      <c r="W286" s="54">
        <v>0</v>
      </c>
      <c r="X286" s="54">
        <v>2</v>
      </c>
      <c r="Y286" s="54">
        <v>0</v>
      </c>
      <c r="Z286" s="54">
        <v>0</v>
      </c>
      <c r="AA286" s="54">
        <v>0</v>
      </c>
      <c r="AB286" s="54">
        <v>0</v>
      </c>
      <c r="AC286" s="54">
        <v>0</v>
      </c>
      <c r="AD286" s="54">
        <v>0</v>
      </c>
      <c r="AE286" s="54">
        <v>0</v>
      </c>
      <c r="AF286" s="54">
        <v>0</v>
      </c>
      <c r="AG286" s="54">
        <v>0</v>
      </c>
      <c r="AH286" s="54">
        <v>0</v>
      </c>
      <c r="AI286" s="54">
        <v>0</v>
      </c>
      <c r="AJ286" s="54">
        <v>0</v>
      </c>
      <c r="AK286" s="54">
        <v>0</v>
      </c>
      <c r="AL286" s="54">
        <v>0</v>
      </c>
      <c r="AM286" s="54">
        <v>0</v>
      </c>
      <c r="AN286" s="54">
        <v>1</v>
      </c>
      <c r="AO286" s="54">
        <v>0</v>
      </c>
      <c r="AP286" s="54">
        <v>0</v>
      </c>
      <c r="AQ286" s="54">
        <v>1</v>
      </c>
      <c r="AR286" s="54">
        <v>0</v>
      </c>
      <c r="AS286" s="54">
        <v>0</v>
      </c>
      <c r="AT286" s="54">
        <v>0</v>
      </c>
      <c r="AU286" s="54">
        <v>0</v>
      </c>
      <c r="AV286" s="54">
        <v>0</v>
      </c>
      <c r="AW286" s="54">
        <v>0</v>
      </c>
      <c r="AX286" s="54">
        <v>0</v>
      </c>
      <c r="AY286" s="54">
        <v>0</v>
      </c>
      <c r="AZ286" s="54">
        <v>0</v>
      </c>
      <c r="BA286" s="54">
        <v>0</v>
      </c>
      <c r="BB286" s="54">
        <v>0</v>
      </c>
      <c r="BC286" s="54">
        <v>0</v>
      </c>
      <c r="BD286" s="54">
        <v>0</v>
      </c>
      <c r="BE286" s="54">
        <v>0</v>
      </c>
      <c r="BF286" s="54">
        <v>0</v>
      </c>
      <c r="BG286" s="54">
        <v>0</v>
      </c>
      <c r="BH286" s="54">
        <v>0</v>
      </c>
      <c r="BI286" s="54">
        <v>0</v>
      </c>
      <c r="BJ286" s="54">
        <v>0</v>
      </c>
      <c r="BK286" s="54">
        <v>0</v>
      </c>
      <c r="BL286" s="54">
        <v>0</v>
      </c>
      <c r="BM286" s="54">
        <v>0</v>
      </c>
      <c r="BN286" s="54">
        <v>0</v>
      </c>
      <c r="BO286" s="54">
        <v>0</v>
      </c>
      <c r="BP286" s="54">
        <v>0</v>
      </c>
      <c r="BQ286" s="54">
        <v>0</v>
      </c>
      <c r="BR286" s="54">
        <v>0</v>
      </c>
      <c r="BS286" s="54">
        <v>0</v>
      </c>
      <c r="BT286" s="54">
        <v>0</v>
      </c>
      <c r="BU286" s="54"/>
      <c r="BV286" s="54"/>
      <c r="BW286" s="54"/>
      <c r="BX286" s="85" t="str">
        <f>VLOOKUP(F286,[1]SKU리스트!$H:$AH,27,FALSE)</f>
        <v>광고X</v>
      </c>
      <c r="BY286" s="9"/>
    </row>
    <row r="287" spans="1:78" ht="20.100000000000001" customHeight="1" x14ac:dyDescent="0.3">
      <c r="A287" s="13">
        <v>281</v>
      </c>
      <c r="B287" s="91" t="s">
        <v>357</v>
      </c>
      <c r="C287" s="92" t="s">
        <v>160</v>
      </c>
      <c r="D287" s="98"/>
      <c r="E287" s="98"/>
      <c r="F287" s="96" t="s">
        <v>314</v>
      </c>
      <c r="G287" s="97"/>
      <c r="H287" s="97"/>
      <c r="I287" s="97"/>
      <c r="J287" s="91"/>
      <c r="L287" s="98"/>
      <c r="M287" s="98">
        <v>273</v>
      </c>
      <c r="N287" s="98"/>
      <c r="O287" s="98"/>
      <c r="P287" s="98"/>
      <c r="Q287" s="39" t="s">
        <v>282</v>
      </c>
      <c r="R287" s="5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50"/>
      <c r="AL287" s="50"/>
      <c r="AM287" s="50"/>
      <c r="AN287" s="50"/>
      <c r="AO287" s="53">
        <f>SUM(AI286:AO286)</f>
        <v>1</v>
      </c>
      <c r="AP287" s="51" t="s">
        <v>221</v>
      </c>
      <c r="AQ287" s="50"/>
      <c r="AR287" s="50"/>
      <c r="AS287" s="50"/>
      <c r="AT287" s="50"/>
      <c r="AU287" s="50"/>
      <c r="AV287" s="53">
        <f>SUM(AP286:AV286)</f>
        <v>1</v>
      </c>
      <c r="AW287" s="50" t="s">
        <v>221</v>
      </c>
      <c r="AX287" s="50"/>
      <c r="AY287" s="50"/>
      <c r="AZ287" s="50"/>
      <c r="BA287" s="50"/>
      <c r="BB287" s="50"/>
      <c r="BC287" s="53">
        <f>SUM(AW286:BC286)</f>
        <v>0</v>
      </c>
      <c r="BD287" s="50" t="s">
        <v>221</v>
      </c>
      <c r="BE287" s="50"/>
      <c r="BF287" s="50"/>
      <c r="BG287" s="50"/>
      <c r="BH287" s="50"/>
      <c r="BI287" s="50"/>
      <c r="BJ287" s="53">
        <f>SUM(BD286:BJ286)</f>
        <v>0</v>
      </c>
      <c r="BK287" s="50" t="s">
        <v>221</v>
      </c>
      <c r="BL287" s="50"/>
      <c r="BM287" s="50"/>
      <c r="BN287" s="50"/>
      <c r="BO287" s="50"/>
      <c r="BP287" s="50"/>
      <c r="BQ287" s="53">
        <f>SUM(BK286:BQ286)</f>
        <v>0</v>
      </c>
      <c r="BR287" s="50" t="s">
        <v>221</v>
      </c>
      <c r="BS287" s="50"/>
      <c r="BT287" s="50"/>
      <c r="BU287" s="50"/>
      <c r="BV287" s="50"/>
      <c r="BW287" s="50"/>
      <c r="BY287" s="91"/>
      <c r="BZ287" s="98"/>
    </row>
    <row r="288" spans="1:78" ht="20.100000000000001" customHeight="1" x14ac:dyDescent="0.3">
      <c r="A288" s="13">
        <v>282</v>
      </c>
      <c r="B288" s="91" t="s">
        <v>357</v>
      </c>
      <c r="C288" s="92" t="s">
        <v>160</v>
      </c>
      <c r="D288" s="91"/>
      <c r="E288" s="91"/>
      <c r="F288" s="96">
        <v>93812857845</v>
      </c>
      <c r="G288" s="97"/>
      <c r="H288" s="97"/>
      <c r="I288" s="97"/>
      <c r="J288" s="91"/>
      <c r="L288" s="98"/>
      <c r="M288" s="98">
        <v>274</v>
      </c>
      <c r="N288" s="98"/>
      <c r="O288" s="98"/>
      <c r="P288" s="98"/>
      <c r="Q288" s="41" t="s">
        <v>1</v>
      </c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 t="str">
        <f>IFERROR(VLOOKUP($F288,[2]원본!$D:$BX,AI$1,FALSE),"")</f>
        <v/>
      </c>
      <c r="AJ288" s="40" t="str">
        <f>IFERROR(VLOOKUP($F288,[2]원본!$D:$BX,AJ$1,FALSE),"")</f>
        <v/>
      </c>
      <c r="AK288" s="40" t="str">
        <f>IFERROR(VLOOKUP($F288,[2]원본!$D:$BX,AK$1,FALSE),"")</f>
        <v/>
      </c>
      <c r="AL288" s="40" t="str">
        <f>IFERROR(VLOOKUP($F288,[2]원본!$D:$BX,AL$1,FALSE),"")</f>
        <v/>
      </c>
      <c r="AM288" s="40" t="str">
        <f>IFERROR(VLOOKUP($F288,[2]원본!$D:$BX,AM$1,FALSE),"")</f>
        <v/>
      </c>
      <c r="AN288" s="40" t="str">
        <f>IFERROR(VLOOKUP($F288,[2]원본!$D:$BX,AN$1,FALSE),"")</f>
        <v/>
      </c>
      <c r="AO288" s="40" t="str">
        <f>IFERROR(VLOOKUP($F288,[2]원본!$D:$BX,AO$1,FALSE),"")</f>
        <v/>
      </c>
      <c r="AP288" s="40" t="str">
        <f>IFERROR(VLOOKUP($F288,[2]원본!$D:$BX,AP$1,FALSE),"")</f>
        <v/>
      </c>
      <c r="AQ288" s="40" t="str">
        <f>IFERROR(VLOOKUP($F288,[2]원본!$D:$BX,AQ$1,FALSE),"")</f>
        <v/>
      </c>
      <c r="AR288" s="40" t="str">
        <f>IFERROR(VLOOKUP($F288,[2]원본!$D:$BX,AR$1,FALSE),"")</f>
        <v/>
      </c>
      <c r="AS288" s="40" t="str">
        <f>IFERROR(VLOOKUP($F288,[2]원본!$D:$BX,AS$1,FALSE),"")</f>
        <v/>
      </c>
      <c r="AT288" s="40" t="str">
        <f>IFERROR(VLOOKUP($F288,[2]원본!$D:$BX,AT$1,FALSE),"")</f>
        <v/>
      </c>
      <c r="AU288" s="40" t="str">
        <f>IFERROR(VLOOKUP($F288,[2]원본!$D:$BX,AU$1,FALSE),"")</f>
        <v/>
      </c>
      <c r="AV288" s="40" t="str">
        <f>IFERROR(VLOOKUP($F288,[2]원본!$D:$BX,AV$1,FALSE),"")</f>
        <v/>
      </c>
      <c r="AW288" s="40" t="str">
        <f>IFERROR(VLOOKUP($F288,[2]원본!$D:$BX,AW$1,FALSE),"")</f>
        <v/>
      </c>
      <c r="AX288" s="40" t="str">
        <f>IFERROR(VLOOKUP($F288,[2]원본!$D:$BX,AX$1,FALSE),"")</f>
        <v/>
      </c>
      <c r="AY288" s="40" t="str">
        <f>IFERROR(VLOOKUP($F288,[2]원본!$D:$BX,AY$1,FALSE),"")</f>
        <v/>
      </c>
      <c r="AZ288" s="40" t="str">
        <f>IFERROR(VLOOKUP($F288,[2]원본!$D:$BX,AZ$1,FALSE),"")</f>
        <v/>
      </c>
      <c r="BA288" s="40" t="str">
        <f>IFERROR(VLOOKUP($F288,[2]원본!$D:$BX,BA$1,FALSE),"")</f>
        <v/>
      </c>
      <c r="BB288" s="40" t="str">
        <f>IFERROR(VLOOKUP($F288,[2]원본!$D:$BX,BB$1,FALSE),"")</f>
        <v/>
      </c>
      <c r="BC288" s="40" t="str">
        <f>IFERROR(VLOOKUP($F288,[2]원본!$D:$BX,BC$1,FALSE),"")</f>
        <v/>
      </c>
      <c r="BD288" s="40" t="str">
        <f>IFERROR(VLOOKUP($F288,[2]원본!$D:$BX,BD$1,FALSE),"")</f>
        <v/>
      </c>
      <c r="BE288" s="40" t="str">
        <f>IFERROR(VLOOKUP($F288,[2]원본!$D:$BX,BE$1,FALSE),"")</f>
        <v/>
      </c>
      <c r="BF288" s="40" t="str">
        <f>IFERROR(VLOOKUP($F288,[2]원본!$D:$BX,BF$1,FALSE),"")</f>
        <v/>
      </c>
      <c r="BG288" s="40" t="str">
        <f>IFERROR(VLOOKUP($F288,[2]원본!$D:$BX,BG$1,FALSE),"")</f>
        <v/>
      </c>
      <c r="BH288" s="40" t="str">
        <f>IFERROR(VLOOKUP($F288,[2]원본!$D:$BX,BH$1,FALSE),"")</f>
        <v/>
      </c>
      <c r="BI288" s="40" t="str">
        <f>IFERROR(VLOOKUP($F288,[2]원본!$D:$BX,BI$1,FALSE),"")</f>
        <v/>
      </c>
      <c r="BJ288" s="40" t="str">
        <f>IFERROR(VLOOKUP($F288,[2]원본!$D:$BX,BJ$1,FALSE),"")</f>
        <v/>
      </c>
      <c r="BK288" s="40" t="str">
        <f>IFERROR(VLOOKUP($F288,[2]원본!$D:$BX,BK$1,FALSE),"")</f>
        <v/>
      </c>
      <c r="BL288" s="40" t="str">
        <f>IFERROR(VLOOKUP($F288,[2]원본!$D:$BX,BL$1,FALSE),"")</f>
        <v/>
      </c>
      <c r="BM288" s="40" t="str">
        <f>IFERROR(VLOOKUP($F288,[2]원본!$D:$BX,BM$1,FALSE),"")</f>
        <v/>
      </c>
      <c r="BN288" s="40" t="str">
        <f>IFERROR(VLOOKUP($F288,[2]원본!$D:$BX,BN$1,FALSE),"")</f>
        <v/>
      </c>
      <c r="BO288" s="40" t="str">
        <f>IFERROR(VLOOKUP($F288,[2]원본!$D:$BX,BO$1,FALSE),"")</f>
        <v/>
      </c>
      <c r="BP288" s="40" t="str">
        <f>IFERROR(VLOOKUP($F288,[2]원본!$D:$BX,BP$1,FALSE),"")</f>
        <v/>
      </c>
      <c r="BQ288" s="40" t="str">
        <f>IFERROR(VLOOKUP($F288,[2]원본!$D:$BX,BQ$1,FALSE),"")</f>
        <v/>
      </c>
      <c r="BR288" s="40" t="str">
        <f>IFERROR(VLOOKUP($F288,[2]원본!$D:$BX,BR$1,FALSE),"")</f>
        <v/>
      </c>
      <c r="BS288" s="40" t="str">
        <f>IFERROR(VLOOKUP($F288,[2]원본!$D:$BX,BS$1,FALSE),"")</f>
        <v/>
      </c>
      <c r="BT288" s="40" t="str">
        <f>IFERROR(VLOOKUP($F288,[2]원본!$D:$BX,BT$1,FALSE),"")</f>
        <v/>
      </c>
      <c r="BU288" s="40" t="str">
        <f>IFERROR(VLOOKUP($F288,[2]원본!$D:$BX,BU$1,FALSE),"")</f>
        <v/>
      </c>
      <c r="BV288" s="40" t="str">
        <f>IFERROR(VLOOKUP($F288,#REF!,BV$1,FALSE),"")</f>
        <v/>
      </c>
      <c r="BW288" s="40"/>
      <c r="BX288" s="26">
        <f>(SUM(R288:BW288)*D286)-(SUM(R288:BW288)*E286)</f>
        <v>0</v>
      </c>
      <c r="BY288" s="91"/>
      <c r="BZ288" s="100" t="str">
        <f>IFERROR(VLOOKUP($F288,#REF!,BZ$1,FALSE),"")</f>
        <v/>
      </c>
    </row>
    <row r="289" spans="1:78" ht="20.100000000000001" customHeight="1" x14ac:dyDescent="0.3">
      <c r="A289" s="13">
        <v>283</v>
      </c>
      <c r="B289" s="4" t="s">
        <v>357</v>
      </c>
      <c r="C289" s="67" t="s">
        <v>160</v>
      </c>
      <c r="D289" s="82" t="s">
        <v>162</v>
      </c>
      <c r="F289" s="2">
        <v>93812857845</v>
      </c>
      <c r="G289" s="3" t="s">
        <v>157</v>
      </c>
      <c r="H289" s="3"/>
      <c r="J289" s="4" t="s">
        <v>33</v>
      </c>
      <c r="K289" s="62">
        <v>3577</v>
      </c>
      <c r="L289" s="1">
        <v>1</v>
      </c>
      <c r="M289" s="1">
        <v>276</v>
      </c>
      <c r="Q289" s="42" t="s">
        <v>0</v>
      </c>
      <c r="R289" s="7" t="s">
        <v>32</v>
      </c>
      <c r="S289" s="7"/>
      <c r="T289" s="7"/>
      <c r="U289" s="7"/>
      <c r="V289" s="7"/>
      <c r="W289" s="7"/>
      <c r="X289" s="7"/>
      <c r="Y289" s="7">
        <v>230</v>
      </c>
      <c r="Z289" s="7">
        <v>230</v>
      </c>
      <c r="AA289" s="7">
        <v>166</v>
      </c>
      <c r="AB289" s="7"/>
      <c r="AC289" s="7">
        <v>223</v>
      </c>
      <c r="AD289" s="7"/>
      <c r="AE289" s="7">
        <v>303</v>
      </c>
      <c r="AF289" s="7">
        <v>564</v>
      </c>
      <c r="AG289" s="7"/>
      <c r="AH289" s="7"/>
      <c r="AI289" s="7"/>
      <c r="AJ289" s="7"/>
      <c r="AK289" s="7">
        <v>395</v>
      </c>
      <c r="AL289" s="7"/>
      <c r="AM289" s="7"/>
      <c r="AN289" s="7"/>
      <c r="AO289" s="7"/>
      <c r="AP289" s="7"/>
      <c r="AQ289" s="7"/>
      <c r="AR289" s="7"/>
      <c r="AS289" s="7"/>
      <c r="AT289" s="7">
        <v>457</v>
      </c>
      <c r="AU289" s="7">
        <v>520</v>
      </c>
      <c r="AV289" s="7"/>
      <c r="AW289" s="7"/>
      <c r="AX289" s="7"/>
      <c r="AY289" s="7"/>
      <c r="AZ289" s="7"/>
      <c r="BA289" s="7">
        <v>184</v>
      </c>
      <c r="BB289" s="7"/>
      <c r="BC289" s="7"/>
      <c r="BD289" s="7"/>
      <c r="BE289" s="7"/>
      <c r="BF289" s="7"/>
      <c r="BG289" s="7"/>
      <c r="BH289" s="7">
        <v>184</v>
      </c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</row>
    <row r="290" spans="1:78" ht="20.100000000000001" customHeight="1" x14ac:dyDescent="0.3">
      <c r="A290" s="13">
        <v>284</v>
      </c>
      <c r="B290" s="91" t="s">
        <v>357</v>
      </c>
      <c r="C290" s="92" t="s">
        <v>160</v>
      </c>
      <c r="D290" s="91"/>
      <c r="E290" s="91"/>
      <c r="F290" s="96">
        <v>93812857845</v>
      </c>
      <c r="G290" s="97"/>
      <c r="H290" s="97"/>
      <c r="I290" s="97"/>
      <c r="J290" s="91" t="s">
        <v>31</v>
      </c>
      <c r="K290" s="62">
        <v>1985</v>
      </c>
      <c r="L290" s="98">
        <v>1</v>
      </c>
      <c r="M290" s="98">
        <v>277</v>
      </c>
      <c r="N290" s="98"/>
      <c r="O290" s="98"/>
      <c r="P290" s="98"/>
      <c r="Q290" s="42" t="s">
        <v>0</v>
      </c>
      <c r="R290" s="7" t="s">
        <v>32</v>
      </c>
      <c r="S290" s="7"/>
      <c r="T290" s="7"/>
      <c r="U290" s="7"/>
      <c r="V290" s="7"/>
      <c r="W290" s="7"/>
      <c r="X290" s="7"/>
      <c r="Y290" s="7">
        <v>253</v>
      </c>
      <c r="Z290" s="7">
        <v>253</v>
      </c>
      <c r="AA290" s="7">
        <v>55</v>
      </c>
      <c r="AB290" s="7"/>
      <c r="AC290" s="7">
        <v>45</v>
      </c>
      <c r="AD290" s="7"/>
      <c r="AE290" s="7">
        <v>25</v>
      </c>
      <c r="AF290" s="7">
        <v>23</v>
      </c>
      <c r="AG290" s="7"/>
      <c r="AH290" s="7"/>
      <c r="AI290" s="7"/>
      <c r="AJ290" s="7"/>
      <c r="AK290" s="7">
        <v>184</v>
      </c>
      <c r="AL290" s="7"/>
      <c r="AM290" s="7"/>
      <c r="AN290" s="7"/>
      <c r="AO290" s="7"/>
      <c r="AP290" s="7"/>
      <c r="AQ290" s="7"/>
      <c r="AR290" s="7"/>
      <c r="AS290" s="7"/>
      <c r="AT290" s="7">
        <v>44</v>
      </c>
      <c r="AU290" s="7">
        <v>20</v>
      </c>
      <c r="AV290" s="7"/>
      <c r="AW290" s="7"/>
      <c r="AX290" s="7"/>
      <c r="AY290" s="7"/>
      <c r="AZ290" s="7"/>
      <c r="BA290" s="7">
        <v>233</v>
      </c>
      <c r="BB290" s="7"/>
      <c r="BC290" s="7"/>
      <c r="BD290" s="7"/>
      <c r="BE290" s="7"/>
      <c r="BF290" s="7"/>
      <c r="BG290" s="7"/>
      <c r="BH290" s="7">
        <v>233</v>
      </c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Y290" s="91"/>
      <c r="BZ290" s="98"/>
    </row>
    <row r="291" spans="1:78" s="14" customFormat="1" ht="20.100000000000001" customHeight="1" thickBot="1" x14ac:dyDescent="0.35">
      <c r="A291" s="13">
        <v>285</v>
      </c>
      <c r="B291" s="15" t="s">
        <v>357</v>
      </c>
      <c r="C291" s="68" t="s">
        <v>160</v>
      </c>
      <c r="D291" s="21"/>
      <c r="E291" s="21"/>
      <c r="F291" s="16">
        <v>93812857845</v>
      </c>
      <c r="G291" s="17"/>
      <c r="H291" s="17"/>
      <c r="I291" s="17"/>
      <c r="J291" s="15" t="s">
        <v>34</v>
      </c>
      <c r="K291" s="63">
        <v>1878</v>
      </c>
      <c r="L291" s="14">
        <v>1</v>
      </c>
      <c r="M291" s="14">
        <v>275</v>
      </c>
      <c r="Q291" s="45" t="s">
        <v>0</v>
      </c>
      <c r="R291" s="19" t="s">
        <v>32</v>
      </c>
      <c r="S291" s="19"/>
      <c r="T291" s="19"/>
      <c r="U291" s="19"/>
      <c r="V291" s="19"/>
      <c r="W291" s="19">
        <v>166</v>
      </c>
      <c r="X291" s="19">
        <v>23</v>
      </c>
      <c r="Y291" s="19">
        <v>26</v>
      </c>
      <c r="Z291" s="19">
        <v>26</v>
      </c>
      <c r="AA291" s="19">
        <v>18</v>
      </c>
      <c r="AB291" s="19"/>
      <c r="AC291" s="19" t="s">
        <v>36</v>
      </c>
      <c r="AD291" s="19" t="s">
        <v>36</v>
      </c>
      <c r="AE291" s="19">
        <v>48</v>
      </c>
      <c r="AF291" s="19">
        <v>31</v>
      </c>
      <c r="AG291" s="19"/>
      <c r="AH291" s="19"/>
      <c r="AI291" s="19"/>
      <c r="AJ291" s="19"/>
      <c r="AK291" s="19">
        <v>15</v>
      </c>
      <c r="AL291" s="19"/>
      <c r="AM291" s="19"/>
      <c r="AN291" s="19"/>
      <c r="AO291" s="19"/>
      <c r="AP291" s="19"/>
      <c r="AQ291" s="19"/>
      <c r="AR291" s="19"/>
      <c r="AS291" s="19"/>
      <c r="AT291" s="19">
        <v>14</v>
      </c>
      <c r="AU291" s="19">
        <v>14</v>
      </c>
      <c r="AV291" s="19"/>
      <c r="AW291" s="19"/>
      <c r="AX291" s="19">
        <v>10</v>
      </c>
      <c r="AY291" s="19"/>
      <c r="AZ291" s="19">
        <v>10</v>
      </c>
      <c r="BA291" s="19">
        <v>10</v>
      </c>
      <c r="BB291" s="19">
        <v>10</v>
      </c>
      <c r="BC291" s="19"/>
      <c r="BD291" s="19"/>
      <c r="BE291" s="19"/>
      <c r="BF291" s="19"/>
      <c r="BG291" s="19"/>
      <c r="BH291" s="19">
        <v>10</v>
      </c>
      <c r="BI291" s="19">
        <v>20</v>
      </c>
      <c r="BJ291" s="19"/>
      <c r="BK291" s="19"/>
      <c r="BL291" s="19"/>
      <c r="BM291" s="19"/>
      <c r="BN291" s="19"/>
      <c r="BO291" s="19"/>
      <c r="BP291" s="19"/>
      <c r="BQ291" s="19"/>
      <c r="BR291" s="19"/>
      <c r="BS291" s="19"/>
      <c r="BT291" s="19"/>
      <c r="BU291" s="19"/>
      <c r="BV291" s="19"/>
      <c r="BW291" s="19"/>
      <c r="BX291" s="18"/>
      <c r="BY291" s="15"/>
    </row>
    <row r="292" spans="1:78" s="8" customFormat="1" ht="20.100000000000001" customHeight="1" x14ac:dyDescent="0.3">
      <c r="A292" s="13">
        <v>286</v>
      </c>
      <c r="B292" s="9" t="s">
        <v>358</v>
      </c>
      <c r="C292" s="66" t="s">
        <v>160</v>
      </c>
      <c r="D292" s="46">
        <f>VLOOKUP(F294,[1]SKU리스트!$H:$L,5,FALSE)</f>
        <v>29800</v>
      </c>
      <c r="E292" s="47">
        <f>VLOOKUP(F294,[1]SKU리스트!$H:$AK,30,FALSE)</f>
        <v>11114.181818181818</v>
      </c>
      <c r="F292" s="10" t="s">
        <v>190</v>
      </c>
      <c r="G292" s="11"/>
      <c r="H292" s="11"/>
      <c r="I292" s="11"/>
      <c r="J292" s="9"/>
      <c r="K292" s="12"/>
      <c r="M292" s="8">
        <v>278</v>
      </c>
      <c r="Q292" s="44" t="s">
        <v>125</v>
      </c>
      <c r="R292" s="54">
        <v>4</v>
      </c>
      <c r="S292" s="54">
        <v>1</v>
      </c>
      <c r="T292" s="54">
        <v>2</v>
      </c>
      <c r="U292" s="54">
        <v>0</v>
      </c>
      <c r="V292" s="54">
        <v>6</v>
      </c>
      <c r="W292" s="54">
        <v>0</v>
      </c>
      <c r="X292" s="54">
        <v>3</v>
      </c>
      <c r="Y292" s="54">
        <v>4</v>
      </c>
      <c r="Z292" s="54">
        <v>4</v>
      </c>
      <c r="AA292" s="54">
        <v>5</v>
      </c>
      <c r="AB292" s="54">
        <v>4</v>
      </c>
      <c r="AC292" s="54">
        <v>2</v>
      </c>
      <c r="AD292" s="54">
        <v>3</v>
      </c>
      <c r="AE292" s="54">
        <v>6</v>
      </c>
      <c r="AF292" s="54">
        <v>1</v>
      </c>
      <c r="AG292" s="54">
        <v>2</v>
      </c>
      <c r="AH292" s="54">
        <v>0</v>
      </c>
      <c r="AI292" s="54">
        <v>3</v>
      </c>
      <c r="AJ292" s="54">
        <v>0</v>
      </c>
      <c r="AK292" s="54">
        <v>1</v>
      </c>
      <c r="AL292" s="54">
        <v>0</v>
      </c>
      <c r="AM292" s="54">
        <v>0</v>
      </c>
      <c r="AN292" s="54">
        <v>0</v>
      </c>
      <c r="AO292" s="54">
        <v>0</v>
      </c>
      <c r="AP292" s="54">
        <v>1</v>
      </c>
      <c r="AQ292" s="54">
        <v>0</v>
      </c>
      <c r="AR292" s="54">
        <v>0</v>
      </c>
      <c r="AS292" s="54">
        <v>0</v>
      </c>
      <c r="AT292" s="54">
        <v>1</v>
      </c>
      <c r="AU292" s="54">
        <v>1</v>
      </c>
      <c r="AV292" s="54">
        <v>1</v>
      </c>
      <c r="AW292" s="54">
        <v>0</v>
      </c>
      <c r="AX292" s="54">
        <v>0</v>
      </c>
      <c r="AY292" s="54">
        <v>0</v>
      </c>
      <c r="AZ292" s="54">
        <v>10</v>
      </c>
      <c r="BA292" s="54">
        <v>0</v>
      </c>
      <c r="BB292" s="54">
        <v>1</v>
      </c>
      <c r="BC292" s="54">
        <v>0</v>
      </c>
      <c r="BD292" s="54">
        <v>-10</v>
      </c>
      <c r="BE292" s="54">
        <v>1</v>
      </c>
      <c r="BF292" s="54">
        <v>0</v>
      </c>
      <c r="BG292" s="54">
        <v>0</v>
      </c>
      <c r="BH292" s="54">
        <v>0</v>
      </c>
      <c r="BI292" s="54">
        <v>0</v>
      </c>
      <c r="BJ292" s="54">
        <v>0</v>
      </c>
      <c r="BK292" s="54">
        <v>0</v>
      </c>
      <c r="BL292" s="54">
        <v>0</v>
      </c>
      <c r="BM292" s="54">
        <v>0</v>
      </c>
      <c r="BN292" s="54">
        <v>0</v>
      </c>
      <c r="BO292" s="54">
        <v>0</v>
      </c>
      <c r="BP292" s="54">
        <v>0</v>
      </c>
      <c r="BQ292" s="54">
        <v>0</v>
      </c>
      <c r="BR292" s="54">
        <v>0</v>
      </c>
      <c r="BS292" s="54">
        <v>0</v>
      </c>
      <c r="BT292" s="54">
        <v>0</v>
      </c>
      <c r="BU292" s="54"/>
      <c r="BV292" s="54"/>
      <c r="BW292" s="54"/>
      <c r="BX292" s="85" t="str">
        <f>VLOOKUP(F292,[1]SKU리스트!$H:$AH,27,FALSE)</f>
        <v>광고X</v>
      </c>
      <c r="BY292" s="9"/>
    </row>
    <row r="293" spans="1:78" ht="20.100000000000001" customHeight="1" x14ac:dyDescent="0.3">
      <c r="A293" s="13">
        <v>287</v>
      </c>
      <c r="B293" s="4" t="s">
        <v>358</v>
      </c>
      <c r="C293" s="67" t="s">
        <v>160</v>
      </c>
      <c r="D293" s="1"/>
      <c r="E293" s="1"/>
      <c r="F293" s="2" t="s">
        <v>315</v>
      </c>
      <c r="H293" s="3"/>
      <c r="M293" s="1">
        <v>279</v>
      </c>
      <c r="Q293" s="39" t="s">
        <v>282</v>
      </c>
      <c r="R293" s="5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50"/>
      <c r="AL293" s="50"/>
      <c r="AM293" s="50"/>
      <c r="AN293" s="50"/>
      <c r="AO293" s="53">
        <f>SUM(AI292:AO292)</f>
        <v>4</v>
      </c>
      <c r="AP293" s="51">
        <v>2</v>
      </c>
      <c r="AQ293" s="50"/>
      <c r="AR293" s="50"/>
      <c r="AS293" s="50"/>
      <c r="AT293" s="50"/>
      <c r="AU293" s="50"/>
      <c r="AV293" s="53">
        <f>SUM(AP292:AV292)</f>
        <v>4</v>
      </c>
      <c r="AW293" s="50" t="s">
        <v>221</v>
      </c>
      <c r="AX293" s="50"/>
      <c r="AY293" s="50"/>
      <c r="AZ293" s="50"/>
      <c r="BA293" s="50"/>
      <c r="BB293" s="50"/>
      <c r="BC293" s="53">
        <f>SUM(AW292:BC292)</f>
        <v>11</v>
      </c>
      <c r="BD293" s="50" t="s">
        <v>221</v>
      </c>
      <c r="BE293" s="50"/>
      <c r="BF293" s="50"/>
      <c r="BG293" s="50"/>
      <c r="BH293" s="50"/>
      <c r="BI293" s="50"/>
      <c r="BJ293" s="53">
        <f>SUM(BD292:BJ292)</f>
        <v>-9</v>
      </c>
      <c r="BK293" s="50" t="s">
        <v>221</v>
      </c>
      <c r="BL293" s="50"/>
      <c r="BM293" s="50"/>
      <c r="BN293" s="50"/>
      <c r="BO293" s="50"/>
      <c r="BP293" s="50"/>
      <c r="BQ293" s="53">
        <f>SUM(BK292:BQ292)</f>
        <v>0</v>
      </c>
      <c r="BR293" s="50" t="s">
        <v>221</v>
      </c>
      <c r="BS293" s="50"/>
      <c r="BT293" s="50"/>
      <c r="BU293" s="50"/>
      <c r="BV293" s="50"/>
      <c r="BW293" s="50"/>
    </row>
    <row r="294" spans="1:78" ht="20.100000000000001" customHeight="1" x14ac:dyDescent="0.3">
      <c r="A294" s="13">
        <v>288</v>
      </c>
      <c r="B294" s="4" t="s">
        <v>358</v>
      </c>
      <c r="C294" s="67" t="s">
        <v>160</v>
      </c>
      <c r="F294" s="2">
        <v>93120151882</v>
      </c>
      <c r="H294" s="3"/>
      <c r="M294" s="1">
        <v>280</v>
      </c>
      <c r="Q294" s="41" t="s">
        <v>1</v>
      </c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 t="str">
        <f>IFERROR(VLOOKUP($F294,[2]원본!$D:$BX,AI$1,FALSE),"")</f>
        <v/>
      </c>
      <c r="AJ294" s="40" t="str">
        <f>IFERROR(VLOOKUP($F294,[2]원본!$D:$BX,AJ$1,FALSE),"")</f>
        <v/>
      </c>
      <c r="AK294" s="40" t="str">
        <f>IFERROR(VLOOKUP($F294,[2]원본!$D:$BX,AK$1,FALSE),"")</f>
        <v/>
      </c>
      <c r="AL294" s="40" t="str">
        <f>IFERROR(VLOOKUP($F294,[2]원본!$D:$BX,AL$1,FALSE),"")</f>
        <v/>
      </c>
      <c r="AM294" s="40" t="str">
        <f>IFERROR(VLOOKUP($F294,[2]원본!$D:$BX,AM$1,FALSE),"")</f>
        <v/>
      </c>
      <c r="AN294" s="40" t="str">
        <f>IFERROR(VLOOKUP($F294,[2]원본!$D:$BX,AN$1,FALSE),"")</f>
        <v/>
      </c>
      <c r="AO294" s="40" t="str">
        <f>IFERROR(VLOOKUP($F294,[2]원본!$D:$BX,AO$1,FALSE),"")</f>
        <v/>
      </c>
      <c r="AP294" s="40" t="str">
        <f>IFERROR(VLOOKUP($F294,[2]원본!$D:$BX,AP$1,FALSE),"")</f>
        <v/>
      </c>
      <c r="AQ294" s="40" t="str">
        <f>IFERROR(VLOOKUP($F294,[2]원본!$D:$BX,AQ$1,FALSE),"")</f>
        <v/>
      </c>
      <c r="AR294" s="40" t="str">
        <f>IFERROR(VLOOKUP($F294,[2]원본!$D:$BX,AR$1,FALSE),"")</f>
        <v/>
      </c>
      <c r="AS294" s="40" t="str">
        <f>IFERROR(VLOOKUP($F294,[2]원본!$D:$BX,AS$1,FALSE),"")</f>
        <v/>
      </c>
      <c r="AT294" s="40" t="str">
        <f>IFERROR(VLOOKUP($F294,[2]원본!$D:$BX,AT$1,FALSE),"")</f>
        <v/>
      </c>
      <c r="AU294" s="40" t="str">
        <f>IFERROR(VLOOKUP($F294,[2]원본!$D:$BX,AU$1,FALSE),"")</f>
        <v/>
      </c>
      <c r="AV294" s="40" t="str">
        <f>IFERROR(VLOOKUP($F294,[2]원본!$D:$BX,AV$1,FALSE),"")</f>
        <v/>
      </c>
      <c r="AW294" s="40" t="str">
        <f>IFERROR(VLOOKUP($F294,[2]원본!$D:$BX,AW$1,FALSE),"")</f>
        <v/>
      </c>
      <c r="AX294" s="40" t="str">
        <f>IFERROR(VLOOKUP($F294,[2]원본!$D:$BX,AX$1,FALSE),"")</f>
        <v/>
      </c>
      <c r="AY294" s="40" t="str">
        <f>IFERROR(VLOOKUP($F294,[2]원본!$D:$BX,AY$1,FALSE),"")</f>
        <v/>
      </c>
      <c r="AZ294" s="40" t="str">
        <f>IFERROR(VLOOKUP($F294,[2]원본!$D:$BX,AZ$1,FALSE),"")</f>
        <v/>
      </c>
      <c r="BA294" s="40" t="str">
        <f>IFERROR(VLOOKUP($F294,[2]원본!$D:$BX,BA$1,FALSE),"")</f>
        <v/>
      </c>
      <c r="BB294" s="40" t="str">
        <f>IFERROR(VLOOKUP($F294,[2]원본!$D:$BX,BB$1,FALSE),"")</f>
        <v/>
      </c>
      <c r="BC294" s="40" t="str">
        <f>IFERROR(VLOOKUP($F294,[2]원본!$D:$BX,BC$1,FALSE),"")</f>
        <v/>
      </c>
      <c r="BD294" s="40" t="str">
        <f>IFERROR(VLOOKUP($F294,[2]원본!$D:$BX,BD$1,FALSE),"")</f>
        <v/>
      </c>
      <c r="BE294" s="40" t="str">
        <f>IFERROR(VLOOKUP($F294,[2]원본!$D:$BX,BE$1,FALSE),"")</f>
        <v/>
      </c>
      <c r="BF294" s="40" t="str">
        <f>IFERROR(VLOOKUP($F294,[2]원본!$D:$BX,BF$1,FALSE),"")</f>
        <v/>
      </c>
      <c r="BG294" s="40" t="str">
        <f>IFERROR(VLOOKUP($F294,[2]원본!$D:$BX,BG$1,FALSE),"")</f>
        <v/>
      </c>
      <c r="BH294" s="40" t="str">
        <f>IFERROR(VLOOKUP($F294,[2]원본!$D:$BX,BH$1,FALSE),"")</f>
        <v/>
      </c>
      <c r="BI294" s="40" t="str">
        <f>IFERROR(VLOOKUP($F294,[2]원본!$D:$BX,BI$1,FALSE),"")</f>
        <v/>
      </c>
      <c r="BJ294" s="40" t="str">
        <f>IFERROR(VLOOKUP($F294,[2]원본!$D:$BX,BJ$1,FALSE),"")</f>
        <v/>
      </c>
      <c r="BK294" s="40" t="str">
        <f>IFERROR(VLOOKUP($F294,[2]원본!$D:$BX,BK$1,FALSE),"")</f>
        <v/>
      </c>
      <c r="BL294" s="40" t="str">
        <f>IFERROR(VLOOKUP($F294,[2]원본!$D:$BX,BL$1,FALSE),"")</f>
        <v/>
      </c>
      <c r="BM294" s="40" t="str">
        <f>IFERROR(VLOOKUP($F294,[2]원본!$D:$BX,BM$1,FALSE),"")</f>
        <v/>
      </c>
      <c r="BN294" s="40" t="str">
        <f>IFERROR(VLOOKUP($F294,[2]원본!$D:$BX,BN$1,FALSE),"")</f>
        <v/>
      </c>
      <c r="BO294" s="40" t="str">
        <f>IFERROR(VLOOKUP($F294,[2]원본!$D:$BX,BO$1,FALSE),"")</f>
        <v/>
      </c>
      <c r="BP294" s="40" t="str">
        <f>IFERROR(VLOOKUP($F294,[2]원본!$D:$BX,BP$1,FALSE),"")</f>
        <v/>
      </c>
      <c r="BQ294" s="40" t="str">
        <f>IFERROR(VLOOKUP($F294,[2]원본!$D:$BX,BQ$1,FALSE),"")</f>
        <v/>
      </c>
      <c r="BR294" s="40" t="str">
        <f>IFERROR(VLOOKUP($F294,[2]원본!$D:$BX,BR$1,FALSE),"")</f>
        <v/>
      </c>
      <c r="BS294" s="40" t="str">
        <f>IFERROR(VLOOKUP($F294,[2]원본!$D:$BX,BS$1,FALSE),"")</f>
        <v/>
      </c>
      <c r="BT294" s="40" t="str">
        <f>IFERROR(VLOOKUP($F294,[2]원본!$D:$BX,BT$1,FALSE),"")</f>
        <v/>
      </c>
      <c r="BU294" s="40" t="str">
        <f>IFERROR(VLOOKUP($F294,[2]원본!$D:$BX,BU$1,FALSE),"")</f>
        <v/>
      </c>
      <c r="BV294" s="40" t="str">
        <f>IFERROR(VLOOKUP($F294,#REF!,BV$1,FALSE),"")</f>
        <v/>
      </c>
      <c r="BW294" s="40"/>
      <c r="BX294" s="26">
        <f>(SUM(R294:BW294)*D292)-(SUM(R294:BW294)*E292)</f>
        <v>0</v>
      </c>
      <c r="BZ294" s="100" t="str">
        <f>IFERROR(VLOOKUP($F294,#REF!,BZ$1,FALSE),"")</f>
        <v/>
      </c>
    </row>
    <row r="295" spans="1:78" ht="20.100000000000001" customHeight="1" x14ac:dyDescent="0.3">
      <c r="A295" s="13">
        <v>289</v>
      </c>
      <c r="B295" s="91" t="s">
        <v>358</v>
      </c>
      <c r="C295" s="92" t="s">
        <v>160</v>
      </c>
      <c r="D295" s="95" t="s">
        <v>165</v>
      </c>
      <c r="E295" s="94"/>
      <c r="F295" s="96">
        <v>93120151882</v>
      </c>
      <c r="G295" s="97" t="s">
        <v>128</v>
      </c>
      <c r="H295" s="97"/>
      <c r="I295" s="97"/>
      <c r="J295" s="91" t="s">
        <v>50</v>
      </c>
      <c r="K295" s="62">
        <v>6574</v>
      </c>
      <c r="L295" s="98">
        <v>1</v>
      </c>
      <c r="M295" s="98">
        <v>281</v>
      </c>
      <c r="N295" s="98"/>
      <c r="O295" s="98"/>
      <c r="P295" s="98"/>
      <c r="Q295" s="42" t="s">
        <v>0</v>
      </c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>
        <v>69</v>
      </c>
      <c r="AU295" s="7">
        <v>73</v>
      </c>
      <c r="AV295" s="7"/>
      <c r="AW295" s="7"/>
      <c r="AX295" s="7"/>
      <c r="AY295" s="7"/>
      <c r="AZ295" s="7"/>
      <c r="BA295" s="7">
        <v>81</v>
      </c>
      <c r="BB295" s="7"/>
      <c r="BC295" s="7"/>
      <c r="BD295" s="7"/>
      <c r="BE295" s="7"/>
      <c r="BF295" s="7"/>
      <c r="BG295" s="7"/>
      <c r="BH295" s="7">
        <v>81</v>
      </c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Y295" s="91"/>
      <c r="BZ295" s="98"/>
    </row>
    <row r="296" spans="1:78" ht="20.100000000000001" customHeight="1" x14ac:dyDescent="0.3">
      <c r="A296" s="13">
        <v>290</v>
      </c>
      <c r="B296" s="91" t="s">
        <v>358</v>
      </c>
      <c r="C296" s="92" t="s">
        <v>160</v>
      </c>
      <c r="D296" s="94"/>
      <c r="E296" s="94"/>
      <c r="F296" s="96">
        <v>93120151882</v>
      </c>
      <c r="G296" s="97"/>
      <c r="H296" s="97"/>
      <c r="I296" s="97"/>
      <c r="J296" s="91" t="s">
        <v>49</v>
      </c>
      <c r="K296" s="62">
        <v>3656</v>
      </c>
      <c r="L296" s="98">
        <v>1</v>
      </c>
      <c r="M296" s="98">
        <v>282</v>
      </c>
      <c r="N296" s="98"/>
      <c r="O296" s="98"/>
      <c r="P296" s="98"/>
      <c r="Q296" s="42" t="s">
        <v>0</v>
      </c>
      <c r="R296" s="7">
        <v>51</v>
      </c>
      <c r="S296" s="7">
        <v>54</v>
      </c>
      <c r="T296" s="7">
        <v>61</v>
      </c>
      <c r="U296" s="7"/>
      <c r="V296" s="7">
        <v>63</v>
      </c>
      <c r="W296" s="7">
        <v>64</v>
      </c>
      <c r="X296" s="7">
        <v>63</v>
      </c>
      <c r="Y296" s="7">
        <v>105</v>
      </c>
      <c r="Z296" s="7">
        <v>105</v>
      </c>
      <c r="AA296" s="7">
        <v>58</v>
      </c>
      <c r="AB296" s="7"/>
      <c r="AC296" s="7">
        <v>98</v>
      </c>
      <c r="AD296" s="7"/>
      <c r="AE296" s="7" t="s">
        <v>36</v>
      </c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>
        <v>369</v>
      </c>
      <c r="AU296" s="7">
        <v>400</v>
      </c>
      <c r="AV296" s="7"/>
      <c r="AW296" s="7"/>
      <c r="AX296" s="7"/>
      <c r="AY296" s="7"/>
      <c r="AZ296" s="7"/>
      <c r="BA296" s="7">
        <v>397</v>
      </c>
      <c r="BB296" s="7"/>
      <c r="BC296" s="7"/>
      <c r="BD296" s="7"/>
      <c r="BE296" s="7"/>
      <c r="BF296" s="7"/>
      <c r="BG296" s="7"/>
      <c r="BH296" s="7">
        <v>397</v>
      </c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Y296" s="91"/>
      <c r="BZ296" s="98"/>
    </row>
    <row r="297" spans="1:78" ht="20.100000000000001" customHeight="1" x14ac:dyDescent="0.3">
      <c r="A297" s="13">
        <v>291</v>
      </c>
      <c r="B297" s="91" t="s">
        <v>358</v>
      </c>
      <c r="C297" s="92" t="s">
        <v>160</v>
      </c>
      <c r="D297" s="94"/>
      <c r="E297" s="94"/>
      <c r="F297" s="96">
        <v>93120151882</v>
      </c>
      <c r="G297" s="97"/>
      <c r="H297" s="97"/>
      <c r="I297" s="97"/>
      <c r="J297" s="91" t="s">
        <v>48</v>
      </c>
      <c r="K297" s="5">
        <v>3800</v>
      </c>
      <c r="L297" s="98">
        <v>1</v>
      </c>
      <c r="M297" s="98">
        <v>283</v>
      </c>
      <c r="N297" s="98"/>
      <c r="O297" s="98"/>
      <c r="P297" s="98"/>
      <c r="Q297" s="42" t="s">
        <v>0</v>
      </c>
      <c r="R297" s="7">
        <v>24</v>
      </c>
      <c r="S297" s="7">
        <v>27</v>
      </c>
      <c r="T297" s="7">
        <v>26</v>
      </c>
      <c r="U297" s="7"/>
      <c r="V297" s="7">
        <v>26</v>
      </c>
      <c r="W297" s="7" t="s">
        <v>36</v>
      </c>
      <c r="X297" s="7">
        <v>17</v>
      </c>
      <c r="Y297" s="7">
        <v>31</v>
      </c>
      <c r="Z297" s="7">
        <v>31</v>
      </c>
      <c r="AA297" s="7">
        <v>18</v>
      </c>
      <c r="AB297" s="7"/>
      <c r="AC297" s="7">
        <v>26</v>
      </c>
      <c r="AD297" s="7"/>
      <c r="AE297" s="7" t="s">
        <v>36</v>
      </c>
      <c r="AF297" s="7"/>
      <c r="AG297" s="7"/>
      <c r="AH297" s="7"/>
      <c r="AI297" s="7"/>
      <c r="AJ297" s="7"/>
      <c r="AK297" s="7" t="s">
        <v>36</v>
      </c>
      <c r="AL297" s="7"/>
      <c r="AM297" s="7"/>
      <c r="AN297" s="7"/>
      <c r="AO297" s="7"/>
      <c r="AP297" s="7"/>
      <c r="AQ297" s="7"/>
      <c r="AR297" s="7"/>
      <c r="AS297" s="7"/>
      <c r="AT297" s="7"/>
      <c r="AU297" s="7">
        <v>2</v>
      </c>
      <c r="AV297" s="7"/>
      <c r="AW297" s="7"/>
      <c r="AX297" s="7"/>
      <c r="AY297" s="7"/>
      <c r="AZ297" s="7"/>
      <c r="BA297" s="7">
        <v>57</v>
      </c>
      <c r="BB297" s="7"/>
      <c r="BC297" s="7"/>
      <c r="BD297" s="7"/>
      <c r="BE297" s="7"/>
      <c r="BF297" s="7"/>
      <c r="BG297" s="7"/>
      <c r="BH297" s="7">
        <v>57</v>
      </c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Y297" s="91"/>
      <c r="BZ297" s="98"/>
    </row>
    <row r="298" spans="1:78" ht="20.100000000000001" customHeight="1" thickBot="1" x14ac:dyDescent="0.35">
      <c r="A298" s="13">
        <v>292</v>
      </c>
      <c r="B298" s="4" t="s">
        <v>358</v>
      </c>
      <c r="C298" s="67" t="s">
        <v>160</v>
      </c>
      <c r="F298" s="2">
        <v>93120151882</v>
      </c>
      <c r="H298" s="3"/>
      <c r="J298" s="4" t="s">
        <v>46</v>
      </c>
      <c r="K298" s="5">
        <v>2500</v>
      </c>
      <c r="L298" s="1">
        <v>1</v>
      </c>
      <c r="M298" s="1">
        <v>284</v>
      </c>
      <c r="Q298" s="42" t="s">
        <v>0</v>
      </c>
      <c r="R298" s="7">
        <v>43</v>
      </c>
      <c r="S298" s="7" t="s">
        <v>47</v>
      </c>
      <c r="T298" s="7">
        <v>64</v>
      </c>
      <c r="U298" s="7"/>
      <c r="V298" s="7">
        <v>64</v>
      </c>
      <c r="W298" s="7">
        <v>64</v>
      </c>
      <c r="X298" s="7">
        <v>52</v>
      </c>
      <c r="Y298" s="7">
        <v>106</v>
      </c>
      <c r="Z298" s="7">
        <v>106</v>
      </c>
      <c r="AA298" s="7">
        <v>28</v>
      </c>
      <c r="AB298" s="7"/>
      <c r="AC298" s="7">
        <v>132</v>
      </c>
      <c r="AD298" s="7"/>
      <c r="AE298" s="7">
        <v>66</v>
      </c>
      <c r="AF298" s="7"/>
      <c r="AG298" s="7"/>
      <c r="AH298" s="7"/>
      <c r="AI298" s="7"/>
      <c r="AJ298" s="7"/>
      <c r="AK298" s="7">
        <v>67</v>
      </c>
      <c r="AL298" s="7"/>
      <c r="AM298" s="7"/>
      <c r="AN298" s="7"/>
      <c r="AO298" s="7"/>
      <c r="AP298" s="7"/>
      <c r="AQ298" s="7"/>
      <c r="AR298" s="7"/>
      <c r="AS298" s="7"/>
      <c r="AT298" s="7">
        <v>72</v>
      </c>
      <c r="AU298" s="7">
        <v>78</v>
      </c>
      <c r="AV298" s="7"/>
      <c r="AW298" s="7"/>
      <c r="AX298" s="7"/>
      <c r="AY298" s="7"/>
      <c r="AZ298" s="7"/>
      <c r="BA298" s="7">
        <v>135</v>
      </c>
      <c r="BB298" s="7"/>
      <c r="BC298" s="7"/>
      <c r="BD298" s="7"/>
      <c r="BE298" s="7"/>
      <c r="BF298" s="7"/>
      <c r="BG298" s="7"/>
      <c r="BH298" s="7">
        <v>135</v>
      </c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</row>
    <row r="299" spans="1:78" s="8" customFormat="1" ht="20.100000000000001" customHeight="1" x14ac:dyDescent="0.3">
      <c r="A299" s="13">
        <v>293</v>
      </c>
      <c r="B299" s="9" t="s">
        <v>359</v>
      </c>
      <c r="C299" s="66" t="s">
        <v>160</v>
      </c>
      <c r="D299" s="46">
        <f>VLOOKUP(F301,[1]SKU리스트!$H:$L,5,FALSE)</f>
        <v>8900</v>
      </c>
      <c r="E299" s="47">
        <f>VLOOKUP(F301,[1]SKU리스트!$H:$AK,30,FALSE)</f>
        <v>3421.6363636363626</v>
      </c>
      <c r="F299" s="10" t="s">
        <v>191</v>
      </c>
      <c r="G299" s="11"/>
      <c r="H299" s="11"/>
      <c r="I299" s="11"/>
      <c r="J299" s="9"/>
      <c r="K299" s="12"/>
      <c r="M299" s="8">
        <v>285</v>
      </c>
      <c r="Q299" s="44" t="s">
        <v>125</v>
      </c>
      <c r="R299" s="54">
        <v>2</v>
      </c>
      <c r="S299" s="54">
        <v>0</v>
      </c>
      <c r="T299" s="54">
        <v>0</v>
      </c>
      <c r="U299" s="54">
        <v>0</v>
      </c>
      <c r="V299" s="54">
        <v>0</v>
      </c>
      <c r="W299" s="54">
        <v>1</v>
      </c>
      <c r="X299" s="54">
        <v>1</v>
      </c>
      <c r="Y299" s="54">
        <v>1</v>
      </c>
      <c r="Z299" s="54">
        <v>0</v>
      </c>
      <c r="AA299" s="54">
        <v>2</v>
      </c>
      <c r="AB299" s="54">
        <v>1</v>
      </c>
      <c r="AC299" s="54">
        <v>0</v>
      </c>
      <c r="AD299" s="54">
        <v>0</v>
      </c>
      <c r="AE299" s="54">
        <v>1</v>
      </c>
      <c r="AF299" s="54">
        <v>1</v>
      </c>
      <c r="AG299" s="54">
        <v>1</v>
      </c>
      <c r="AH299" s="54">
        <v>0</v>
      </c>
      <c r="AI299" s="54">
        <v>15</v>
      </c>
      <c r="AJ299" s="54">
        <v>1</v>
      </c>
      <c r="AK299" s="54">
        <v>0</v>
      </c>
      <c r="AL299" s="54">
        <v>0</v>
      </c>
      <c r="AM299" s="54">
        <v>0</v>
      </c>
      <c r="AN299" s="54">
        <v>0</v>
      </c>
      <c r="AO299" s="54">
        <v>0</v>
      </c>
      <c r="AP299" s="54">
        <v>0</v>
      </c>
      <c r="AQ299" s="54">
        <v>0</v>
      </c>
      <c r="AR299" s="54">
        <v>0</v>
      </c>
      <c r="AS299" s="54">
        <v>0</v>
      </c>
      <c r="AT299" s="54">
        <v>0</v>
      </c>
      <c r="AU299" s="54">
        <v>0</v>
      </c>
      <c r="AV299" s="54">
        <v>0</v>
      </c>
      <c r="AW299" s="54">
        <v>0</v>
      </c>
      <c r="AX299" s="54">
        <v>1</v>
      </c>
      <c r="AY299" s="54">
        <v>0</v>
      </c>
      <c r="AZ299" s="54">
        <v>1</v>
      </c>
      <c r="BA299" s="54">
        <v>0</v>
      </c>
      <c r="BB299" s="54">
        <v>2</v>
      </c>
      <c r="BC299" s="54">
        <v>0</v>
      </c>
      <c r="BD299" s="54">
        <v>0</v>
      </c>
      <c r="BE299" s="54">
        <v>0</v>
      </c>
      <c r="BF299" s="54">
        <v>17</v>
      </c>
      <c r="BG299" s="54">
        <v>0</v>
      </c>
      <c r="BH299" s="54">
        <v>4</v>
      </c>
      <c r="BI299" s="54">
        <v>0</v>
      </c>
      <c r="BJ299" s="54">
        <v>1</v>
      </c>
      <c r="BK299" s="54">
        <v>1</v>
      </c>
      <c r="BL299" s="54">
        <v>-15</v>
      </c>
      <c r="BM299" s="54">
        <v>-2</v>
      </c>
      <c r="BN299" s="54">
        <v>1</v>
      </c>
      <c r="BO299" s="54">
        <v>0</v>
      </c>
      <c r="BP299" s="54">
        <v>1</v>
      </c>
      <c r="BQ299" s="54">
        <v>3</v>
      </c>
      <c r="BR299" s="54">
        <v>0</v>
      </c>
      <c r="BS299" s="54">
        <v>1</v>
      </c>
      <c r="BT299" s="54">
        <v>1</v>
      </c>
      <c r="BU299" s="54"/>
      <c r="BV299" s="54"/>
      <c r="BW299" s="54"/>
      <c r="BX299" s="85">
        <f>VLOOKUP(F299,[1]SKU리스트!$H:$AH,27,FALSE)</f>
        <v>8667</v>
      </c>
      <c r="BY299" s="9"/>
    </row>
    <row r="300" spans="1:78" ht="20.100000000000001" customHeight="1" x14ac:dyDescent="0.3">
      <c r="A300" s="13">
        <v>294</v>
      </c>
      <c r="B300" s="4" t="s">
        <v>359</v>
      </c>
      <c r="C300" s="67" t="s">
        <v>160</v>
      </c>
      <c r="D300" s="1"/>
      <c r="E300" s="1"/>
      <c r="F300" s="2" t="s">
        <v>316</v>
      </c>
      <c r="H300" s="3"/>
      <c r="M300" s="1">
        <v>286</v>
      </c>
      <c r="Q300" s="39" t="s">
        <v>282</v>
      </c>
      <c r="R300" s="5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50"/>
      <c r="AL300" s="50"/>
      <c r="AM300" s="50"/>
      <c r="AN300" s="50"/>
      <c r="AO300" s="53">
        <f>SUM(AI299:AO299)</f>
        <v>16</v>
      </c>
      <c r="AP300" s="51">
        <v>0</v>
      </c>
      <c r="AQ300" s="50"/>
      <c r="AR300" s="50"/>
      <c r="AS300" s="50"/>
      <c r="AT300" s="50"/>
      <c r="AU300" s="50"/>
      <c r="AV300" s="53">
        <f>SUM(AP299:AV299)</f>
        <v>0</v>
      </c>
      <c r="AW300" s="50">
        <v>0</v>
      </c>
      <c r="AX300" s="50"/>
      <c r="AY300" s="50"/>
      <c r="AZ300" s="50"/>
      <c r="BA300" s="50"/>
      <c r="BB300" s="50"/>
      <c r="BC300" s="53">
        <f>SUM(AW299:BC299)</f>
        <v>4</v>
      </c>
      <c r="BD300" s="50">
        <v>3</v>
      </c>
      <c r="BE300" s="50"/>
      <c r="BF300" s="50"/>
      <c r="BG300" s="50"/>
      <c r="BH300" s="50"/>
      <c r="BI300" s="50"/>
      <c r="BJ300" s="53">
        <f>SUM(BD299:BJ299)</f>
        <v>22</v>
      </c>
      <c r="BK300" s="50">
        <v>0</v>
      </c>
      <c r="BL300" s="50"/>
      <c r="BM300" s="50"/>
      <c r="BN300" s="50"/>
      <c r="BO300" s="50"/>
      <c r="BP300" s="50"/>
      <c r="BQ300" s="53">
        <f>SUM(BK299:BQ299)</f>
        <v>-11</v>
      </c>
      <c r="BR300" s="50">
        <v>3</v>
      </c>
      <c r="BS300" s="50"/>
      <c r="BT300" s="50"/>
      <c r="BU300" s="50"/>
      <c r="BV300" s="50"/>
      <c r="BW300" s="50"/>
    </row>
    <row r="301" spans="1:78" ht="20.100000000000001" customHeight="1" x14ac:dyDescent="0.3">
      <c r="A301" s="13">
        <v>295</v>
      </c>
      <c r="B301" s="91" t="s">
        <v>359</v>
      </c>
      <c r="C301" s="92" t="s">
        <v>160</v>
      </c>
      <c r="D301" s="91"/>
      <c r="E301" s="91"/>
      <c r="F301" s="96">
        <v>92868664391</v>
      </c>
      <c r="G301" s="97"/>
      <c r="H301" s="97"/>
      <c r="I301" s="97"/>
      <c r="J301" s="91"/>
      <c r="L301" s="98"/>
      <c r="M301" s="98">
        <v>287</v>
      </c>
      <c r="N301" s="98"/>
      <c r="O301" s="98"/>
      <c r="P301" s="98"/>
      <c r="Q301" s="41" t="s">
        <v>1</v>
      </c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 t="str">
        <f>IFERROR(VLOOKUP($F301,[2]원본!$D:$BX,AI$1,FALSE),"")</f>
        <v/>
      </c>
      <c r="AJ301" s="40" t="str">
        <f>IFERROR(VLOOKUP($F301,[2]원본!$D:$BX,AJ$1,FALSE),"")</f>
        <v/>
      </c>
      <c r="AK301" s="40" t="str">
        <f>IFERROR(VLOOKUP($F301,[2]원본!$D:$BX,AK$1,FALSE),"")</f>
        <v/>
      </c>
      <c r="AL301" s="40" t="str">
        <f>IFERROR(VLOOKUP($F301,[2]원본!$D:$BX,AL$1,FALSE),"")</f>
        <v/>
      </c>
      <c r="AM301" s="40" t="str">
        <f>IFERROR(VLOOKUP($F301,[2]원본!$D:$BX,AM$1,FALSE),"")</f>
        <v/>
      </c>
      <c r="AN301" s="40" t="str">
        <f>IFERROR(VLOOKUP($F301,[2]원본!$D:$BX,AN$1,FALSE),"")</f>
        <v/>
      </c>
      <c r="AO301" s="40" t="str">
        <f>IFERROR(VLOOKUP($F301,[2]원본!$D:$BX,AO$1,FALSE),"")</f>
        <v/>
      </c>
      <c r="AP301" s="40" t="str">
        <f>IFERROR(VLOOKUP($F301,[2]원본!$D:$BX,AP$1,FALSE),"")</f>
        <v/>
      </c>
      <c r="AQ301" s="40" t="str">
        <f>IFERROR(VLOOKUP($F301,[2]원본!$D:$BX,AQ$1,FALSE),"")</f>
        <v/>
      </c>
      <c r="AR301" s="40" t="str">
        <f>IFERROR(VLOOKUP($F301,[2]원본!$D:$BX,AR$1,FALSE),"")</f>
        <v/>
      </c>
      <c r="AS301" s="40" t="str">
        <f>IFERROR(VLOOKUP($F301,[2]원본!$D:$BX,AS$1,FALSE),"")</f>
        <v/>
      </c>
      <c r="AT301" s="40" t="str">
        <f>IFERROR(VLOOKUP($F301,[2]원본!$D:$BX,AT$1,FALSE),"")</f>
        <v/>
      </c>
      <c r="AU301" s="40" t="str">
        <f>IFERROR(VLOOKUP($F301,[2]원본!$D:$BX,AU$1,FALSE),"")</f>
        <v/>
      </c>
      <c r="AV301" s="40" t="str">
        <f>IFERROR(VLOOKUP($F301,[2]원본!$D:$BX,AV$1,FALSE),"")</f>
        <v/>
      </c>
      <c r="AW301" s="40" t="str">
        <f>IFERROR(VLOOKUP($F301,[2]원본!$D:$BX,AW$1,FALSE),"")</f>
        <v/>
      </c>
      <c r="AX301" s="40" t="str">
        <f>IFERROR(VLOOKUP($F301,[2]원본!$D:$BX,AX$1,FALSE),"")</f>
        <v/>
      </c>
      <c r="AY301" s="40" t="str">
        <f>IFERROR(VLOOKUP($F301,[2]원본!$D:$BX,AY$1,FALSE),"")</f>
        <v/>
      </c>
      <c r="AZ301" s="40" t="str">
        <f>IFERROR(VLOOKUP($F301,[2]원본!$D:$BX,AZ$1,FALSE),"")</f>
        <v/>
      </c>
      <c r="BA301" s="40" t="str">
        <f>IFERROR(VLOOKUP($F301,[2]원본!$D:$BX,BA$1,FALSE),"")</f>
        <v/>
      </c>
      <c r="BB301" s="40" t="str">
        <f>IFERROR(VLOOKUP($F301,[2]원본!$D:$BX,BB$1,FALSE),"")</f>
        <v/>
      </c>
      <c r="BC301" s="40" t="str">
        <f>IFERROR(VLOOKUP($F301,[2]원본!$D:$BX,BC$1,FALSE),"")</f>
        <v/>
      </c>
      <c r="BD301" s="40" t="str">
        <f>IFERROR(VLOOKUP($F301,[2]원본!$D:$BX,BD$1,FALSE),"")</f>
        <v/>
      </c>
      <c r="BE301" s="40" t="str">
        <f>IFERROR(VLOOKUP($F301,[2]원본!$D:$BX,BE$1,FALSE),"")</f>
        <v/>
      </c>
      <c r="BF301" s="40" t="str">
        <f>IFERROR(VLOOKUP($F301,[2]원본!$D:$BX,BF$1,FALSE),"")</f>
        <v/>
      </c>
      <c r="BG301" s="40" t="str">
        <f>IFERROR(VLOOKUP($F301,[2]원본!$D:$BX,BG$1,FALSE),"")</f>
        <v/>
      </c>
      <c r="BH301" s="40" t="str">
        <f>IFERROR(VLOOKUP($F301,[2]원본!$D:$BX,BH$1,FALSE),"")</f>
        <v/>
      </c>
      <c r="BI301" s="40" t="str">
        <f>IFERROR(VLOOKUP($F301,[2]원본!$D:$BX,BI$1,FALSE),"")</f>
        <v/>
      </c>
      <c r="BJ301" s="40" t="str">
        <f>IFERROR(VLOOKUP($F301,[2]원본!$D:$BX,BJ$1,FALSE),"")</f>
        <v/>
      </c>
      <c r="BK301" s="40" t="str">
        <f>IFERROR(VLOOKUP($F301,[2]원본!$D:$BX,BK$1,FALSE),"")</f>
        <v/>
      </c>
      <c r="BL301" s="40" t="str">
        <f>IFERROR(VLOOKUP($F301,[2]원본!$D:$BX,BL$1,FALSE),"")</f>
        <v/>
      </c>
      <c r="BM301" s="40" t="str">
        <f>IFERROR(VLOOKUP($F301,[2]원본!$D:$BX,BM$1,FALSE),"")</f>
        <v/>
      </c>
      <c r="BN301" s="40" t="str">
        <f>IFERROR(VLOOKUP($F301,[2]원본!$D:$BX,BN$1,FALSE),"")</f>
        <v/>
      </c>
      <c r="BO301" s="40" t="str">
        <f>IFERROR(VLOOKUP($F301,[2]원본!$D:$BX,BO$1,FALSE),"")</f>
        <v/>
      </c>
      <c r="BP301" s="40" t="str">
        <f>IFERROR(VLOOKUP($F301,[2]원본!$D:$BX,BP$1,FALSE),"")</f>
        <v/>
      </c>
      <c r="BQ301" s="40" t="str">
        <f>IFERROR(VLOOKUP($F301,[2]원본!$D:$BX,BQ$1,FALSE),"")</f>
        <v/>
      </c>
      <c r="BR301" s="40" t="str">
        <f>IFERROR(VLOOKUP($F301,[2]원본!$D:$BX,BR$1,FALSE),"")</f>
        <v/>
      </c>
      <c r="BS301" s="40" t="str">
        <f>IFERROR(VLOOKUP($F301,[2]원본!$D:$BX,BS$1,FALSE),"")</f>
        <v/>
      </c>
      <c r="BT301" s="40" t="str">
        <f>IFERROR(VLOOKUP($F301,[2]원본!$D:$BX,BT$1,FALSE),"")</f>
        <v/>
      </c>
      <c r="BU301" s="40" t="str">
        <f>IFERROR(VLOOKUP($F301,[2]원본!$D:$BX,BU$1,FALSE),"")</f>
        <v/>
      </c>
      <c r="BV301" s="40" t="str">
        <f>IFERROR(VLOOKUP($F301,#REF!,BV$1,FALSE),"")</f>
        <v/>
      </c>
      <c r="BW301" s="40"/>
      <c r="BX301" s="26">
        <f>(SUM(R301:BW301)*D299)-(SUM(R301:BW301)*E299)</f>
        <v>0</v>
      </c>
      <c r="BY301" s="91"/>
      <c r="BZ301" s="100" t="str">
        <f>IFERROR(VLOOKUP($F301,#REF!,BZ$1,FALSE),"")</f>
        <v/>
      </c>
    </row>
    <row r="302" spans="1:78" ht="20.100000000000001" customHeight="1" x14ac:dyDescent="0.3">
      <c r="A302" s="13">
        <v>296</v>
      </c>
      <c r="B302" s="91" t="s">
        <v>359</v>
      </c>
      <c r="C302" s="92" t="s">
        <v>160</v>
      </c>
      <c r="D302" s="91"/>
      <c r="E302" s="91"/>
      <c r="F302" s="96">
        <v>92868664391</v>
      </c>
      <c r="G302" s="97"/>
      <c r="H302" s="97"/>
      <c r="I302" s="97"/>
      <c r="J302" s="91" t="s">
        <v>21</v>
      </c>
      <c r="K302" s="62">
        <v>168300</v>
      </c>
      <c r="L302" s="98"/>
      <c r="M302" s="98">
        <v>288</v>
      </c>
      <c r="N302" s="98"/>
      <c r="O302" s="98"/>
      <c r="P302" s="98"/>
      <c r="Q302" s="7" t="s">
        <v>185</v>
      </c>
      <c r="R302" s="7"/>
      <c r="S302" s="7"/>
      <c r="T302" s="7" t="s">
        <v>36</v>
      </c>
      <c r="U302" s="7"/>
      <c r="V302" s="7" t="s">
        <v>47</v>
      </c>
      <c r="W302" s="7"/>
      <c r="X302" s="7"/>
      <c r="Y302" s="7" t="s">
        <v>41</v>
      </c>
      <c r="Z302" s="7" t="s">
        <v>36</v>
      </c>
      <c r="AA302" s="7" t="s">
        <v>36</v>
      </c>
      <c r="AB302" s="7"/>
      <c r="AC302" s="7" t="s">
        <v>36</v>
      </c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22"/>
      <c r="AU302" s="22"/>
      <c r="AV302" s="22"/>
      <c r="AW302" s="22"/>
      <c r="AX302" s="22"/>
      <c r="AY302" s="22"/>
      <c r="AZ302" s="22"/>
      <c r="BA302" s="22"/>
      <c r="BB302" s="22"/>
      <c r="BC302" s="22"/>
      <c r="BD302" s="22"/>
      <c r="BE302" s="22"/>
      <c r="BF302" s="22"/>
      <c r="BG302" s="22"/>
      <c r="BH302" s="22"/>
      <c r="BI302" s="22"/>
      <c r="BJ302" s="22"/>
      <c r="BK302" s="22"/>
      <c r="BL302" s="22"/>
      <c r="BM302" s="22"/>
      <c r="BN302" s="22"/>
      <c r="BO302" s="22"/>
      <c r="BP302" s="22"/>
      <c r="BQ302" s="22"/>
      <c r="BR302" s="22"/>
      <c r="BS302" s="22"/>
      <c r="BT302" s="22"/>
      <c r="BU302" s="22"/>
      <c r="BV302" s="22"/>
      <c r="BW302" s="22"/>
      <c r="BY302" s="91"/>
      <c r="BZ302" s="98"/>
    </row>
    <row r="303" spans="1:78" ht="20.100000000000001" customHeight="1" x14ac:dyDescent="0.3">
      <c r="A303" s="13">
        <v>297</v>
      </c>
      <c r="B303" s="91" t="s">
        <v>359</v>
      </c>
      <c r="C303" s="92" t="s">
        <v>160</v>
      </c>
      <c r="D303" s="94"/>
      <c r="E303" s="94"/>
      <c r="F303" s="96">
        <v>92868664391</v>
      </c>
      <c r="G303" s="97"/>
      <c r="H303" s="97"/>
      <c r="I303" s="97"/>
      <c r="J303" s="91" t="s">
        <v>15</v>
      </c>
      <c r="K303" s="62">
        <v>59200</v>
      </c>
      <c r="L303" s="98"/>
      <c r="M303" s="98">
        <v>289</v>
      </c>
      <c r="N303" s="98"/>
      <c r="O303" s="98"/>
      <c r="P303" s="98"/>
      <c r="Q303" s="7" t="s">
        <v>185</v>
      </c>
      <c r="R303" s="7"/>
      <c r="S303" s="7"/>
      <c r="T303" s="7">
        <v>577</v>
      </c>
      <c r="U303" s="7"/>
      <c r="V303" s="7">
        <v>597</v>
      </c>
      <c r="W303" s="7">
        <v>548</v>
      </c>
      <c r="X303" s="7">
        <v>567</v>
      </c>
      <c r="Y303" s="7" t="s">
        <v>41</v>
      </c>
      <c r="Z303" s="7">
        <v>548</v>
      </c>
      <c r="AA303" s="7" t="s">
        <v>36</v>
      </c>
      <c r="AB303" s="7"/>
      <c r="AC303" s="7" t="s">
        <v>36</v>
      </c>
      <c r="AD303" s="7" t="s">
        <v>36</v>
      </c>
      <c r="AE303" s="7" t="s">
        <v>36</v>
      </c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22"/>
      <c r="AU303" s="22"/>
      <c r="AV303" s="22"/>
      <c r="AW303" s="22"/>
      <c r="AX303" s="22"/>
      <c r="AY303" s="22"/>
      <c r="AZ303" s="22"/>
      <c r="BA303" s="22"/>
      <c r="BB303" s="22"/>
      <c r="BC303" s="22"/>
      <c r="BD303" s="22"/>
      <c r="BE303" s="22"/>
      <c r="BF303" s="22"/>
      <c r="BG303" s="22"/>
      <c r="BH303" s="22"/>
      <c r="BI303" s="22"/>
      <c r="BJ303" s="22"/>
      <c r="BK303" s="22"/>
      <c r="BL303" s="22"/>
      <c r="BM303" s="22"/>
      <c r="BN303" s="22"/>
      <c r="BO303" s="22"/>
      <c r="BP303" s="22"/>
      <c r="BQ303" s="22"/>
      <c r="BR303" s="22"/>
      <c r="BS303" s="22"/>
      <c r="BT303" s="22"/>
      <c r="BU303" s="22"/>
      <c r="BV303" s="22"/>
      <c r="BW303" s="22"/>
      <c r="BY303" s="91"/>
      <c r="BZ303" s="98"/>
    </row>
    <row r="304" spans="1:78" ht="20.100000000000001" customHeight="1" x14ac:dyDescent="0.3">
      <c r="A304" s="13">
        <v>298</v>
      </c>
      <c r="B304" s="4" t="s">
        <v>359</v>
      </c>
      <c r="C304" s="67" t="s">
        <v>160</v>
      </c>
      <c r="D304" s="20"/>
      <c r="E304" s="20"/>
      <c r="F304" s="2">
        <v>92868664391</v>
      </c>
      <c r="H304" s="3"/>
      <c r="J304" s="4" t="s">
        <v>52</v>
      </c>
      <c r="K304" s="5">
        <v>3500</v>
      </c>
      <c r="M304" s="1">
        <v>290</v>
      </c>
      <c r="Q304" s="7" t="s">
        <v>185</v>
      </c>
      <c r="R304" s="7"/>
      <c r="S304" s="7"/>
      <c r="T304" s="7" t="s">
        <v>36</v>
      </c>
      <c r="U304" s="7"/>
      <c r="V304" s="7" t="s">
        <v>47</v>
      </c>
      <c r="W304" s="7"/>
      <c r="X304" s="7"/>
      <c r="Y304" s="7" t="s">
        <v>41</v>
      </c>
      <c r="Z304" s="7">
        <v>59</v>
      </c>
      <c r="AA304" s="7" t="s">
        <v>36</v>
      </c>
      <c r="AB304" s="7"/>
      <c r="AC304" s="7" t="s">
        <v>36</v>
      </c>
      <c r="AD304" s="7" t="s">
        <v>36</v>
      </c>
      <c r="AE304" s="7" t="s">
        <v>36</v>
      </c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22"/>
      <c r="AU304" s="22"/>
      <c r="AV304" s="22"/>
      <c r="AW304" s="22"/>
      <c r="AX304" s="22"/>
      <c r="AY304" s="22"/>
      <c r="AZ304" s="22"/>
      <c r="BA304" s="22"/>
      <c r="BB304" s="22"/>
      <c r="BC304" s="22"/>
      <c r="BD304" s="22"/>
      <c r="BE304" s="22"/>
      <c r="BF304" s="22"/>
      <c r="BG304" s="22"/>
      <c r="BH304" s="22"/>
      <c r="BI304" s="22"/>
      <c r="BJ304" s="22"/>
      <c r="BK304" s="22"/>
      <c r="BL304" s="22"/>
      <c r="BM304" s="22"/>
      <c r="BN304" s="22"/>
      <c r="BO304" s="22"/>
      <c r="BP304" s="22"/>
      <c r="BQ304" s="22"/>
      <c r="BR304" s="22"/>
      <c r="BS304" s="22"/>
      <c r="BT304" s="22"/>
      <c r="BU304" s="22"/>
      <c r="BV304" s="22"/>
      <c r="BW304" s="22"/>
    </row>
    <row r="305" spans="1:78" s="14" customFormat="1" ht="20.100000000000001" customHeight="1" thickBot="1" x14ac:dyDescent="0.35">
      <c r="A305" s="13">
        <v>299</v>
      </c>
      <c r="B305" s="15" t="s">
        <v>359</v>
      </c>
      <c r="C305" s="68" t="s">
        <v>160</v>
      </c>
      <c r="D305" s="83" t="s">
        <v>51</v>
      </c>
      <c r="E305" s="21"/>
      <c r="F305" s="16">
        <v>92868664391</v>
      </c>
      <c r="G305" s="17" t="s">
        <v>129</v>
      </c>
      <c r="H305" s="17"/>
      <c r="I305" s="17"/>
      <c r="J305" s="15" t="s">
        <v>53</v>
      </c>
      <c r="K305" s="18">
        <v>1200</v>
      </c>
      <c r="L305" s="14">
        <v>1</v>
      </c>
      <c r="M305" s="14">
        <v>291</v>
      </c>
      <c r="Q305" s="45" t="s">
        <v>0</v>
      </c>
      <c r="R305" s="19">
        <v>124</v>
      </c>
      <c r="S305" s="19">
        <v>129</v>
      </c>
      <c r="T305" s="19">
        <v>125</v>
      </c>
      <c r="U305" s="19"/>
      <c r="V305" s="19">
        <v>117</v>
      </c>
      <c r="W305" s="19">
        <v>115</v>
      </c>
      <c r="X305" s="19">
        <v>79</v>
      </c>
      <c r="Y305" s="19">
        <v>147</v>
      </c>
      <c r="Z305" s="19">
        <v>147</v>
      </c>
      <c r="AA305" s="19">
        <v>121</v>
      </c>
      <c r="AB305" s="19"/>
      <c r="AC305" s="19">
        <v>127</v>
      </c>
      <c r="AD305" s="19"/>
      <c r="AE305" s="19">
        <v>20</v>
      </c>
      <c r="AF305" s="19"/>
      <c r="AG305" s="19"/>
      <c r="AH305" s="19"/>
      <c r="AI305" s="19"/>
      <c r="AJ305" s="19"/>
      <c r="AK305" s="19">
        <v>53</v>
      </c>
      <c r="AL305" s="19"/>
      <c r="AM305" s="19"/>
      <c r="AN305" s="19"/>
      <c r="AO305" s="19"/>
      <c r="AP305" s="19"/>
      <c r="AQ305" s="19"/>
      <c r="AR305" s="19"/>
      <c r="AS305" s="19"/>
      <c r="AT305" s="19"/>
      <c r="AU305" s="19">
        <v>143</v>
      </c>
      <c r="AV305" s="19"/>
      <c r="AW305" s="19"/>
      <c r="AX305" s="19">
        <v>37</v>
      </c>
      <c r="AY305" s="19"/>
      <c r="AZ305" s="19">
        <v>51</v>
      </c>
      <c r="BA305" s="19">
        <v>93</v>
      </c>
      <c r="BB305" s="19">
        <v>59</v>
      </c>
      <c r="BC305" s="19"/>
      <c r="BD305" s="19"/>
      <c r="BE305" s="19">
        <v>54</v>
      </c>
      <c r="BF305" s="19">
        <v>31</v>
      </c>
      <c r="BG305" s="19">
        <v>61</v>
      </c>
      <c r="BH305" s="19">
        <v>93</v>
      </c>
      <c r="BI305" s="19">
        <v>58</v>
      </c>
      <c r="BJ305" s="19"/>
      <c r="BK305" s="19"/>
      <c r="BL305" s="19">
        <v>58</v>
      </c>
      <c r="BM305" s="19"/>
      <c r="BN305" s="19">
        <v>58</v>
      </c>
      <c r="BO305" s="19">
        <v>58</v>
      </c>
      <c r="BP305" s="19"/>
      <c r="BQ305" s="19"/>
      <c r="BR305" s="19"/>
      <c r="BS305" s="19">
        <v>58</v>
      </c>
      <c r="BT305" s="19">
        <v>58</v>
      </c>
      <c r="BU305" s="19">
        <v>58</v>
      </c>
      <c r="BV305" s="19"/>
      <c r="BW305" s="19"/>
      <c r="BX305" s="18"/>
      <c r="BY305" s="15"/>
    </row>
    <row r="306" spans="1:78" s="8" customFormat="1" ht="20.100000000000001" customHeight="1" x14ac:dyDescent="0.3">
      <c r="A306" s="13">
        <v>300</v>
      </c>
      <c r="B306" s="9" t="s">
        <v>359</v>
      </c>
      <c r="C306" s="66" t="s">
        <v>160</v>
      </c>
      <c r="D306" s="46">
        <f>VLOOKUP(F308,[1]SKU리스트!$H:$L,5,FALSE)</f>
        <v>12900</v>
      </c>
      <c r="E306" s="47">
        <f>VLOOKUP(F308,[1]SKU리스트!$H:$AK,30,FALSE)</f>
        <v>4753.4545454545441</v>
      </c>
      <c r="F306" s="10" t="s">
        <v>192</v>
      </c>
      <c r="G306" s="11"/>
      <c r="H306" s="11"/>
      <c r="I306" s="11"/>
      <c r="J306" s="9"/>
      <c r="K306" s="12"/>
      <c r="M306" s="8">
        <v>292</v>
      </c>
      <c r="Q306" s="44" t="s">
        <v>125</v>
      </c>
      <c r="R306" s="54">
        <v>2</v>
      </c>
      <c r="S306" s="54">
        <v>0</v>
      </c>
      <c r="T306" s="54">
        <v>1</v>
      </c>
      <c r="U306" s="54">
        <v>0</v>
      </c>
      <c r="V306" s="54">
        <v>2</v>
      </c>
      <c r="W306" s="54">
        <v>4</v>
      </c>
      <c r="X306" s="54">
        <v>0</v>
      </c>
      <c r="Y306" s="54">
        <v>0</v>
      </c>
      <c r="Z306" s="54">
        <v>2</v>
      </c>
      <c r="AA306" s="54">
        <v>1</v>
      </c>
      <c r="AB306" s="54">
        <v>0</v>
      </c>
      <c r="AC306" s="54">
        <v>0</v>
      </c>
      <c r="AD306" s="54">
        <v>1</v>
      </c>
      <c r="AE306" s="54">
        <v>2</v>
      </c>
      <c r="AF306" s="54">
        <v>0</v>
      </c>
      <c r="AG306" s="54">
        <v>111</v>
      </c>
      <c r="AH306" s="54">
        <v>0</v>
      </c>
      <c r="AI306" s="54">
        <v>0</v>
      </c>
      <c r="AJ306" s="54">
        <v>0</v>
      </c>
      <c r="AK306" s="54">
        <v>0</v>
      </c>
      <c r="AL306" s="54">
        <v>0</v>
      </c>
      <c r="AM306" s="54">
        <v>0</v>
      </c>
      <c r="AN306" s="54">
        <v>0</v>
      </c>
      <c r="AO306" s="54">
        <v>0</v>
      </c>
      <c r="AP306" s="54">
        <v>0</v>
      </c>
      <c r="AQ306" s="54">
        <v>0</v>
      </c>
      <c r="AR306" s="54">
        <v>0</v>
      </c>
      <c r="AS306" s="54">
        <v>0</v>
      </c>
      <c r="AT306" s="54">
        <v>0</v>
      </c>
      <c r="AU306" s="54">
        <v>0</v>
      </c>
      <c r="AV306" s="54">
        <v>0</v>
      </c>
      <c r="AW306" s="54">
        <v>0</v>
      </c>
      <c r="AX306" s="54">
        <v>0</v>
      </c>
      <c r="AY306" s="54">
        <v>0</v>
      </c>
      <c r="AZ306" s="54">
        <v>0</v>
      </c>
      <c r="BA306" s="54">
        <v>0</v>
      </c>
      <c r="BB306" s="54">
        <v>0</v>
      </c>
      <c r="BC306" s="54">
        <v>0</v>
      </c>
      <c r="BD306" s="54">
        <v>0</v>
      </c>
      <c r="BE306" s="54">
        <v>0</v>
      </c>
      <c r="BF306" s="54">
        <v>0</v>
      </c>
      <c r="BG306" s="54">
        <v>0</v>
      </c>
      <c r="BH306" s="54">
        <v>0</v>
      </c>
      <c r="BI306" s="54">
        <v>0</v>
      </c>
      <c r="BJ306" s="54">
        <v>0</v>
      </c>
      <c r="BK306" s="54">
        <v>0</v>
      </c>
      <c r="BL306" s="54">
        <v>0</v>
      </c>
      <c r="BM306" s="54">
        <v>0</v>
      </c>
      <c r="BN306" s="54">
        <v>0</v>
      </c>
      <c r="BO306" s="54">
        <v>1</v>
      </c>
      <c r="BP306" s="54">
        <v>0</v>
      </c>
      <c r="BQ306" s="54">
        <v>0</v>
      </c>
      <c r="BR306" s="54">
        <v>0</v>
      </c>
      <c r="BS306" s="54">
        <v>0</v>
      </c>
      <c r="BT306" s="54">
        <v>0</v>
      </c>
      <c r="BU306" s="54"/>
      <c r="BV306" s="54"/>
      <c r="BW306" s="54"/>
      <c r="BX306" s="85">
        <f>VLOOKUP(F306,[1]SKU리스트!$H:$AH,27,FALSE)</f>
        <v>3192</v>
      </c>
      <c r="BY306" s="9"/>
    </row>
    <row r="307" spans="1:78" ht="20.100000000000001" customHeight="1" x14ac:dyDescent="0.3">
      <c r="A307" s="13">
        <v>301</v>
      </c>
      <c r="B307" s="4" t="s">
        <v>359</v>
      </c>
      <c r="C307" s="67" t="s">
        <v>160</v>
      </c>
      <c r="D307" s="1"/>
      <c r="E307" s="1"/>
      <c r="F307" s="2" t="s">
        <v>317</v>
      </c>
      <c r="H307" s="3"/>
      <c r="M307" s="1">
        <v>293</v>
      </c>
      <c r="Q307" s="39" t="s">
        <v>282</v>
      </c>
      <c r="R307" s="5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50"/>
      <c r="AL307" s="50"/>
      <c r="AM307" s="50"/>
      <c r="AN307" s="50"/>
      <c r="AO307" s="53">
        <f>SUM(AI306:AO306)</f>
        <v>0</v>
      </c>
      <c r="AP307" s="51" t="s">
        <v>221</v>
      </c>
      <c r="AQ307" s="50"/>
      <c r="AR307" s="50"/>
      <c r="AS307" s="50"/>
      <c r="AT307" s="50"/>
      <c r="AU307" s="50"/>
      <c r="AV307" s="53">
        <f>SUM(AP306:AV306)</f>
        <v>0</v>
      </c>
      <c r="AW307" s="50">
        <v>0</v>
      </c>
      <c r="AX307" s="50"/>
      <c r="AY307" s="50"/>
      <c r="AZ307" s="50"/>
      <c r="BA307" s="50"/>
      <c r="BB307" s="50"/>
      <c r="BC307" s="53">
        <f>SUM(AW306:BC306)</f>
        <v>0</v>
      </c>
      <c r="BD307" s="50">
        <v>0</v>
      </c>
      <c r="BE307" s="50"/>
      <c r="BF307" s="50"/>
      <c r="BG307" s="50"/>
      <c r="BH307" s="50"/>
      <c r="BI307" s="50"/>
      <c r="BJ307" s="53">
        <f>SUM(BD306:BJ306)</f>
        <v>0</v>
      </c>
      <c r="BK307" s="50">
        <v>0</v>
      </c>
      <c r="BL307" s="50"/>
      <c r="BM307" s="50"/>
      <c r="BN307" s="50"/>
      <c r="BO307" s="50"/>
      <c r="BP307" s="50"/>
      <c r="BQ307" s="53">
        <f>SUM(BK306:BQ306)</f>
        <v>1</v>
      </c>
      <c r="BR307" s="50">
        <v>0</v>
      </c>
      <c r="BS307" s="50"/>
      <c r="BT307" s="50"/>
      <c r="BU307" s="50"/>
      <c r="BV307" s="50"/>
      <c r="BW307" s="50"/>
    </row>
    <row r="308" spans="1:78" ht="20.100000000000001" customHeight="1" x14ac:dyDescent="0.3">
      <c r="A308" s="13">
        <v>302</v>
      </c>
      <c r="B308" s="4" t="s">
        <v>359</v>
      </c>
      <c r="C308" s="67" t="s">
        <v>160</v>
      </c>
      <c r="F308" s="2">
        <v>92876166284</v>
      </c>
      <c r="H308" s="3"/>
      <c r="M308" s="1">
        <v>294</v>
      </c>
      <c r="Q308" s="41" t="s">
        <v>1</v>
      </c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 t="str">
        <f>IFERROR(VLOOKUP($F308,[2]원본!$D:$BX,AI$1,FALSE),"")</f>
        <v/>
      </c>
      <c r="AJ308" s="40" t="str">
        <f>IFERROR(VLOOKUP($F308,[2]원본!$D:$BX,AJ$1,FALSE),"")</f>
        <v/>
      </c>
      <c r="AK308" s="40" t="str">
        <f>IFERROR(VLOOKUP($F308,[2]원본!$D:$BX,AK$1,FALSE),"")</f>
        <v/>
      </c>
      <c r="AL308" s="40" t="str">
        <f>IFERROR(VLOOKUP($F308,[2]원본!$D:$BX,AL$1,FALSE),"")</f>
        <v/>
      </c>
      <c r="AM308" s="40" t="str">
        <f>IFERROR(VLOOKUP($F308,[2]원본!$D:$BX,AM$1,FALSE),"")</f>
        <v/>
      </c>
      <c r="AN308" s="40" t="str">
        <f>IFERROR(VLOOKUP($F308,[2]원본!$D:$BX,AN$1,FALSE),"")</f>
        <v/>
      </c>
      <c r="AO308" s="40" t="str">
        <f>IFERROR(VLOOKUP($F308,[2]원본!$D:$BX,AO$1,FALSE),"")</f>
        <v/>
      </c>
      <c r="AP308" s="40" t="str">
        <f>IFERROR(VLOOKUP($F308,[2]원본!$D:$BX,AP$1,FALSE),"")</f>
        <v/>
      </c>
      <c r="AQ308" s="40" t="str">
        <f>IFERROR(VLOOKUP($F308,[2]원본!$D:$BX,AQ$1,FALSE),"")</f>
        <v/>
      </c>
      <c r="AR308" s="40" t="str">
        <f>IFERROR(VLOOKUP($F308,[2]원본!$D:$BX,AR$1,FALSE),"")</f>
        <v/>
      </c>
      <c r="AS308" s="40" t="str">
        <f>IFERROR(VLOOKUP($F308,[2]원본!$D:$BX,AS$1,FALSE),"")</f>
        <v/>
      </c>
      <c r="AT308" s="40" t="str">
        <f>IFERROR(VLOOKUP($F308,[2]원본!$D:$BX,AT$1,FALSE),"")</f>
        <v/>
      </c>
      <c r="AU308" s="40" t="str">
        <f>IFERROR(VLOOKUP($F308,[2]원본!$D:$BX,AU$1,FALSE),"")</f>
        <v/>
      </c>
      <c r="AV308" s="40" t="str">
        <f>IFERROR(VLOOKUP($F308,[2]원본!$D:$BX,AV$1,FALSE),"")</f>
        <v/>
      </c>
      <c r="AW308" s="40" t="str">
        <f>IFERROR(VLOOKUP($F308,[2]원본!$D:$BX,AW$1,FALSE),"")</f>
        <v/>
      </c>
      <c r="AX308" s="40" t="str">
        <f>IFERROR(VLOOKUP($F308,[2]원본!$D:$BX,AX$1,FALSE),"")</f>
        <v/>
      </c>
      <c r="AY308" s="40" t="str">
        <f>IFERROR(VLOOKUP($F308,[2]원본!$D:$BX,AY$1,FALSE),"")</f>
        <v/>
      </c>
      <c r="AZ308" s="40" t="str">
        <f>IFERROR(VLOOKUP($F308,[2]원본!$D:$BX,AZ$1,FALSE),"")</f>
        <v/>
      </c>
      <c r="BA308" s="40" t="str">
        <f>IFERROR(VLOOKUP($F308,[2]원본!$D:$BX,BA$1,FALSE),"")</f>
        <v/>
      </c>
      <c r="BB308" s="40" t="str">
        <f>IFERROR(VLOOKUP($F308,[2]원본!$D:$BX,BB$1,FALSE),"")</f>
        <v/>
      </c>
      <c r="BC308" s="40" t="str">
        <f>IFERROR(VLOOKUP($F308,[2]원본!$D:$BX,BC$1,FALSE),"")</f>
        <v/>
      </c>
      <c r="BD308" s="40" t="str">
        <f>IFERROR(VLOOKUP($F308,[2]원본!$D:$BX,BD$1,FALSE),"")</f>
        <v/>
      </c>
      <c r="BE308" s="40" t="str">
        <f>IFERROR(VLOOKUP($F308,[2]원본!$D:$BX,BE$1,FALSE),"")</f>
        <v/>
      </c>
      <c r="BF308" s="40" t="str">
        <f>IFERROR(VLOOKUP($F308,[2]원본!$D:$BX,BF$1,FALSE),"")</f>
        <v/>
      </c>
      <c r="BG308" s="40" t="str">
        <f>IFERROR(VLOOKUP($F308,[2]원본!$D:$BX,BG$1,FALSE),"")</f>
        <v/>
      </c>
      <c r="BH308" s="40" t="str">
        <f>IFERROR(VLOOKUP($F308,[2]원본!$D:$BX,BH$1,FALSE),"")</f>
        <v/>
      </c>
      <c r="BI308" s="40" t="str">
        <f>IFERROR(VLOOKUP($F308,[2]원본!$D:$BX,BI$1,FALSE),"")</f>
        <v/>
      </c>
      <c r="BJ308" s="40" t="str">
        <f>IFERROR(VLOOKUP($F308,[2]원본!$D:$BX,BJ$1,FALSE),"")</f>
        <v/>
      </c>
      <c r="BK308" s="40" t="str">
        <f>IFERROR(VLOOKUP($F308,[2]원본!$D:$BX,BK$1,FALSE),"")</f>
        <v/>
      </c>
      <c r="BL308" s="40" t="str">
        <f>IFERROR(VLOOKUP($F308,[2]원본!$D:$BX,BL$1,FALSE),"")</f>
        <v/>
      </c>
      <c r="BM308" s="40" t="str">
        <f>IFERROR(VLOOKUP($F308,[2]원본!$D:$BX,BM$1,FALSE),"")</f>
        <v/>
      </c>
      <c r="BN308" s="40" t="str">
        <f>IFERROR(VLOOKUP($F308,[2]원본!$D:$BX,BN$1,FALSE),"")</f>
        <v/>
      </c>
      <c r="BO308" s="40" t="str">
        <f>IFERROR(VLOOKUP($F308,[2]원본!$D:$BX,BO$1,FALSE),"")</f>
        <v/>
      </c>
      <c r="BP308" s="40" t="str">
        <f>IFERROR(VLOOKUP($F308,[2]원본!$D:$BX,BP$1,FALSE),"")</f>
        <v/>
      </c>
      <c r="BQ308" s="40" t="str">
        <f>IFERROR(VLOOKUP($F308,[2]원본!$D:$BX,BQ$1,FALSE),"")</f>
        <v/>
      </c>
      <c r="BR308" s="40" t="str">
        <f>IFERROR(VLOOKUP($F308,[2]원본!$D:$BX,BR$1,FALSE),"")</f>
        <v/>
      </c>
      <c r="BS308" s="40" t="str">
        <f>IFERROR(VLOOKUP($F308,[2]원본!$D:$BX,BS$1,FALSE),"")</f>
        <v/>
      </c>
      <c r="BT308" s="40" t="str">
        <f>IFERROR(VLOOKUP($F308,[2]원본!$D:$BX,BT$1,FALSE),"")</f>
        <v/>
      </c>
      <c r="BU308" s="40" t="str">
        <f>IFERROR(VLOOKUP($F308,[2]원본!$D:$BX,BU$1,FALSE),"")</f>
        <v/>
      </c>
      <c r="BV308" s="40" t="str">
        <f>IFERROR(VLOOKUP($F308,#REF!,BV$1,FALSE),"")</f>
        <v/>
      </c>
      <c r="BW308" s="40"/>
      <c r="BX308" s="26">
        <f>(SUM(R308:BW308)*D306)-(SUM(R308:BW308)*E306)</f>
        <v>0</v>
      </c>
      <c r="BZ308" s="100" t="str">
        <f>IFERROR(VLOOKUP($F308,#REF!,BZ$1,FALSE),"")</f>
        <v/>
      </c>
    </row>
    <row r="309" spans="1:78" ht="20.100000000000001" customHeight="1" x14ac:dyDescent="0.3">
      <c r="A309" s="13">
        <v>303</v>
      </c>
      <c r="B309" s="91" t="s">
        <v>359</v>
      </c>
      <c r="C309" s="92" t="s">
        <v>160</v>
      </c>
      <c r="D309" s="95" t="s">
        <v>10</v>
      </c>
      <c r="E309" s="91"/>
      <c r="F309" s="96">
        <v>92876166284</v>
      </c>
      <c r="G309" s="97" t="s">
        <v>130</v>
      </c>
      <c r="H309" s="97"/>
      <c r="I309" s="97"/>
      <c r="J309" s="91" t="s">
        <v>21</v>
      </c>
      <c r="K309" s="62">
        <v>168300</v>
      </c>
      <c r="L309" s="98"/>
      <c r="M309" s="98">
        <v>305</v>
      </c>
      <c r="N309" s="98"/>
      <c r="O309" s="98"/>
      <c r="P309" s="98"/>
      <c r="Q309" s="7" t="s">
        <v>185</v>
      </c>
      <c r="R309" s="7"/>
      <c r="S309" s="7"/>
      <c r="T309" s="7">
        <v>323</v>
      </c>
      <c r="U309" s="7"/>
      <c r="V309" s="7">
        <v>298</v>
      </c>
      <c r="W309" s="7">
        <v>308</v>
      </c>
      <c r="X309" s="7">
        <v>314</v>
      </c>
      <c r="Y309" s="7" t="s">
        <v>54</v>
      </c>
      <c r="Z309" s="7">
        <v>363</v>
      </c>
      <c r="AA309" s="7">
        <v>299</v>
      </c>
      <c r="AB309" s="7"/>
      <c r="AC309" s="7">
        <v>301</v>
      </c>
      <c r="AD309" s="7">
        <v>515</v>
      </c>
      <c r="AE309" s="7" t="s">
        <v>36</v>
      </c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22"/>
      <c r="AU309" s="22"/>
      <c r="AV309" s="22"/>
      <c r="AW309" s="22"/>
      <c r="AX309" s="22"/>
      <c r="AY309" s="22"/>
      <c r="AZ309" s="22"/>
      <c r="BA309" s="22"/>
      <c r="BB309" s="22"/>
      <c r="BC309" s="22"/>
      <c r="BD309" s="22"/>
      <c r="BE309" s="22"/>
      <c r="BF309" s="22"/>
      <c r="BG309" s="22"/>
      <c r="BH309" s="22"/>
      <c r="BI309" s="22"/>
      <c r="BJ309" s="22"/>
      <c r="BK309" s="22"/>
      <c r="BL309" s="22"/>
      <c r="BM309" s="22"/>
      <c r="BN309" s="22"/>
      <c r="BO309" s="22"/>
      <c r="BP309" s="22"/>
      <c r="BQ309" s="22"/>
      <c r="BR309" s="22"/>
      <c r="BS309" s="22"/>
      <c r="BT309" s="22"/>
      <c r="BU309" s="22"/>
      <c r="BV309" s="22"/>
      <c r="BW309" s="22"/>
      <c r="BY309" s="91"/>
      <c r="BZ309" s="98"/>
    </row>
    <row r="310" spans="1:78" ht="20.100000000000001" customHeight="1" x14ac:dyDescent="0.3">
      <c r="A310" s="13">
        <v>304</v>
      </c>
      <c r="B310" s="91" t="s">
        <v>359</v>
      </c>
      <c r="C310" s="92" t="s">
        <v>160</v>
      </c>
      <c r="D310" s="94" t="s">
        <v>55</v>
      </c>
      <c r="E310" s="94"/>
      <c r="F310" s="96">
        <v>92876166284</v>
      </c>
      <c r="G310" s="97"/>
      <c r="H310" s="97"/>
      <c r="I310" s="97"/>
      <c r="J310" s="91" t="s">
        <v>15</v>
      </c>
      <c r="K310" s="62">
        <v>59200</v>
      </c>
      <c r="L310" s="98"/>
      <c r="M310" s="98">
        <v>306</v>
      </c>
      <c r="N310" s="98"/>
      <c r="O310" s="98"/>
      <c r="P310" s="98"/>
      <c r="Q310" s="7" t="s">
        <v>185</v>
      </c>
      <c r="R310" s="7"/>
      <c r="S310" s="7"/>
      <c r="T310" s="7" t="s">
        <v>36</v>
      </c>
      <c r="U310" s="7"/>
      <c r="V310" s="7" t="s">
        <v>36</v>
      </c>
      <c r="W310" s="7" t="s">
        <v>36</v>
      </c>
      <c r="X310" s="7" t="s">
        <v>36</v>
      </c>
      <c r="Y310" s="7" t="s">
        <v>54</v>
      </c>
      <c r="Z310" s="7" t="s">
        <v>36</v>
      </c>
      <c r="AA310" s="7" t="s">
        <v>36</v>
      </c>
      <c r="AB310" s="7"/>
      <c r="AC310" s="7">
        <v>541</v>
      </c>
      <c r="AD310" s="7" t="s">
        <v>36</v>
      </c>
      <c r="AE310" s="7" t="s">
        <v>36</v>
      </c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22"/>
      <c r="AU310" s="22"/>
      <c r="AV310" s="22"/>
      <c r="AW310" s="22"/>
      <c r="AX310" s="22"/>
      <c r="AY310" s="22"/>
      <c r="AZ310" s="22"/>
      <c r="BA310" s="22"/>
      <c r="BB310" s="22"/>
      <c r="BC310" s="22"/>
      <c r="BD310" s="22"/>
      <c r="BE310" s="22"/>
      <c r="BF310" s="22"/>
      <c r="BG310" s="22"/>
      <c r="BH310" s="22"/>
      <c r="BI310" s="22"/>
      <c r="BJ310" s="22"/>
      <c r="BK310" s="22"/>
      <c r="BL310" s="22"/>
      <c r="BM310" s="22"/>
      <c r="BN310" s="22"/>
      <c r="BO310" s="22"/>
      <c r="BP310" s="22"/>
      <c r="BQ310" s="22"/>
      <c r="BR310" s="22"/>
      <c r="BS310" s="22"/>
      <c r="BT310" s="22"/>
      <c r="BU310" s="22"/>
      <c r="BV310" s="22"/>
      <c r="BW310" s="22"/>
      <c r="BY310" s="91"/>
      <c r="BZ310" s="98"/>
    </row>
    <row r="311" spans="1:78" ht="20.100000000000001" customHeight="1" x14ac:dyDescent="0.3">
      <c r="A311" s="13">
        <v>305</v>
      </c>
      <c r="B311" s="4" t="s">
        <v>359</v>
      </c>
      <c r="C311" s="67" t="s">
        <v>160</v>
      </c>
      <c r="D311" s="20"/>
      <c r="E311" s="20"/>
      <c r="F311" s="2">
        <v>92876166284</v>
      </c>
      <c r="H311" s="3"/>
      <c r="J311" s="4" t="s">
        <v>52</v>
      </c>
      <c r="K311" s="5">
        <v>3500</v>
      </c>
      <c r="M311" s="1">
        <v>307</v>
      </c>
      <c r="Q311" s="7" t="s">
        <v>185</v>
      </c>
      <c r="R311" s="7"/>
      <c r="S311" s="7"/>
      <c r="T311" s="7">
        <v>5</v>
      </c>
      <c r="U311" s="7"/>
      <c r="V311" s="7" t="s">
        <v>36</v>
      </c>
      <c r="W311" s="7">
        <v>34</v>
      </c>
      <c r="X311" s="7">
        <v>23</v>
      </c>
      <c r="Y311" s="7">
        <v>23</v>
      </c>
      <c r="Z311" s="7">
        <v>23</v>
      </c>
      <c r="AA311" s="7">
        <v>32</v>
      </c>
      <c r="AB311" s="7"/>
      <c r="AC311" s="7">
        <v>9</v>
      </c>
      <c r="AD311" s="7">
        <v>14</v>
      </c>
      <c r="AE311" s="7">
        <v>2</v>
      </c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22"/>
      <c r="AU311" s="22"/>
      <c r="AV311" s="22"/>
      <c r="AW311" s="22"/>
      <c r="AX311" s="22"/>
      <c r="AY311" s="22"/>
      <c r="AZ311" s="22"/>
      <c r="BA311" s="22"/>
      <c r="BB311" s="22"/>
      <c r="BC311" s="22"/>
      <c r="BD311" s="22"/>
      <c r="BE311" s="22"/>
      <c r="BF311" s="22"/>
      <c r="BG311" s="22"/>
      <c r="BH311" s="22"/>
      <c r="BI311" s="22"/>
      <c r="BJ311" s="22"/>
      <c r="BK311" s="22"/>
      <c r="BL311" s="22"/>
      <c r="BM311" s="22"/>
      <c r="BN311" s="22"/>
      <c r="BO311" s="22"/>
      <c r="BP311" s="22"/>
      <c r="BQ311" s="22"/>
      <c r="BR311" s="22"/>
      <c r="BS311" s="22"/>
      <c r="BT311" s="22"/>
      <c r="BU311" s="22"/>
      <c r="BV311" s="22"/>
      <c r="BW311" s="22"/>
    </row>
    <row r="312" spans="1:78" s="14" customFormat="1" ht="20.100000000000001" customHeight="1" thickBot="1" x14ac:dyDescent="0.35">
      <c r="A312" s="13">
        <v>306</v>
      </c>
      <c r="B312" s="15" t="s">
        <v>359</v>
      </c>
      <c r="C312" s="68" t="s">
        <v>160</v>
      </c>
      <c r="D312" s="21"/>
      <c r="E312" s="21"/>
      <c r="F312" s="16">
        <v>92876166284</v>
      </c>
      <c r="G312" s="17"/>
      <c r="H312" s="17"/>
      <c r="I312" s="17"/>
      <c r="J312" s="15" t="s">
        <v>53</v>
      </c>
      <c r="K312" s="18">
        <v>1200</v>
      </c>
      <c r="M312" s="14">
        <v>308</v>
      </c>
      <c r="Q312" s="19" t="s">
        <v>185</v>
      </c>
      <c r="R312" s="19"/>
      <c r="S312" s="19">
        <v>5</v>
      </c>
      <c r="T312" s="19">
        <v>5</v>
      </c>
      <c r="U312" s="19"/>
      <c r="V312" s="19" t="s">
        <v>36</v>
      </c>
      <c r="W312" s="19" t="s">
        <v>36</v>
      </c>
      <c r="X312" s="19">
        <v>7</v>
      </c>
      <c r="Y312" s="19">
        <v>27</v>
      </c>
      <c r="Z312" s="19">
        <v>27</v>
      </c>
      <c r="AA312" s="19">
        <v>31</v>
      </c>
      <c r="AB312" s="19"/>
      <c r="AC312" s="19">
        <v>12</v>
      </c>
      <c r="AD312" s="19"/>
      <c r="AE312" s="19">
        <v>5</v>
      </c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23"/>
      <c r="AU312" s="23"/>
      <c r="AV312" s="23"/>
      <c r="AW312" s="23"/>
      <c r="AX312" s="23"/>
      <c r="AY312" s="23"/>
      <c r="AZ312" s="23"/>
      <c r="BA312" s="23"/>
      <c r="BB312" s="23"/>
      <c r="BC312" s="23"/>
      <c r="BD312" s="23"/>
      <c r="BE312" s="23"/>
      <c r="BF312" s="23"/>
      <c r="BG312" s="23"/>
      <c r="BH312" s="23"/>
      <c r="BI312" s="23"/>
      <c r="BJ312" s="23"/>
      <c r="BK312" s="23"/>
      <c r="BL312" s="23"/>
      <c r="BM312" s="23"/>
      <c r="BN312" s="23"/>
      <c r="BO312" s="23"/>
      <c r="BP312" s="23"/>
      <c r="BQ312" s="23"/>
      <c r="BR312" s="23"/>
      <c r="BS312" s="23"/>
      <c r="BT312" s="23"/>
      <c r="BU312" s="23"/>
      <c r="BV312" s="23"/>
      <c r="BW312" s="23"/>
      <c r="BX312" s="18"/>
      <c r="BY312" s="15"/>
    </row>
    <row r="313" spans="1:78" s="8" customFormat="1" ht="20.100000000000001" customHeight="1" x14ac:dyDescent="0.3">
      <c r="A313" s="13">
        <v>307</v>
      </c>
      <c r="B313" s="9" t="s">
        <v>353</v>
      </c>
      <c r="C313" s="66" t="s">
        <v>160</v>
      </c>
      <c r="D313" s="46">
        <f>VLOOKUP(F315,[1]SKU리스트!$H:$L,5,FALSE)</f>
        <v>9900</v>
      </c>
      <c r="E313" s="47">
        <f>VLOOKUP(F315,[1]SKU리스트!$H:$AK,30,FALSE)</f>
        <v>4632.5454545454531</v>
      </c>
      <c r="F313" s="10" t="s">
        <v>193</v>
      </c>
      <c r="G313" s="11"/>
      <c r="H313" s="11"/>
      <c r="I313" s="11"/>
      <c r="J313" s="9"/>
      <c r="K313" s="12"/>
      <c r="M313" s="8">
        <v>309</v>
      </c>
      <c r="Q313" s="44" t="s">
        <v>125</v>
      </c>
      <c r="R313" s="54">
        <v>0</v>
      </c>
      <c r="S313" s="54">
        <v>0</v>
      </c>
      <c r="T313" s="54">
        <v>0</v>
      </c>
      <c r="U313" s="54">
        <v>1</v>
      </c>
      <c r="V313" s="54">
        <v>0</v>
      </c>
      <c r="W313" s="54">
        <v>0</v>
      </c>
      <c r="X313" s="54">
        <v>0</v>
      </c>
      <c r="Y313" s="54">
        <v>0</v>
      </c>
      <c r="Z313" s="54">
        <v>0</v>
      </c>
      <c r="AA313" s="54">
        <v>0</v>
      </c>
      <c r="AB313" s="54">
        <v>0</v>
      </c>
      <c r="AC313" s="54">
        <v>1</v>
      </c>
      <c r="AD313" s="54">
        <v>0</v>
      </c>
      <c r="AE313" s="54">
        <v>0</v>
      </c>
      <c r="AF313" s="54">
        <v>0</v>
      </c>
      <c r="AG313" s="54">
        <v>0</v>
      </c>
      <c r="AH313" s="54">
        <v>0</v>
      </c>
      <c r="AI313" s="54">
        <v>0</v>
      </c>
      <c r="AJ313" s="54">
        <v>0</v>
      </c>
      <c r="AK313" s="54">
        <v>0</v>
      </c>
      <c r="AL313" s="54">
        <v>1</v>
      </c>
      <c r="AM313" s="54">
        <v>0</v>
      </c>
      <c r="AN313" s="54">
        <v>0</v>
      </c>
      <c r="AO313" s="54">
        <v>0</v>
      </c>
      <c r="AP313" s="54">
        <v>0</v>
      </c>
      <c r="AQ313" s="54">
        <v>1</v>
      </c>
      <c r="AR313" s="54">
        <v>0</v>
      </c>
      <c r="AS313" s="54">
        <v>0</v>
      </c>
      <c r="AT313" s="54">
        <v>0</v>
      </c>
      <c r="AU313" s="54">
        <v>1</v>
      </c>
      <c r="AV313" s="54">
        <v>3</v>
      </c>
      <c r="AW313" s="54">
        <v>0</v>
      </c>
      <c r="AX313" s="54">
        <v>0</v>
      </c>
      <c r="AY313" s="54">
        <v>0</v>
      </c>
      <c r="AZ313" s="54">
        <v>0</v>
      </c>
      <c r="BA313" s="54">
        <v>0</v>
      </c>
      <c r="BB313" s="54">
        <v>1</v>
      </c>
      <c r="BC313" s="54">
        <v>0</v>
      </c>
      <c r="BD313" s="54">
        <v>0</v>
      </c>
      <c r="BE313" s="54">
        <v>0</v>
      </c>
      <c r="BF313" s="54">
        <v>0</v>
      </c>
      <c r="BG313" s="54">
        <v>0</v>
      </c>
      <c r="BH313" s="54">
        <v>0</v>
      </c>
      <c r="BI313" s="54">
        <v>0</v>
      </c>
      <c r="BJ313" s="54">
        <v>0</v>
      </c>
      <c r="BK313" s="54">
        <v>1</v>
      </c>
      <c r="BL313" s="54">
        <v>0</v>
      </c>
      <c r="BM313" s="54">
        <v>0</v>
      </c>
      <c r="BN313" s="54">
        <v>0</v>
      </c>
      <c r="BO313" s="54">
        <v>1</v>
      </c>
      <c r="BP313" s="54">
        <v>0</v>
      </c>
      <c r="BQ313" s="54">
        <v>0</v>
      </c>
      <c r="BR313" s="54">
        <v>0</v>
      </c>
      <c r="BS313" s="54">
        <v>0</v>
      </c>
      <c r="BT313" s="54">
        <v>0</v>
      </c>
      <c r="BU313" s="54"/>
      <c r="BV313" s="54"/>
      <c r="BW313" s="54"/>
      <c r="BX313" s="85">
        <f>VLOOKUP(F313,[1]SKU리스트!$H:$AH,27,FALSE)</f>
        <v>2364</v>
      </c>
      <c r="BY313" s="9"/>
    </row>
    <row r="314" spans="1:78" ht="20.100000000000001" customHeight="1" x14ac:dyDescent="0.3">
      <c r="A314" s="13">
        <v>308</v>
      </c>
      <c r="B314" s="91" t="s">
        <v>353</v>
      </c>
      <c r="C314" s="92" t="s">
        <v>160</v>
      </c>
      <c r="D314" s="98"/>
      <c r="E314" s="98"/>
      <c r="F314" s="96" t="s">
        <v>318</v>
      </c>
      <c r="G314" s="97"/>
      <c r="H314" s="97"/>
      <c r="I314" s="97"/>
      <c r="J314" s="91"/>
      <c r="L314" s="98"/>
      <c r="M314" s="98">
        <v>310</v>
      </c>
      <c r="N314" s="98"/>
      <c r="O314" s="98"/>
      <c r="P314" s="98"/>
      <c r="Q314" s="39" t="s">
        <v>282</v>
      </c>
      <c r="R314" s="5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50"/>
      <c r="AL314" s="50"/>
      <c r="AM314" s="50"/>
      <c r="AN314" s="50"/>
      <c r="AO314" s="53">
        <f>SUM(AI313:AO313)</f>
        <v>1</v>
      </c>
      <c r="AP314" s="51">
        <v>1</v>
      </c>
      <c r="AQ314" s="50"/>
      <c r="AR314" s="50"/>
      <c r="AS314" s="50"/>
      <c r="AT314" s="50"/>
      <c r="AU314" s="50"/>
      <c r="AV314" s="53">
        <f>SUM(AP313:AV313)</f>
        <v>5</v>
      </c>
      <c r="AW314" s="50">
        <v>5</v>
      </c>
      <c r="AX314" s="50"/>
      <c r="AY314" s="50"/>
      <c r="AZ314" s="50"/>
      <c r="BA314" s="50"/>
      <c r="BB314" s="50"/>
      <c r="BC314" s="53">
        <f>SUM(AW313:BC313)</f>
        <v>1</v>
      </c>
      <c r="BD314" s="50">
        <v>0</v>
      </c>
      <c r="BE314" s="50"/>
      <c r="BF314" s="50"/>
      <c r="BG314" s="50"/>
      <c r="BH314" s="50"/>
      <c r="BI314" s="50"/>
      <c r="BJ314" s="53">
        <f>SUM(BD313:BJ313)</f>
        <v>0</v>
      </c>
      <c r="BK314" s="50">
        <v>2</v>
      </c>
      <c r="BL314" s="50"/>
      <c r="BM314" s="50"/>
      <c r="BN314" s="50"/>
      <c r="BO314" s="50"/>
      <c r="BP314" s="50"/>
      <c r="BQ314" s="53">
        <f>SUM(BK313:BQ313)</f>
        <v>2</v>
      </c>
      <c r="BR314" s="50">
        <v>1</v>
      </c>
      <c r="BS314" s="50"/>
      <c r="BT314" s="50"/>
      <c r="BU314" s="50"/>
      <c r="BV314" s="50"/>
      <c r="BW314" s="50"/>
      <c r="BY314" s="91"/>
      <c r="BZ314" s="98"/>
    </row>
    <row r="315" spans="1:78" ht="20.100000000000001" customHeight="1" x14ac:dyDescent="0.3">
      <c r="A315" s="13">
        <v>309</v>
      </c>
      <c r="B315" s="91" t="s">
        <v>353</v>
      </c>
      <c r="C315" s="92" t="s">
        <v>160</v>
      </c>
      <c r="D315" s="91"/>
      <c r="E315" s="91"/>
      <c r="F315" s="96">
        <v>92242613471</v>
      </c>
      <c r="G315" s="97"/>
      <c r="H315" s="97"/>
      <c r="I315" s="97"/>
      <c r="J315" s="91"/>
      <c r="L315" s="98"/>
      <c r="M315" s="98">
        <v>311</v>
      </c>
      <c r="N315" s="98"/>
      <c r="O315" s="98"/>
      <c r="P315" s="98"/>
      <c r="Q315" s="41" t="s">
        <v>1</v>
      </c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 t="str">
        <f>IFERROR(VLOOKUP($F315,[2]원본!$D:$BX,AI$1,FALSE),"")</f>
        <v/>
      </c>
      <c r="AJ315" s="40" t="str">
        <f>IFERROR(VLOOKUP($F315,[2]원본!$D:$BX,AJ$1,FALSE),"")</f>
        <v/>
      </c>
      <c r="AK315" s="40" t="str">
        <f>IFERROR(VLOOKUP($F315,[2]원본!$D:$BX,AK$1,FALSE),"")</f>
        <v/>
      </c>
      <c r="AL315" s="40" t="str">
        <f>IFERROR(VLOOKUP($F315,[2]원본!$D:$BX,AL$1,FALSE),"")</f>
        <v/>
      </c>
      <c r="AM315" s="40" t="str">
        <f>IFERROR(VLOOKUP($F315,[2]원본!$D:$BX,AM$1,FALSE),"")</f>
        <v/>
      </c>
      <c r="AN315" s="40" t="str">
        <f>IFERROR(VLOOKUP($F315,[2]원본!$D:$BX,AN$1,FALSE),"")</f>
        <v/>
      </c>
      <c r="AO315" s="40" t="str">
        <f>IFERROR(VLOOKUP($F315,[2]원본!$D:$BX,AO$1,FALSE),"")</f>
        <v/>
      </c>
      <c r="AP315" s="40" t="str">
        <f>IFERROR(VLOOKUP($F315,[2]원본!$D:$BX,AP$1,FALSE),"")</f>
        <v/>
      </c>
      <c r="AQ315" s="40" t="str">
        <f>IFERROR(VLOOKUP($F315,[2]원본!$D:$BX,AQ$1,FALSE),"")</f>
        <v/>
      </c>
      <c r="AR315" s="40" t="str">
        <f>IFERROR(VLOOKUP($F315,[2]원본!$D:$BX,AR$1,FALSE),"")</f>
        <v/>
      </c>
      <c r="AS315" s="40" t="str">
        <f>IFERROR(VLOOKUP($F315,[2]원본!$D:$BX,AS$1,FALSE),"")</f>
        <v/>
      </c>
      <c r="AT315" s="40" t="str">
        <f>IFERROR(VLOOKUP($F315,[2]원본!$D:$BX,AT$1,FALSE),"")</f>
        <v/>
      </c>
      <c r="AU315" s="40" t="str">
        <f>IFERROR(VLOOKUP($F315,[2]원본!$D:$BX,AU$1,FALSE),"")</f>
        <v/>
      </c>
      <c r="AV315" s="40" t="str">
        <f>IFERROR(VLOOKUP($F315,[2]원본!$D:$BX,AV$1,FALSE),"")</f>
        <v/>
      </c>
      <c r="AW315" s="40" t="str">
        <f>IFERROR(VLOOKUP($F315,[2]원본!$D:$BX,AW$1,FALSE),"")</f>
        <v/>
      </c>
      <c r="AX315" s="40" t="str">
        <f>IFERROR(VLOOKUP($F315,[2]원본!$D:$BX,AX$1,FALSE),"")</f>
        <v/>
      </c>
      <c r="AY315" s="40" t="str">
        <f>IFERROR(VLOOKUP($F315,[2]원본!$D:$BX,AY$1,FALSE),"")</f>
        <v/>
      </c>
      <c r="AZ315" s="40" t="str">
        <f>IFERROR(VLOOKUP($F315,[2]원본!$D:$BX,AZ$1,FALSE),"")</f>
        <v/>
      </c>
      <c r="BA315" s="40" t="str">
        <f>IFERROR(VLOOKUP($F315,[2]원본!$D:$BX,BA$1,FALSE),"")</f>
        <v/>
      </c>
      <c r="BB315" s="40" t="str">
        <f>IFERROR(VLOOKUP($F315,[2]원본!$D:$BX,BB$1,FALSE),"")</f>
        <v/>
      </c>
      <c r="BC315" s="40" t="str">
        <f>IFERROR(VLOOKUP($F315,[2]원본!$D:$BX,BC$1,FALSE),"")</f>
        <v/>
      </c>
      <c r="BD315" s="40" t="str">
        <f>IFERROR(VLOOKUP($F315,[2]원본!$D:$BX,BD$1,FALSE),"")</f>
        <v/>
      </c>
      <c r="BE315" s="40" t="str">
        <f>IFERROR(VLOOKUP($F315,[2]원본!$D:$BX,BE$1,FALSE),"")</f>
        <v/>
      </c>
      <c r="BF315" s="40" t="str">
        <f>IFERROR(VLOOKUP($F315,[2]원본!$D:$BX,BF$1,FALSE),"")</f>
        <v/>
      </c>
      <c r="BG315" s="40" t="str">
        <f>IFERROR(VLOOKUP($F315,[2]원본!$D:$BX,BG$1,FALSE),"")</f>
        <v/>
      </c>
      <c r="BH315" s="40" t="str">
        <f>IFERROR(VLOOKUP($F315,[2]원본!$D:$BX,BH$1,FALSE),"")</f>
        <v/>
      </c>
      <c r="BI315" s="40" t="str">
        <f>IFERROR(VLOOKUP($F315,[2]원본!$D:$BX,BI$1,FALSE),"")</f>
        <v/>
      </c>
      <c r="BJ315" s="40" t="str">
        <f>IFERROR(VLOOKUP($F315,[2]원본!$D:$BX,BJ$1,FALSE),"")</f>
        <v/>
      </c>
      <c r="BK315" s="40" t="str">
        <f>IFERROR(VLOOKUP($F315,[2]원본!$D:$BX,BK$1,FALSE),"")</f>
        <v/>
      </c>
      <c r="BL315" s="40" t="str">
        <f>IFERROR(VLOOKUP($F315,[2]원본!$D:$BX,BL$1,FALSE),"")</f>
        <v/>
      </c>
      <c r="BM315" s="40" t="str">
        <f>IFERROR(VLOOKUP($F315,[2]원본!$D:$BX,BM$1,FALSE),"")</f>
        <v/>
      </c>
      <c r="BN315" s="40" t="str">
        <f>IFERROR(VLOOKUP($F315,[2]원본!$D:$BX,BN$1,FALSE),"")</f>
        <v/>
      </c>
      <c r="BO315" s="40" t="str">
        <f>IFERROR(VLOOKUP($F315,[2]원본!$D:$BX,BO$1,FALSE),"")</f>
        <v/>
      </c>
      <c r="BP315" s="40" t="str">
        <f>IFERROR(VLOOKUP($F315,[2]원본!$D:$BX,BP$1,FALSE),"")</f>
        <v/>
      </c>
      <c r="BQ315" s="40" t="str">
        <f>IFERROR(VLOOKUP($F315,[2]원본!$D:$BX,BQ$1,FALSE),"")</f>
        <v/>
      </c>
      <c r="BR315" s="40" t="str">
        <f>IFERROR(VLOOKUP($F315,[2]원본!$D:$BX,BR$1,FALSE),"")</f>
        <v/>
      </c>
      <c r="BS315" s="40" t="str">
        <f>IFERROR(VLOOKUP($F315,[2]원본!$D:$BX,BS$1,FALSE),"")</f>
        <v/>
      </c>
      <c r="BT315" s="40" t="str">
        <f>IFERROR(VLOOKUP($F315,[2]원본!$D:$BX,BT$1,FALSE),"")</f>
        <v/>
      </c>
      <c r="BU315" s="40" t="str">
        <f>IFERROR(VLOOKUP($F315,[2]원본!$D:$BX,BU$1,FALSE),"")</f>
        <v/>
      </c>
      <c r="BV315" s="40" t="str">
        <f>IFERROR(VLOOKUP($F315,#REF!,BV$1,FALSE),"")</f>
        <v/>
      </c>
      <c r="BW315" s="40"/>
      <c r="BX315" s="26">
        <f>(SUM(R315:BW315)*D313)-(SUM(R315:BW315)*E313)</f>
        <v>0</v>
      </c>
      <c r="BY315" s="91"/>
      <c r="BZ315" s="100" t="str">
        <f>IFERROR(VLOOKUP($F315,#REF!,BZ$1,FALSE),"")</f>
        <v/>
      </c>
    </row>
    <row r="316" spans="1:78" ht="20.100000000000001" customHeight="1" x14ac:dyDescent="0.3">
      <c r="A316" s="13">
        <v>310</v>
      </c>
      <c r="B316" s="91" t="s">
        <v>353</v>
      </c>
      <c r="C316" s="92" t="s">
        <v>160</v>
      </c>
      <c r="D316" s="95" t="s">
        <v>56</v>
      </c>
      <c r="E316" s="91"/>
      <c r="F316" s="96">
        <v>92242613471</v>
      </c>
      <c r="G316" s="97" t="s">
        <v>131</v>
      </c>
      <c r="H316" s="97"/>
      <c r="I316" s="97"/>
      <c r="J316" s="91" t="s">
        <v>57</v>
      </c>
      <c r="K316" s="5">
        <v>800</v>
      </c>
      <c r="L316" s="98"/>
      <c r="M316" s="98">
        <v>312</v>
      </c>
      <c r="N316" s="98"/>
      <c r="O316" s="98"/>
      <c r="P316" s="98"/>
      <c r="Q316" s="7" t="s">
        <v>185</v>
      </c>
      <c r="R316" s="7"/>
      <c r="S316" s="7"/>
      <c r="T316" s="7" t="s">
        <v>36</v>
      </c>
      <c r="U316" s="7"/>
      <c r="V316" s="7" t="s">
        <v>47</v>
      </c>
      <c r="W316" s="7" t="s">
        <v>47</v>
      </c>
      <c r="X316" s="7" t="s">
        <v>47</v>
      </c>
      <c r="Y316" s="7" t="s">
        <v>54</v>
      </c>
      <c r="Z316" s="7">
        <v>247</v>
      </c>
      <c r="AA316" s="7">
        <v>218</v>
      </c>
      <c r="AB316" s="7"/>
      <c r="AC316" s="7">
        <v>213</v>
      </c>
      <c r="AD316" s="7"/>
      <c r="AE316" s="7" t="s">
        <v>36</v>
      </c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106"/>
      <c r="BU316" s="106"/>
      <c r="BV316" s="106"/>
      <c r="BW316" s="106"/>
      <c r="BY316" s="91"/>
      <c r="BZ316" s="98"/>
    </row>
    <row r="317" spans="1:78" ht="20.100000000000001" customHeight="1" x14ac:dyDescent="0.3">
      <c r="A317" s="13">
        <v>311</v>
      </c>
      <c r="B317" s="91" t="s">
        <v>353</v>
      </c>
      <c r="C317" s="92" t="s">
        <v>160</v>
      </c>
      <c r="D317" s="94"/>
      <c r="E317" s="94"/>
      <c r="F317" s="96">
        <v>92242613471</v>
      </c>
      <c r="G317" s="97"/>
      <c r="H317" s="97"/>
      <c r="I317" s="97"/>
      <c r="J317" s="91" t="s">
        <v>58</v>
      </c>
      <c r="K317" s="5">
        <v>100</v>
      </c>
      <c r="L317" s="98"/>
      <c r="M317" s="98">
        <v>313</v>
      </c>
      <c r="N317" s="98"/>
      <c r="O317" s="98"/>
      <c r="P317" s="98"/>
      <c r="Q317" s="7" t="s">
        <v>185</v>
      </c>
      <c r="R317" s="7">
        <v>8</v>
      </c>
      <c r="S317" s="7">
        <v>9</v>
      </c>
      <c r="T317" s="7">
        <v>7</v>
      </c>
      <c r="U317" s="7"/>
      <c r="V317" s="7">
        <v>4</v>
      </c>
      <c r="W317" s="7">
        <v>4</v>
      </c>
      <c r="X317" s="7">
        <v>6</v>
      </c>
      <c r="Y317" s="7">
        <v>16</v>
      </c>
      <c r="Z317" s="7">
        <v>16</v>
      </c>
      <c r="AA317" s="7">
        <v>7</v>
      </c>
      <c r="AB317" s="7"/>
      <c r="AC317" s="7">
        <v>5</v>
      </c>
      <c r="AD317" s="7"/>
      <c r="AE317" s="7">
        <v>4</v>
      </c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22"/>
      <c r="AU317" s="22"/>
      <c r="AV317" s="22"/>
      <c r="AW317" s="22"/>
      <c r="AX317" s="22"/>
      <c r="AY317" s="22"/>
      <c r="AZ317" s="22"/>
      <c r="BA317" s="22"/>
      <c r="BB317" s="22"/>
      <c r="BC317" s="22"/>
      <c r="BD317" s="22"/>
      <c r="BE317" s="22"/>
      <c r="BF317" s="22"/>
      <c r="BG317" s="22"/>
      <c r="BH317" s="22"/>
      <c r="BI317" s="22"/>
      <c r="BJ317" s="22"/>
      <c r="BK317" s="22"/>
      <c r="BL317" s="22"/>
      <c r="BM317" s="22"/>
      <c r="BN317" s="22"/>
      <c r="BO317" s="22"/>
      <c r="BP317" s="22"/>
      <c r="BQ317" s="22"/>
      <c r="BR317" s="22"/>
      <c r="BS317" s="22"/>
      <c r="BT317" s="22"/>
      <c r="BU317" s="22"/>
      <c r="BV317" s="22"/>
      <c r="BW317" s="22"/>
      <c r="BY317" s="91"/>
      <c r="BZ317" s="98"/>
    </row>
    <row r="318" spans="1:78" ht="20.100000000000001" customHeight="1" x14ac:dyDescent="0.3">
      <c r="A318" s="13">
        <v>312</v>
      </c>
      <c r="B318" s="91" t="s">
        <v>353</v>
      </c>
      <c r="C318" s="92" t="s">
        <v>160</v>
      </c>
      <c r="D318" s="94"/>
      <c r="E318" s="94"/>
      <c r="F318" s="96">
        <v>92242613471</v>
      </c>
      <c r="G318" s="97"/>
      <c r="H318" s="97"/>
      <c r="I318" s="97"/>
      <c r="J318" s="91" t="s">
        <v>59</v>
      </c>
      <c r="K318" s="5">
        <v>100</v>
      </c>
      <c r="L318" s="98"/>
      <c r="M318" s="98">
        <v>314</v>
      </c>
      <c r="N318" s="98"/>
      <c r="O318" s="98"/>
      <c r="P318" s="98"/>
      <c r="Q318" s="7" t="s">
        <v>185</v>
      </c>
      <c r="R318" s="7"/>
      <c r="S318" s="7"/>
      <c r="T318" s="7">
        <v>1</v>
      </c>
      <c r="U318" s="7"/>
      <c r="V318" s="7">
        <v>1</v>
      </c>
      <c r="W318" s="7">
        <v>1</v>
      </c>
      <c r="X318" s="7">
        <v>1</v>
      </c>
      <c r="Y318" s="7">
        <v>1</v>
      </c>
      <c r="Z318" s="7">
        <v>1</v>
      </c>
      <c r="AA318" s="7">
        <v>1</v>
      </c>
      <c r="AB318" s="7"/>
      <c r="AC318" s="7">
        <v>1</v>
      </c>
      <c r="AD318" s="7"/>
      <c r="AE318" s="7">
        <v>1</v>
      </c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22"/>
      <c r="AU318" s="22"/>
      <c r="AV318" s="22"/>
      <c r="AW318" s="22"/>
      <c r="AX318" s="22"/>
      <c r="AY318" s="22"/>
      <c r="AZ318" s="22"/>
      <c r="BA318" s="22"/>
      <c r="BB318" s="22"/>
      <c r="BC318" s="22"/>
      <c r="BD318" s="22"/>
      <c r="BE318" s="22"/>
      <c r="BF318" s="22"/>
      <c r="BG318" s="22"/>
      <c r="BH318" s="22"/>
      <c r="BI318" s="22"/>
      <c r="BJ318" s="22"/>
      <c r="BK318" s="22"/>
      <c r="BL318" s="22"/>
      <c r="BM318" s="22"/>
      <c r="BN318" s="22"/>
      <c r="BO318" s="22"/>
      <c r="BP318" s="22"/>
      <c r="BQ318" s="22"/>
      <c r="BR318" s="22"/>
      <c r="BS318" s="22"/>
      <c r="BT318" s="22"/>
      <c r="BU318" s="22"/>
      <c r="BV318" s="22"/>
      <c r="BW318" s="22"/>
      <c r="BY318" s="91"/>
      <c r="BZ318" s="98"/>
    </row>
    <row r="319" spans="1:78" ht="20.100000000000001" customHeight="1" x14ac:dyDescent="0.3">
      <c r="A319" s="13">
        <v>313</v>
      </c>
      <c r="B319" s="91" t="s">
        <v>353</v>
      </c>
      <c r="C319" s="92" t="s">
        <v>230</v>
      </c>
      <c r="D319" s="94"/>
      <c r="E319" s="94"/>
      <c r="F319" s="96">
        <v>92242613471</v>
      </c>
      <c r="G319" s="97"/>
      <c r="H319" s="99">
        <v>1576</v>
      </c>
      <c r="I319" s="97"/>
      <c r="J319" s="91"/>
      <c r="L319" s="98" t="s">
        <v>225</v>
      </c>
      <c r="M319" s="98">
        <v>315</v>
      </c>
      <c r="N319" s="98"/>
      <c r="O319" s="98"/>
      <c r="P319" s="98"/>
      <c r="Q319" s="43" t="s">
        <v>244</v>
      </c>
      <c r="R319" s="28"/>
      <c r="S319" s="28"/>
      <c r="T319" s="28"/>
      <c r="U319" s="28"/>
      <c r="V319" s="28"/>
      <c r="W319" s="28"/>
      <c r="X319" s="28"/>
      <c r="Y319" s="28"/>
      <c r="Z319" s="28">
        <v>105</v>
      </c>
      <c r="AA319" s="28">
        <v>150</v>
      </c>
      <c r="AB319" s="28">
        <v>77</v>
      </c>
      <c r="AC319" s="28">
        <v>20</v>
      </c>
      <c r="AD319" s="28">
        <v>150</v>
      </c>
      <c r="AE319" s="28">
        <v>81</v>
      </c>
      <c r="AF319" s="28">
        <v>100</v>
      </c>
      <c r="AG319" s="28">
        <v>60</v>
      </c>
      <c r="AH319" s="28">
        <v>100</v>
      </c>
      <c r="AI319" s="28"/>
      <c r="AJ319" s="28"/>
      <c r="AK319" s="28">
        <v>100</v>
      </c>
      <c r="AL319" s="28"/>
      <c r="AM319" s="28"/>
      <c r="AN319" s="28"/>
      <c r="AO319" s="28"/>
      <c r="AP319" s="28"/>
      <c r="AQ319" s="28"/>
      <c r="AR319" s="28"/>
      <c r="AS319" s="28"/>
      <c r="AT319" s="28">
        <v>100</v>
      </c>
      <c r="AU319" s="28">
        <v>82</v>
      </c>
      <c r="AV319" s="28">
        <v>66</v>
      </c>
      <c r="AW319" s="28">
        <v>75</v>
      </c>
      <c r="AX319" s="28" t="s">
        <v>368</v>
      </c>
      <c r="AY319" s="28" t="s">
        <v>368</v>
      </c>
      <c r="AZ319" s="28" t="s">
        <v>368</v>
      </c>
      <c r="BA319" s="28" t="s">
        <v>368</v>
      </c>
      <c r="BB319" s="28" t="s">
        <v>368</v>
      </c>
      <c r="BC319" s="28" t="s">
        <v>368</v>
      </c>
      <c r="BD319" s="28" t="s">
        <v>368</v>
      </c>
      <c r="BE319" s="28" t="s">
        <v>368</v>
      </c>
      <c r="BF319" s="28" t="s">
        <v>368</v>
      </c>
      <c r="BG319" s="28" t="s">
        <v>368</v>
      </c>
      <c r="BH319" s="28" t="s">
        <v>368</v>
      </c>
      <c r="BI319" s="28" t="s">
        <v>368</v>
      </c>
      <c r="BJ319" s="28" t="s">
        <v>368</v>
      </c>
      <c r="BK319" s="28" t="s">
        <v>368</v>
      </c>
      <c r="BL319" s="28" t="s">
        <v>368</v>
      </c>
      <c r="BM319" s="28" t="s">
        <v>368</v>
      </c>
      <c r="BN319" s="28">
        <v>10</v>
      </c>
      <c r="BO319" s="28" t="s">
        <v>368</v>
      </c>
      <c r="BP319" s="28" t="s">
        <v>368</v>
      </c>
      <c r="BQ319" s="28" t="s">
        <v>368</v>
      </c>
      <c r="BR319" s="28" t="s">
        <v>368</v>
      </c>
      <c r="BS319" s="28">
        <v>34</v>
      </c>
      <c r="BT319" s="28" t="s">
        <v>368</v>
      </c>
      <c r="BU319" s="28"/>
      <c r="BV319" s="28"/>
      <c r="BW319" s="28"/>
      <c r="BY319" s="91"/>
      <c r="BZ319" s="98"/>
    </row>
    <row r="320" spans="1:78" s="14" customFormat="1" ht="20.100000000000001" customHeight="1" thickBot="1" x14ac:dyDescent="0.35">
      <c r="A320" s="13">
        <v>314</v>
      </c>
      <c r="B320" s="15" t="s">
        <v>353</v>
      </c>
      <c r="C320" s="68" t="s">
        <v>230</v>
      </c>
      <c r="D320" s="83" t="s">
        <v>56</v>
      </c>
      <c r="E320" s="15"/>
      <c r="F320" s="16">
        <v>92242613471</v>
      </c>
      <c r="G320" s="17"/>
      <c r="H320" s="16"/>
      <c r="I320" s="17" t="s">
        <v>229</v>
      </c>
      <c r="J320" s="21" t="s">
        <v>228</v>
      </c>
      <c r="K320" s="18">
        <v>0</v>
      </c>
      <c r="L320" s="14" t="s">
        <v>225</v>
      </c>
      <c r="M320" s="14">
        <v>316</v>
      </c>
      <c r="Q320" s="88" t="s">
        <v>279</v>
      </c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/>
      <c r="AY320" s="19"/>
      <c r="AZ320" s="19"/>
      <c r="BA320" s="19"/>
      <c r="BB320" s="19"/>
      <c r="BC320" s="19"/>
      <c r="BD320" s="19"/>
      <c r="BE320" s="19"/>
      <c r="BF320" s="19"/>
      <c r="BG320" s="19"/>
      <c r="BH320" s="19"/>
      <c r="BI320" s="19"/>
      <c r="BJ320" s="19"/>
      <c r="BK320" s="19"/>
      <c r="BL320" s="19"/>
      <c r="BM320" s="19"/>
      <c r="BN320" s="19"/>
      <c r="BO320" s="19"/>
      <c r="BP320" s="19"/>
      <c r="BQ320" s="19"/>
      <c r="BR320" s="19"/>
      <c r="BS320" s="19"/>
      <c r="BT320" s="19"/>
      <c r="BU320" s="19"/>
      <c r="BV320" s="19"/>
      <c r="BW320" s="19"/>
      <c r="BX320" s="18"/>
      <c r="BY320" s="15"/>
    </row>
    <row r="321" spans="1:78" s="8" customFormat="1" ht="20.100000000000001" customHeight="1" x14ac:dyDescent="0.3">
      <c r="A321" s="13">
        <v>315</v>
      </c>
      <c r="B321" s="9" t="s">
        <v>343</v>
      </c>
      <c r="C321" s="70" t="s">
        <v>161</v>
      </c>
      <c r="D321" s="46">
        <f>VLOOKUP(F323,[1]SKU리스트!$H:$L,5,FALSE)</f>
        <v>6500</v>
      </c>
      <c r="E321" s="47">
        <f>VLOOKUP(F323,[1]SKU리스트!$H:$AK,30,FALSE)</f>
        <v>3606.363636363636</v>
      </c>
      <c r="F321" s="10" t="s">
        <v>278</v>
      </c>
      <c r="G321" s="11"/>
      <c r="H321" s="10"/>
      <c r="I321" s="11"/>
      <c r="J321" s="9"/>
      <c r="K321" s="12"/>
      <c r="L321" s="8" t="s">
        <v>225</v>
      </c>
      <c r="M321" s="8">
        <v>317</v>
      </c>
      <c r="Q321" s="44" t="s">
        <v>125</v>
      </c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 t="s">
        <v>221</v>
      </c>
      <c r="AJ321" s="54" t="s">
        <v>221</v>
      </c>
      <c r="AK321" s="54"/>
      <c r="AL321" s="54" t="s">
        <v>221</v>
      </c>
      <c r="AM321" s="54">
        <v>1</v>
      </c>
      <c r="AN321" s="54">
        <v>5</v>
      </c>
      <c r="AO321" s="54">
        <v>2</v>
      </c>
      <c r="AP321" s="54">
        <v>1</v>
      </c>
      <c r="AQ321" s="54">
        <v>2</v>
      </c>
      <c r="AR321" s="54" t="s">
        <v>221</v>
      </c>
      <c r="AS321" s="54">
        <v>1</v>
      </c>
      <c r="AT321" s="54" t="s">
        <v>221</v>
      </c>
      <c r="AU321" s="54" t="s">
        <v>221</v>
      </c>
      <c r="AV321" s="54">
        <v>1</v>
      </c>
      <c r="AW321" s="54">
        <v>4</v>
      </c>
      <c r="AX321" s="54" t="s">
        <v>221</v>
      </c>
      <c r="AY321" s="54">
        <v>5</v>
      </c>
      <c r="AZ321" s="54">
        <v>3</v>
      </c>
      <c r="BA321" s="54">
        <v>3</v>
      </c>
      <c r="BB321" s="54">
        <v>2</v>
      </c>
      <c r="BC321" s="54">
        <v>1</v>
      </c>
      <c r="BD321" s="54">
        <v>6</v>
      </c>
      <c r="BE321" s="54">
        <v>4</v>
      </c>
      <c r="BF321" s="54">
        <v>4</v>
      </c>
      <c r="BG321" s="54">
        <v>4</v>
      </c>
      <c r="BH321" s="54">
        <v>5</v>
      </c>
      <c r="BI321" s="54">
        <v>9</v>
      </c>
      <c r="BJ321" s="54">
        <v>11</v>
      </c>
      <c r="BK321" s="54">
        <v>13</v>
      </c>
      <c r="BL321" s="54">
        <v>5</v>
      </c>
      <c r="BM321" s="54">
        <v>8</v>
      </c>
      <c r="BN321" s="54">
        <v>4</v>
      </c>
      <c r="BO321" s="54">
        <v>14</v>
      </c>
      <c r="BP321" s="54">
        <v>6</v>
      </c>
      <c r="BQ321" s="54">
        <v>8</v>
      </c>
      <c r="BR321" s="54">
        <v>14</v>
      </c>
      <c r="BS321" s="54">
        <v>4</v>
      </c>
      <c r="BT321" s="54">
        <v>2</v>
      </c>
      <c r="BU321" s="54"/>
      <c r="BV321" s="54"/>
      <c r="BW321" s="54"/>
      <c r="BX321" s="85">
        <f>VLOOKUP(F321,[1]SKU리스트!$H:$AH,27,FALSE)</f>
        <v>260635</v>
      </c>
      <c r="BY321" s="9"/>
    </row>
    <row r="322" spans="1:78" ht="20.100000000000001" customHeight="1" x14ac:dyDescent="0.3">
      <c r="A322" s="13">
        <v>316</v>
      </c>
      <c r="B322" s="91" t="s">
        <v>343</v>
      </c>
      <c r="C322" s="93" t="s">
        <v>161</v>
      </c>
      <c r="D322" s="98"/>
      <c r="E322" s="98"/>
      <c r="F322" s="96" t="s">
        <v>319</v>
      </c>
      <c r="G322" s="97"/>
      <c r="H322" s="96"/>
      <c r="I322" s="97"/>
      <c r="J322" s="91"/>
      <c r="L322" s="98" t="s">
        <v>225</v>
      </c>
      <c r="M322" s="98">
        <v>318</v>
      </c>
      <c r="N322" s="98"/>
      <c r="O322" s="98"/>
      <c r="P322" s="98"/>
      <c r="Q322" s="39" t="s">
        <v>282</v>
      </c>
      <c r="R322" s="5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50"/>
      <c r="AL322" s="50"/>
      <c r="AM322" s="50"/>
      <c r="AN322" s="50"/>
      <c r="AO322" s="53">
        <f>SUM(AI321:AO321)</f>
        <v>8</v>
      </c>
      <c r="AP322" s="51">
        <v>5</v>
      </c>
      <c r="AQ322" s="50"/>
      <c r="AR322" s="50"/>
      <c r="AS322" s="50"/>
      <c r="AT322" s="50"/>
      <c r="AU322" s="50"/>
      <c r="AV322" s="53">
        <f>SUM(AP321:AV321)</f>
        <v>5</v>
      </c>
      <c r="AW322" s="50">
        <v>5</v>
      </c>
      <c r="AX322" s="50"/>
      <c r="AY322" s="50"/>
      <c r="AZ322" s="50"/>
      <c r="BA322" s="50"/>
      <c r="BB322" s="50"/>
      <c r="BC322" s="53">
        <f>SUM(AW321:BC321)</f>
        <v>18</v>
      </c>
      <c r="BD322" s="50">
        <v>8</v>
      </c>
      <c r="BE322" s="50"/>
      <c r="BF322" s="50"/>
      <c r="BG322" s="50"/>
      <c r="BH322" s="50"/>
      <c r="BI322" s="50"/>
      <c r="BJ322" s="53">
        <f>SUM(BD321:BJ321)</f>
        <v>43</v>
      </c>
      <c r="BK322" s="50">
        <v>38</v>
      </c>
      <c r="BL322" s="50"/>
      <c r="BM322" s="50"/>
      <c r="BN322" s="50"/>
      <c r="BO322" s="50"/>
      <c r="BP322" s="50"/>
      <c r="BQ322" s="53">
        <f>SUM(BK321:BQ321)</f>
        <v>58</v>
      </c>
      <c r="BR322" s="50">
        <v>57</v>
      </c>
      <c r="BS322" s="50"/>
      <c r="BT322" s="50"/>
      <c r="BU322" s="50"/>
      <c r="BV322" s="50"/>
      <c r="BW322" s="50"/>
      <c r="BY322" s="91"/>
      <c r="BZ322" s="98"/>
    </row>
    <row r="323" spans="1:78" ht="20.100000000000001" customHeight="1" x14ac:dyDescent="0.3">
      <c r="A323" s="13">
        <v>317</v>
      </c>
      <c r="B323" s="91" t="s">
        <v>343</v>
      </c>
      <c r="C323" s="93" t="s">
        <v>161</v>
      </c>
      <c r="D323" s="95" t="s">
        <v>231</v>
      </c>
      <c r="E323" s="94"/>
      <c r="F323" s="96">
        <v>89642957308</v>
      </c>
      <c r="G323" s="97"/>
      <c r="H323" s="99">
        <v>1564</v>
      </c>
      <c r="I323" s="97"/>
      <c r="J323" s="91"/>
      <c r="L323" s="98" t="s">
        <v>225</v>
      </c>
      <c r="M323" s="98">
        <v>319</v>
      </c>
      <c r="N323" s="98"/>
      <c r="O323" s="98"/>
      <c r="P323" s="98"/>
      <c r="Q323" s="43" t="s">
        <v>244</v>
      </c>
      <c r="R323" s="28">
        <v>100</v>
      </c>
      <c r="S323" s="28">
        <v>100</v>
      </c>
      <c r="T323" s="28">
        <v>100</v>
      </c>
      <c r="U323" s="28">
        <v>100</v>
      </c>
      <c r="V323" s="28">
        <v>82</v>
      </c>
      <c r="W323" s="28" t="s">
        <v>234</v>
      </c>
      <c r="X323" s="28" t="s">
        <v>234</v>
      </c>
      <c r="Y323" s="28">
        <v>100</v>
      </c>
      <c r="Z323" s="28">
        <v>126</v>
      </c>
      <c r="AA323" s="28">
        <v>150</v>
      </c>
      <c r="AB323" s="28">
        <v>112</v>
      </c>
      <c r="AC323" s="28">
        <v>25</v>
      </c>
      <c r="AD323" s="28">
        <v>200</v>
      </c>
      <c r="AE323" s="28">
        <v>117</v>
      </c>
      <c r="AF323" s="28">
        <v>309</v>
      </c>
      <c r="AG323" s="28">
        <v>74</v>
      </c>
      <c r="AH323" s="28">
        <v>293</v>
      </c>
      <c r="AI323" s="28"/>
      <c r="AJ323" s="28"/>
      <c r="AK323" s="28">
        <v>299</v>
      </c>
      <c r="AL323" s="28"/>
      <c r="AM323" s="28"/>
      <c r="AN323" s="28"/>
      <c r="AO323" s="28"/>
      <c r="AP323" s="28"/>
      <c r="AQ323" s="28"/>
      <c r="AR323" s="28"/>
      <c r="AS323" s="28"/>
      <c r="AT323" s="28">
        <v>276</v>
      </c>
      <c r="AU323" s="28">
        <v>86</v>
      </c>
      <c r="AV323" s="28">
        <v>96</v>
      </c>
      <c r="AW323" s="28">
        <v>127</v>
      </c>
      <c r="AX323" s="28">
        <v>111</v>
      </c>
      <c r="AY323" s="28">
        <v>135</v>
      </c>
      <c r="AZ323" s="28">
        <v>100</v>
      </c>
      <c r="BA323" s="28">
        <v>106</v>
      </c>
      <c r="BB323" s="28">
        <v>105</v>
      </c>
      <c r="BC323" s="28">
        <v>2</v>
      </c>
      <c r="BD323" s="28">
        <v>1</v>
      </c>
      <c r="BE323" s="28">
        <v>139</v>
      </c>
      <c r="BF323" s="28">
        <v>100</v>
      </c>
      <c r="BG323" s="28">
        <v>37</v>
      </c>
      <c r="BH323" s="28">
        <v>51</v>
      </c>
      <c r="BI323" s="28">
        <v>55</v>
      </c>
      <c r="BJ323" s="28" t="s">
        <v>368</v>
      </c>
      <c r="BK323" s="28" t="s">
        <v>368</v>
      </c>
      <c r="BL323" s="28">
        <v>105</v>
      </c>
      <c r="BM323" s="28">
        <v>65</v>
      </c>
      <c r="BN323" s="28">
        <v>51</v>
      </c>
      <c r="BO323" s="28">
        <v>104</v>
      </c>
      <c r="BP323" s="28">
        <v>68</v>
      </c>
      <c r="BQ323" s="28">
        <v>8</v>
      </c>
      <c r="BR323" s="28">
        <v>78</v>
      </c>
      <c r="BS323" s="28">
        <v>19</v>
      </c>
      <c r="BT323" s="28">
        <v>39</v>
      </c>
      <c r="BU323" s="28"/>
      <c r="BV323" s="28"/>
      <c r="BW323" s="28"/>
      <c r="BY323" s="91"/>
      <c r="BZ323" s="98"/>
    </row>
    <row r="324" spans="1:78" s="14" customFormat="1" ht="20.100000000000001" customHeight="1" thickBot="1" x14ac:dyDescent="0.35">
      <c r="A324" s="13">
        <v>318</v>
      </c>
      <c r="B324" s="15" t="s">
        <v>343</v>
      </c>
      <c r="C324" s="71" t="s">
        <v>161</v>
      </c>
      <c r="D324" s="21"/>
      <c r="E324" s="21"/>
      <c r="F324" s="16">
        <v>89642957308</v>
      </c>
      <c r="G324" s="17" t="s">
        <v>232</v>
      </c>
      <c r="H324" s="16"/>
      <c r="I324" s="17" t="str">
        <f>J324&amp;F324</f>
        <v>일체형충전기89642957308</v>
      </c>
      <c r="J324" s="21" t="s">
        <v>233</v>
      </c>
      <c r="K324" s="63">
        <v>2995</v>
      </c>
      <c r="L324" s="14" t="s">
        <v>225</v>
      </c>
      <c r="M324" s="14">
        <v>320</v>
      </c>
      <c r="Q324" s="88" t="s">
        <v>279</v>
      </c>
      <c r="R324" s="19">
        <v>36</v>
      </c>
      <c r="S324" s="19">
        <v>39</v>
      </c>
      <c r="T324" s="19">
        <v>36</v>
      </c>
      <c r="U324" s="19">
        <v>37</v>
      </c>
      <c r="V324" s="19">
        <v>18</v>
      </c>
      <c r="W324" s="19"/>
      <c r="X324" s="19"/>
      <c r="Y324" s="19">
        <v>52</v>
      </c>
      <c r="Z324" s="19">
        <v>136</v>
      </c>
      <c r="AA324" s="19">
        <v>43</v>
      </c>
      <c r="AB324" s="19">
        <v>49</v>
      </c>
      <c r="AC324" s="19">
        <v>20</v>
      </c>
      <c r="AD324" s="19">
        <v>37</v>
      </c>
      <c r="AE324" s="19">
        <v>37</v>
      </c>
      <c r="AF324" s="19">
        <v>37</v>
      </c>
      <c r="AG324" s="19">
        <v>24</v>
      </c>
      <c r="AH324" s="19">
        <v>36</v>
      </c>
      <c r="AI324" s="19"/>
      <c r="AJ324" s="19"/>
      <c r="AK324" s="19">
        <v>43</v>
      </c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B324" s="19"/>
      <c r="BC324" s="19"/>
      <c r="BD324" s="19"/>
      <c r="BE324" s="19"/>
      <c r="BF324" s="19"/>
      <c r="BG324" s="19"/>
      <c r="BH324" s="19"/>
      <c r="BI324" s="19"/>
      <c r="BJ324" s="19"/>
      <c r="BK324" s="19"/>
      <c r="BL324" s="19"/>
      <c r="BM324" s="19"/>
      <c r="BN324" s="19"/>
      <c r="BO324" s="19"/>
      <c r="BP324" s="19"/>
      <c r="BQ324" s="19"/>
      <c r="BR324" s="19"/>
      <c r="BS324" s="19">
        <v>43</v>
      </c>
      <c r="BT324" s="19"/>
      <c r="BU324" s="19"/>
      <c r="BV324" s="19"/>
      <c r="BW324" s="19"/>
      <c r="BX324" s="18"/>
      <c r="BY324" s="15"/>
    </row>
    <row r="325" spans="1:78" s="8" customFormat="1" ht="20.100000000000001" customHeight="1" x14ac:dyDescent="0.3">
      <c r="A325" s="13">
        <v>319</v>
      </c>
      <c r="B325" s="9" t="s">
        <v>360</v>
      </c>
      <c r="C325" s="70" t="s">
        <v>161</v>
      </c>
      <c r="D325" s="46">
        <f>VLOOKUP(F329,[1]SKU리스트!$H:$L,5,FALSE)</f>
        <v>14900</v>
      </c>
      <c r="E325" s="47">
        <f>VLOOKUP(F329,[1]SKU리스트!$H:$AK,30,FALSE)</f>
        <v>9804.545454545454</v>
      </c>
      <c r="F325" s="10" t="s">
        <v>236</v>
      </c>
      <c r="G325" s="11"/>
      <c r="H325" s="10"/>
      <c r="I325" s="11"/>
      <c r="J325" s="9"/>
      <c r="K325" s="12"/>
      <c r="L325" s="8" t="s">
        <v>225</v>
      </c>
      <c r="M325" s="8">
        <v>321</v>
      </c>
      <c r="Q325" s="44" t="s">
        <v>125</v>
      </c>
      <c r="R325" s="54">
        <v>0</v>
      </c>
      <c r="S325" s="54" t="s">
        <v>221</v>
      </c>
      <c r="T325" s="54" t="s">
        <v>221</v>
      </c>
      <c r="U325" s="54">
        <v>1</v>
      </c>
      <c r="V325" s="54" t="s">
        <v>221</v>
      </c>
      <c r="W325" s="54">
        <v>0</v>
      </c>
      <c r="X325" s="54" t="s">
        <v>221</v>
      </c>
      <c r="Y325" s="54" t="s">
        <v>221</v>
      </c>
      <c r="Z325" s="54" t="s">
        <v>221</v>
      </c>
      <c r="AA325" s="54" t="s">
        <v>221</v>
      </c>
      <c r="AB325" s="54" t="s">
        <v>221</v>
      </c>
      <c r="AC325" s="54" t="s">
        <v>221</v>
      </c>
      <c r="AD325" s="54" t="s">
        <v>221</v>
      </c>
      <c r="AE325" s="54" t="s">
        <v>221</v>
      </c>
      <c r="AF325" s="54" t="s">
        <v>221</v>
      </c>
      <c r="AG325" s="54" t="s">
        <v>221</v>
      </c>
      <c r="AH325" s="54" t="s">
        <v>221</v>
      </c>
      <c r="AI325" s="54">
        <v>2</v>
      </c>
      <c r="AJ325" s="54" t="s">
        <v>221</v>
      </c>
      <c r="AK325" s="54">
        <v>-1</v>
      </c>
      <c r="AL325" s="54" t="s">
        <v>221</v>
      </c>
      <c r="AM325" s="54" t="s">
        <v>221</v>
      </c>
      <c r="AN325" s="54" t="s">
        <v>221</v>
      </c>
      <c r="AO325" s="54" t="s">
        <v>221</v>
      </c>
      <c r="AP325" s="54" t="s">
        <v>221</v>
      </c>
      <c r="AQ325" s="54" t="s">
        <v>221</v>
      </c>
      <c r="AR325" s="54" t="s">
        <v>221</v>
      </c>
      <c r="AS325" s="54" t="s">
        <v>221</v>
      </c>
      <c r="AT325" s="54" t="s">
        <v>221</v>
      </c>
      <c r="AU325" s="54" t="s">
        <v>221</v>
      </c>
      <c r="AV325" s="54" t="s">
        <v>221</v>
      </c>
      <c r="AW325" s="54" t="s">
        <v>221</v>
      </c>
      <c r="AX325" s="54">
        <v>1</v>
      </c>
      <c r="AY325" s="54">
        <v>1</v>
      </c>
      <c r="AZ325" s="54" t="s">
        <v>221</v>
      </c>
      <c r="BA325" s="54">
        <v>1</v>
      </c>
      <c r="BB325" s="54" t="s">
        <v>221</v>
      </c>
      <c r="BC325" s="54" t="s">
        <v>221</v>
      </c>
      <c r="BD325" s="54" t="s">
        <v>221</v>
      </c>
      <c r="BE325" s="54" t="s">
        <v>221</v>
      </c>
      <c r="BF325" s="54" t="s">
        <v>221</v>
      </c>
      <c r="BG325" s="54" t="s">
        <v>221</v>
      </c>
      <c r="BH325" s="54" t="s">
        <v>221</v>
      </c>
      <c r="BI325" s="54" t="s">
        <v>221</v>
      </c>
      <c r="BJ325" s="54" t="s">
        <v>221</v>
      </c>
      <c r="BK325" s="54" t="s">
        <v>221</v>
      </c>
      <c r="BL325" s="54">
        <v>1</v>
      </c>
      <c r="BM325" s="54" t="s">
        <v>221</v>
      </c>
      <c r="BN325" s="54">
        <v>-1</v>
      </c>
      <c r="BO325" s="54" t="s">
        <v>221</v>
      </c>
      <c r="BP325" s="54" t="s">
        <v>221</v>
      </c>
      <c r="BQ325" s="54" t="s">
        <v>221</v>
      </c>
      <c r="BR325" s="54" t="s">
        <v>221</v>
      </c>
      <c r="BS325" s="54" t="s">
        <v>221</v>
      </c>
      <c r="BT325" s="54" t="s">
        <v>221</v>
      </c>
      <c r="BU325" s="54"/>
      <c r="BV325" s="54"/>
      <c r="BW325" s="54"/>
      <c r="BX325" s="85">
        <f>VLOOKUP(F325,[1]SKU리스트!$H:$AH,27,FALSE)</f>
        <v>14404</v>
      </c>
      <c r="BY325" s="9"/>
    </row>
    <row r="326" spans="1:78" ht="20.100000000000001" customHeight="1" x14ac:dyDescent="0.3">
      <c r="A326" s="13">
        <v>320</v>
      </c>
      <c r="B326" s="4" t="s">
        <v>360</v>
      </c>
      <c r="C326" s="69" t="s">
        <v>161</v>
      </c>
      <c r="D326" s="1"/>
      <c r="E326" s="1"/>
      <c r="F326" s="2" t="s">
        <v>320</v>
      </c>
      <c r="L326" s="1" t="s">
        <v>225</v>
      </c>
      <c r="M326" s="1">
        <v>322</v>
      </c>
      <c r="Q326" s="39" t="s">
        <v>282</v>
      </c>
      <c r="R326" s="5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50"/>
      <c r="AL326" s="50"/>
      <c r="AM326" s="50"/>
      <c r="AN326" s="50"/>
      <c r="AO326" s="53">
        <f>SUM(AI325:AO325)</f>
        <v>1</v>
      </c>
      <c r="AP326" s="51">
        <v>2</v>
      </c>
      <c r="AQ326" s="50"/>
      <c r="AR326" s="50"/>
      <c r="AS326" s="50"/>
      <c r="AT326" s="50"/>
      <c r="AU326" s="50"/>
      <c r="AV326" s="53">
        <f>SUM(AP325:AV325)</f>
        <v>0</v>
      </c>
      <c r="AW326" s="50">
        <v>0</v>
      </c>
      <c r="AX326" s="50"/>
      <c r="AY326" s="50"/>
      <c r="AZ326" s="50"/>
      <c r="BA326" s="50"/>
      <c r="BB326" s="50"/>
      <c r="BC326" s="53">
        <f>SUM(AW325:BC325)</f>
        <v>3</v>
      </c>
      <c r="BD326" s="50">
        <v>3</v>
      </c>
      <c r="BE326" s="50"/>
      <c r="BF326" s="50"/>
      <c r="BG326" s="50"/>
      <c r="BH326" s="50"/>
      <c r="BI326" s="50"/>
      <c r="BJ326" s="53">
        <f>SUM(BD325:BJ325)</f>
        <v>0</v>
      </c>
      <c r="BK326" s="50">
        <v>0</v>
      </c>
      <c r="BL326" s="50"/>
      <c r="BM326" s="50"/>
      <c r="BN326" s="50"/>
      <c r="BO326" s="50"/>
      <c r="BP326" s="50"/>
      <c r="BQ326" s="53">
        <f>SUM(BK325:BQ325)</f>
        <v>0</v>
      </c>
      <c r="BR326" s="50">
        <v>2</v>
      </c>
      <c r="BS326" s="50"/>
      <c r="BT326" s="50"/>
      <c r="BU326" s="50"/>
      <c r="BV326" s="50"/>
      <c r="BW326" s="50"/>
    </row>
    <row r="327" spans="1:78" ht="20.100000000000001" customHeight="1" x14ac:dyDescent="0.3">
      <c r="A327" s="13">
        <v>321</v>
      </c>
      <c r="B327" s="4" t="s">
        <v>360</v>
      </c>
      <c r="C327" s="69" t="s">
        <v>161</v>
      </c>
      <c r="D327" s="82" t="s">
        <v>235</v>
      </c>
      <c r="E327" s="20"/>
      <c r="F327" s="2">
        <v>93179130210</v>
      </c>
      <c r="G327" s="3" t="s">
        <v>237</v>
      </c>
      <c r="H327" s="60">
        <v>1558</v>
      </c>
      <c r="L327" s="1" t="s">
        <v>225</v>
      </c>
      <c r="M327" s="1">
        <v>323</v>
      </c>
      <c r="Q327" s="43" t="s">
        <v>244</v>
      </c>
      <c r="R327" s="28">
        <v>100</v>
      </c>
      <c r="S327" s="28">
        <v>100</v>
      </c>
      <c r="T327" s="28">
        <v>100</v>
      </c>
      <c r="U327" s="28">
        <v>100</v>
      </c>
      <c r="V327" s="28">
        <v>80</v>
      </c>
      <c r="W327" s="28" t="s">
        <v>234</v>
      </c>
      <c r="X327" s="28" t="s">
        <v>234</v>
      </c>
      <c r="Y327" s="28">
        <v>100</v>
      </c>
      <c r="Z327" s="28">
        <v>150</v>
      </c>
      <c r="AA327" s="28">
        <v>150</v>
      </c>
      <c r="AB327" s="28">
        <v>107</v>
      </c>
      <c r="AC327" s="28">
        <v>24</v>
      </c>
      <c r="AD327" s="28">
        <v>200</v>
      </c>
      <c r="AE327" s="28">
        <v>137</v>
      </c>
      <c r="AF327" s="28">
        <v>304</v>
      </c>
      <c r="AG327" s="28">
        <v>92</v>
      </c>
      <c r="AH327" s="28">
        <v>375</v>
      </c>
      <c r="AI327" s="28"/>
      <c r="AJ327" s="28"/>
      <c r="AK327" s="28">
        <v>269</v>
      </c>
      <c r="AL327" s="28"/>
      <c r="AM327" s="28"/>
      <c r="AN327" s="28"/>
      <c r="AO327" s="28"/>
      <c r="AP327" s="28"/>
      <c r="AQ327" s="28"/>
      <c r="AR327" s="28"/>
      <c r="AS327" s="28"/>
      <c r="AT327" s="28">
        <v>271</v>
      </c>
      <c r="AU327" s="28">
        <v>91</v>
      </c>
      <c r="AV327" s="28">
        <v>89</v>
      </c>
      <c r="AW327" s="28">
        <v>138</v>
      </c>
      <c r="AX327" s="28">
        <v>133</v>
      </c>
      <c r="AY327" s="28">
        <v>127</v>
      </c>
      <c r="AZ327" s="28">
        <v>100</v>
      </c>
      <c r="BA327" s="28">
        <v>93</v>
      </c>
      <c r="BB327" s="28">
        <v>111</v>
      </c>
      <c r="BC327" s="28">
        <v>3</v>
      </c>
      <c r="BD327" s="28">
        <v>2</v>
      </c>
      <c r="BE327" s="28">
        <v>158</v>
      </c>
      <c r="BF327" s="28">
        <v>97</v>
      </c>
      <c r="BG327" s="28">
        <v>47</v>
      </c>
      <c r="BH327" s="28">
        <v>48</v>
      </c>
      <c r="BI327" s="28">
        <v>54</v>
      </c>
      <c r="BJ327" s="28" t="s">
        <v>368</v>
      </c>
      <c r="BK327" s="28" t="s">
        <v>368</v>
      </c>
      <c r="BL327" s="28">
        <v>111</v>
      </c>
      <c r="BM327" s="28">
        <v>67</v>
      </c>
      <c r="BN327" s="28">
        <v>41</v>
      </c>
      <c r="BO327" s="28">
        <v>88</v>
      </c>
      <c r="BP327" s="28">
        <v>75</v>
      </c>
      <c r="BQ327" s="28">
        <v>10</v>
      </c>
      <c r="BR327" s="28">
        <v>72</v>
      </c>
      <c r="BS327" s="28">
        <v>17</v>
      </c>
      <c r="BT327" s="28">
        <v>40</v>
      </c>
      <c r="BU327" s="28"/>
      <c r="BV327" s="28"/>
      <c r="BW327" s="28"/>
    </row>
    <row r="328" spans="1:78" ht="20.100000000000001" customHeight="1" x14ac:dyDescent="0.3">
      <c r="A328" s="13">
        <v>322</v>
      </c>
      <c r="B328" s="91" t="s">
        <v>360</v>
      </c>
      <c r="C328" s="93" t="s">
        <v>161</v>
      </c>
      <c r="D328" s="94"/>
      <c r="E328" s="94"/>
      <c r="F328" s="96">
        <v>93179130210</v>
      </c>
      <c r="G328" s="97"/>
      <c r="H328" s="96"/>
      <c r="I328" s="97" t="s">
        <v>242</v>
      </c>
      <c r="J328" s="94" t="s">
        <v>35</v>
      </c>
      <c r="K328" s="62">
        <v>99500</v>
      </c>
      <c r="L328" s="98" t="s">
        <v>225</v>
      </c>
      <c r="M328" s="98">
        <v>324</v>
      </c>
      <c r="N328" s="98"/>
      <c r="O328" s="98"/>
      <c r="P328" s="98"/>
      <c r="Q328" s="87" t="s">
        <v>279</v>
      </c>
      <c r="R328" s="7"/>
      <c r="S328" s="7"/>
      <c r="T328" s="7">
        <v>80</v>
      </c>
      <c r="U328" s="7"/>
      <c r="V328" s="7"/>
      <c r="W328" s="7"/>
      <c r="X328" s="7"/>
      <c r="Y328" s="7">
        <v>50</v>
      </c>
      <c r="Z328" s="7">
        <v>61</v>
      </c>
      <c r="AA328" s="7"/>
      <c r="AB328" s="7">
        <v>35</v>
      </c>
      <c r="AC328" s="7">
        <v>35</v>
      </c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Y328" s="91"/>
      <c r="BZ328" s="98"/>
    </row>
    <row r="329" spans="1:78" ht="20.100000000000001" customHeight="1" x14ac:dyDescent="0.3">
      <c r="A329" s="13">
        <v>323</v>
      </c>
      <c r="B329" s="4" t="s">
        <v>360</v>
      </c>
      <c r="C329" s="69" t="s">
        <v>161</v>
      </c>
      <c r="E329" s="20"/>
      <c r="F329" s="2">
        <v>93179130210</v>
      </c>
      <c r="H329" s="60">
        <v>1555</v>
      </c>
      <c r="L329" s="1" t="s">
        <v>225</v>
      </c>
      <c r="M329" s="1">
        <v>325</v>
      </c>
      <c r="Q329" s="43" t="s">
        <v>244</v>
      </c>
      <c r="R329" s="28">
        <v>100</v>
      </c>
      <c r="S329" s="28">
        <v>100</v>
      </c>
      <c r="T329" s="28">
        <v>100</v>
      </c>
      <c r="U329" s="28">
        <v>100</v>
      </c>
      <c r="V329" s="28">
        <v>80</v>
      </c>
      <c r="W329" s="28" t="s">
        <v>234</v>
      </c>
      <c r="X329" s="28" t="s">
        <v>234</v>
      </c>
      <c r="Y329" s="28">
        <v>100</v>
      </c>
      <c r="Z329" s="28">
        <v>150</v>
      </c>
      <c r="AA329" s="28">
        <v>150</v>
      </c>
      <c r="AB329" s="28">
        <v>116</v>
      </c>
      <c r="AC329" s="28">
        <v>20</v>
      </c>
      <c r="AD329" s="28">
        <v>200</v>
      </c>
      <c r="AE329" s="28">
        <v>121</v>
      </c>
      <c r="AF329" s="28">
        <v>316</v>
      </c>
      <c r="AG329" s="28">
        <v>85</v>
      </c>
      <c r="AH329" s="28">
        <v>313</v>
      </c>
      <c r="AI329" s="28"/>
      <c r="AJ329" s="28"/>
      <c r="AK329" s="28">
        <v>253</v>
      </c>
      <c r="AL329" s="28"/>
      <c r="AM329" s="28"/>
      <c r="AN329" s="28"/>
      <c r="AO329" s="28"/>
      <c r="AP329" s="28"/>
      <c r="AQ329" s="28"/>
      <c r="AR329" s="28"/>
      <c r="AS329" s="28"/>
      <c r="AT329" s="28">
        <v>299</v>
      </c>
      <c r="AU329" s="28">
        <v>76</v>
      </c>
      <c r="AV329" s="28">
        <v>93</v>
      </c>
      <c r="AW329" s="28">
        <v>152</v>
      </c>
      <c r="AX329" s="28">
        <v>136</v>
      </c>
      <c r="AY329" s="28">
        <v>140</v>
      </c>
      <c r="AZ329" s="28">
        <v>111</v>
      </c>
      <c r="BA329" s="28">
        <v>100</v>
      </c>
      <c r="BB329" s="28">
        <v>95</v>
      </c>
      <c r="BC329" s="28">
        <v>1</v>
      </c>
      <c r="BD329" s="28">
        <v>2</v>
      </c>
      <c r="BE329" s="28">
        <v>143</v>
      </c>
      <c r="BF329" s="28">
        <v>99</v>
      </c>
      <c r="BG329" s="28">
        <v>48</v>
      </c>
      <c r="BH329" s="28">
        <v>60</v>
      </c>
      <c r="BI329" s="28">
        <v>66</v>
      </c>
      <c r="BJ329" s="28" t="s">
        <v>368</v>
      </c>
      <c r="BK329" s="28" t="s">
        <v>368</v>
      </c>
      <c r="BL329" s="28">
        <v>95</v>
      </c>
      <c r="BM329" s="28">
        <v>78</v>
      </c>
      <c r="BN329" s="28">
        <v>38</v>
      </c>
      <c r="BO329" s="28">
        <v>90</v>
      </c>
      <c r="BP329" s="28">
        <v>59</v>
      </c>
      <c r="BQ329" s="28">
        <v>8</v>
      </c>
      <c r="BR329" s="28">
        <v>70</v>
      </c>
      <c r="BS329" s="28">
        <v>22</v>
      </c>
      <c r="BT329" s="28">
        <v>37</v>
      </c>
      <c r="BU329" s="28"/>
      <c r="BV329" s="28"/>
      <c r="BW329" s="28"/>
    </row>
    <row r="330" spans="1:78" ht="20.100000000000001" customHeight="1" x14ac:dyDescent="0.3">
      <c r="A330" s="13">
        <v>324</v>
      </c>
      <c r="B330" s="91" t="s">
        <v>360</v>
      </c>
      <c r="C330" s="93" t="s">
        <v>161</v>
      </c>
      <c r="D330" s="94"/>
      <c r="E330" s="94"/>
      <c r="F330" s="96">
        <v>93179130210</v>
      </c>
      <c r="G330" s="97"/>
      <c r="H330" s="96"/>
      <c r="I330" s="97" t="s">
        <v>239</v>
      </c>
      <c r="J330" s="94" t="s">
        <v>37</v>
      </c>
      <c r="K330" s="62">
        <v>75500</v>
      </c>
      <c r="L330" s="98" t="s">
        <v>225</v>
      </c>
      <c r="M330" s="98">
        <v>326</v>
      </c>
      <c r="N330" s="98"/>
      <c r="O330" s="98"/>
      <c r="P330" s="98"/>
      <c r="Q330" s="87" t="s">
        <v>279</v>
      </c>
      <c r="R330" s="7"/>
      <c r="S330" s="7"/>
      <c r="T330" s="7"/>
      <c r="U330" s="7"/>
      <c r="V330" s="7"/>
      <c r="W330" s="7"/>
      <c r="X330" s="7"/>
      <c r="Y330" s="7">
        <v>49</v>
      </c>
      <c r="Z330" s="7"/>
      <c r="AA330" s="7"/>
      <c r="AB330" s="7">
        <v>45</v>
      </c>
      <c r="AC330" s="7">
        <v>45</v>
      </c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Y330" s="91"/>
      <c r="BZ330" s="98"/>
    </row>
    <row r="331" spans="1:78" ht="20.100000000000001" customHeight="1" x14ac:dyDescent="0.3">
      <c r="A331" s="13">
        <v>325</v>
      </c>
      <c r="B331" s="91" t="s">
        <v>360</v>
      </c>
      <c r="C331" s="93" t="s">
        <v>161</v>
      </c>
      <c r="D331" s="94"/>
      <c r="E331" s="94"/>
      <c r="F331" s="96">
        <v>93179130210</v>
      </c>
      <c r="G331" s="97"/>
      <c r="H331" s="99">
        <v>1557</v>
      </c>
      <c r="I331" s="97"/>
      <c r="J331" s="91"/>
      <c r="L331" s="98" t="s">
        <v>225</v>
      </c>
      <c r="M331" s="98">
        <v>327</v>
      </c>
      <c r="N331" s="98"/>
      <c r="O331" s="98"/>
      <c r="P331" s="98"/>
      <c r="Q331" s="43" t="s">
        <v>244</v>
      </c>
      <c r="R331" s="28">
        <v>100</v>
      </c>
      <c r="S331" s="28">
        <v>100</v>
      </c>
      <c r="T331" s="28">
        <v>100</v>
      </c>
      <c r="U331" s="28">
        <v>100</v>
      </c>
      <c r="V331" s="28">
        <v>78</v>
      </c>
      <c r="W331" s="28" t="s">
        <v>234</v>
      </c>
      <c r="X331" s="28" t="s">
        <v>234</v>
      </c>
      <c r="Y331" s="28">
        <v>100</v>
      </c>
      <c r="Z331" s="28">
        <v>150</v>
      </c>
      <c r="AA331" s="28">
        <v>150</v>
      </c>
      <c r="AB331" s="28">
        <v>99</v>
      </c>
      <c r="AC331" s="28">
        <v>22</v>
      </c>
      <c r="AD331" s="28">
        <v>200</v>
      </c>
      <c r="AE331" s="28">
        <v>125</v>
      </c>
      <c r="AF331" s="28">
        <v>299</v>
      </c>
      <c r="AG331" s="28">
        <v>82</v>
      </c>
      <c r="AH331" s="28">
        <v>356</v>
      </c>
      <c r="AI331" s="28"/>
      <c r="AJ331" s="28"/>
      <c r="AK331" s="28">
        <v>268</v>
      </c>
      <c r="AL331" s="28"/>
      <c r="AM331" s="28"/>
      <c r="AN331" s="28"/>
      <c r="AO331" s="28"/>
      <c r="AP331" s="28"/>
      <c r="AQ331" s="28"/>
      <c r="AR331" s="28"/>
      <c r="AS331" s="28"/>
      <c r="AT331" s="28">
        <v>291</v>
      </c>
      <c r="AU331" s="28">
        <v>87</v>
      </c>
      <c r="AV331" s="28">
        <v>92</v>
      </c>
      <c r="AW331" s="28">
        <v>157</v>
      </c>
      <c r="AX331" s="28">
        <v>120</v>
      </c>
      <c r="AY331" s="28">
        <v>118</v>
      </c>
      <c r="AZ331" s="28">
        <v>120</v>
      </c>
      <c r="BA331" s="28">
        <v>114</v>
      </c>
      <c r="BB331" s="28">
        <v>108</v>
      </c>
      <c r="BC331" s="28" t="s">
        <v>368</v>
      </c>
      <c r="BD331" s="28" t="s">
        <v>368</v>
      </c>
      <c r="BE331" s="28">
        <v>125</v>
      </c>
      <c r="BF331" s="28">
        <v>94</v>
      </c>
      <c r="BG331" s="28">
        <v>40</v>
      </c>
      <c r="BH331" s="28">
        <v>52</v>
      </c>
      <c r="BI331" s="28">
        <v>69</v>
      </c>
      <c r="BJ331" s="28" t="s">
        <v>368</v>
      </c>
      <c r="BK331" s="28" t="s">
        <v>368</v>
      </c>
      <c r="BL331" s="28">
        <v>108</v>
      </c>
      <c r="BM331" s="28">
        <v>70</v>
      </c>
      <c r="BN331" s="28">
        <v>46</v>
      </c>
      <c r="BO331" s="28">
        <v>76</v>
      </c>
      <c r="BP331" s="28">
        <v>53</v>
      </c>
      <c r="BQ331" s="28">
        <v>2</v>
      </c>
      <c r="BR331" s="28">
        <v>84</v>
      </c>
      <c r="BS331" s="28">
        <v>26</v>
      </c>
      <c r="BT331" s="28">
        <v>35</v>
      </c>
      <c r="BU331" s="28"/>
      <c r="BV331" s="28"/>
      <c r="BW331" s="28"/>
      <c r="BY331" s="91"/>
      <c r="BZ331" s="98"/>
    </row>
    <row r="332" spans="1:78" ht="20.100000000000001" customHeight="1" x14ac:dyDescent="0.3">
      <c r="A332" s="13">
        <v>326</v>
      </c>
      <c r="B332" s="4" t="s">
        <v>360</v>
      </c>
      <c r="C332" s="69" t="s">
        <v>243</v>
      </c>
      <c r="D332" s="20"/>
      <c r="E332" s="20"/>
      <c r="F332" s="2">
        <v>93179130210</v>
      </c>
      <c r="I332" s="3" t="s">
        <v>238</v>
      </c>
      <c r="J332" s="20" t="s">
        <v>38</v>
      </c>
      <c r="K332" s="62">
        <v>5762</v>
      </c>
      <c r="L332" s="1" t="s">
        <v>225</v>
      </c>
      <c r="M332" s="1">
        <v>328</v>
      </c>
      <c r="Q332" s="87" t="s">
        <v>279</v>
      </c>
      <c r="R332" s="7"/>
      <c r="S332" s="7"/>
      <c r="T332" s="7"/>
      <c r="U332" s="7">
        <v>59</v>
      </c>
      <c r="V332" s="7">
        <v>59</v>
      </c>
      <c r="W332" s="7"/>
      <c r="X332" s="7"/>
      <c r="Y332" s="7">
        <v>11</v>
      </c>
      <c r="Z332" s="7">
        <v>12</v>
      </c>
      <c r="AA332" s="7">
        <v>20</v>
      </c>
      <c r="AB332" s="7">
        <v>21</v>
      </c>
      <c r="AC332" s="7">
        <v>21</v>
      </c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BT332" s="7"/>
      <c r="BU332" s="7"/>
      <c r="BV332" s="7"/>
      <c r="BW332" s="7"/>
    </row>
    <row r="333" spans="1:78" ht="20.100000000000001" customHeight="1" x14ac:dyDescent="0.3">
      <c r="A333" s="13">
        <v>327</v>
      </c>
      <c r="B333" s="91" t="s">
        <v>360</v>
      </c>
      <c r="C333" s="93" t="s">
        <v>161</v>
      </c>
      <c r="D333" s="94"/>
      <c r="E333" s="94"/>
      <c r="F333" s="96">
        <v>93179130210</v>
      </c>
      <c r="G333" s="97"/>
      <c r="H333" s="99">
        <v>1556</v>
      </c>
      <c r="I333" s="97"/>
      <c r="J333" s="91"/>
      <c r="L333" s="98" t="s">
        <v>225</v>
      </c>
      <c r="M333" s="98">
        <v>329</v>
      </c>
      <c r="N333" s="98"/>
      <c r="O333" s="98"/>
      <c r="P333" s="98"/>
      <c r="Q333" s="43" t="s">
        <v>244</v>
      </c>
      <c r="R333" s="28">
        <v>100</v>
      </c>
      <c r="S333" s="28">
        <v>100</v>
      </c>
      <c r="T333" s="28">
        <v>100</v>
      </c>
      <c r="U333" s="28">
        <v>100</v>
      </c>
      <c r="V333" s="28">
        <v>64</v>
      </c>
      <c r="W333" s="28" t="s">
        <v>234</v>
      </c>
      <c r="X333" s="28" t="s">
        <v>234</v>
      </c>
      <c r="Y333" s="28">
        <v>100</v>
      </c>
      <c r="Z333" s="28">
        <v>150</v>
      </c>
      <c r="AA333" s="28">
        <v>150</v>
      </c>
      <c r="AB333" s="28">
        <v>111</v>
      </c>
      <c r="AC333" s="28">
        <v>27</v>
      </c>
      <c r="AD333" s="28">
        <v>200</v>
      </c>
      <c r="AE333" s="28">
        <v>133</v>
      </c>
      <c r="AF333" s="28">
        <v>298</v>
      </c>
      <c r="AG333" s="28">
        <v>80</v>
      </c>
      <c r="AH333" s="28">
        <v>358</v>
      </c>
      <c r="AI333" s="28"/>
      <c r="AJ333" s="28"/>
      <c r="AK333" s="28">
        <v>269</v>
      </c>
      <c r="AL333" s="28"/>
      <c r="AM333" s="28"/>
      <c r="AN333" s="28"/>
      <c r="AO333" s="28"/>
      <c r="AP333" s="28"/>
      <c r="AQ333" s="28"/>
      <c r="AR333" s="28"/>
      <c r="AS333" s="28"/>
      <c r="AT333" s="28">
        <v>297</v>
      </c>
      <c r="AU333" s="28">
        <v>108</v>
      </c>
      <c r="AV333" s="28">
        <v>96</v>
      </c>
      <c r="AW333" s="28">
        <v>153</v>
      </c>
      <c r="AX333" s="28">
        <v>114</v>
      </c>
      <c r="AY333" s="28">
        <v>139</v>
      </c>
      <c r="AZ333" s="28">
        <v>108</v>
      </c>
      <c r="BA333" s="28">
        <v>104</v>
      </c>
      <c r="BB333" s="28">
        <v>107</v>
      </c>
      <c r="BC333" s="28" t="s">
        <v>368</v>
      </c>
      <c r="BD333" s="28">
        <v>1</v>
      </c>
      <c r="BE333" s="28">
        <v>113</v>
      </c>
      <c r="BF333" s="28">
        <v>75</v>
      </c>
      <c r="BG333" s="28">
        <v>60</v>
      </c>
      <c r="BH333" s="28">
        <v>65</v>
      </c>
      <c r="BI333" s="28">
        <v>60</v>
      </c>
      <c r="BJ333" s="28" t="s">
        <v>368</v>
      </c>
      <c r="BK333" s="28" t="s">
        <v>368</v>
      </c>
      <c r="BL333" s="28">
        <v>107</v>
      </c>
      <c r="BM333" s="28">
        <v>66</v>
      </c>
      <c r="BN333" s="28">
        <v>45</v>
      </c>
      <c r="BO333" s="28">
        <v>81</v>
      </c>
      <c r="BP333" s="28">
        <v>72</v>
      </c>
      <c r="BQ333" s="28">
        <v>5</v>
      </c>
      <c r="BR333" s="28">
        <v>69</v>
      </c>
      <c r="BS333" s="28">
        <v>14</v>
      </c>
      <c r="BT333" s="28">
        <v>25</v>
      </c>
      <c r="BU333" s="28"/>
      <c r="BV333" s="28"/>
      <c r="BW333" s="28"/>
      <c r="BY333" s="91"/>
      <c r="BZ333" s="98"/>
    </row>
    <row r="334" spans="1:78" ht="20.100000000000001" customHeight="1" thickBot="1" x14ac:dyDescent="0.35">
      <c r="A334" s="13">
        <v>328</v>
      </c>
      <c r="B334" s="91" t="s">
        <v>360</v>
      </c>
      <c r="C334" s="93" t="s">
        <v>161</v>
      </c>
      <c r="D334" s="94"/>
      <c r="E334" s="94"/>
      <c r="F334" s="96">
        <v>93179130210</v>
      </c>
      <c r="G334" s="97"/>
      <c r="H334" s="96"/>
      <c r="I334" s="97" t="s">
        <v>241</v>
      </c>
      <c r="J334" s="94" t="s">
        <v>240</v>
      </c>
      <c r="K334" s="5">
        <v>430</v>
      </c>
      <c r="L334" s="98" t="s">
        <v>225</v>
      </c>
      <c r="M334" s="98">
        <v>330</v>
      </c>
      <c r="N334" s="98"/>
      <c r="O334" s="98"/>
      <c r="P334" s="98"/>
      <c r="Q334" s="87" t="s">
        <v>279</v>
      </c>
      <c r="R334" s="7"/>
      <c r="S334" s="7"/>
      <c r="T334" s="7">
        <v>47</v>
      </c>
      <c r="U334" s="7">
        <v>12</v>
      </c>
      <c r="V334" s="7">
        <v>13</v>
      </c>
      <c r="W334" s="7"/>
      <c r="X334" s="7"/>
      <c r="Y334" s="7">
        <v>8</v>
      </c>
      <c r="Z334" s="7">
        <v>11</v>
      </c>
      <c r="AA334" s="7">
        <v>14</v>
      </c>
      <c r="AB334" s="7">
        <v>14</v>
      </c>
      <c r="AC334" s="7">
        <v>14</v>
      </c>
      <c r="AD334" s="7">
        <v>14</v>
      </c>
      <c r="AE334" s="7">
        <v>14</v>
      </c>
      <c r="AF334" s="7">
        <v>8</v>
      </c>
      <c r="AG334" s="7">
        <v>5</v>
      </c>
      <c r="AH334" s="7">
        <v>8</v>
      </c>
      <c r="AI334" s="7"/>
      <c r="AJ334" s="7"/>
      <c r="AK334" s="7">
        <v>18</v>
      </c>
      <c r="AL334" s="7"/>
      <c r="AM334" s="7"/>
      <c r="AN334" s="7"/>
      <c r="AO334" s="7"/>
      <c r="AP334" s="7"/>
      <c r="AQ334" s="7"/>
      <c r="AR334" s="7"/>
      <c r="AS334" s="7"/>
      <c r="AT334" s="7">
        <v>28</v>
      </c>
      <c r="AU334" s="7"/>
      <c r="AV334" s="7"/>
      <c r="AW334" s="7"/>
      <c r="AX334" s="7">
        <v>31</v>
      </c>
      <c r="AY334" s="7"/>
      <c r="AZ334" s="7">
        <v>36</v>
      </c>
      <c r="BA334" s="7">
        <v>33</v>
      </c>
      <c r="BB334" s="7">
        <v>16</v>
      </c>
      <c r="BC334" s="7"/>
      <c r="BD334" s="7"/>
      <c r="BE334" s="7">
        <v>8</v>
      </c>
      <c r="BF334" s="7"/>
      <c r="BG334" s="7">
        <v>13</v>
      </c>
      <c r="BH334" s="7"/>
      <c r="BI334" s="7">
        <v>10</v>
      </c>
      <c r="BJ334" s="7"/>
      <c r="BK334" s="7"/>
      <c r="BL334" s="7">
        <v>21</v>
      </c>
      <c r="BM334" s="7">
        <v>26</v>
      </c>
      <c r="BN334" s="7">
        <v>31</v>
      </c>
      <c r="BO334" s="7"/>
      <c r="BP334" s="7">
        <v>21</v>
      </c>
      <c r="BQ334" s="7"/>
      <c r="BR334" s="7"/>
      <c r="BS334" s="7">
        <v>23</v>
      </c>
      <c r="BT334" s="7"/>
      <c r="BU334" s="7"/>
      <c r="BV334" s="7"/>
      <c r="BW334" s="7"/>
      <c r="BY334" s="91"/>
      <c r="BZ334" s="98"/>
    </row>
    <row r="335" spans="1:78" s="8" customFormat="1" ht="20.100000000000001" customHeight="1" x14ac:dyDescent="0.3">
      <c r="A335" s="13">
        <v>329</v>
      </c>
      <c r="B335" s="9" t="s">
        <v>344</v>
      </c>
      <c r="C335" s="70" t="s">
        <v>161</v>
      </c>
      <c r="D335" s="46">
        <f>VLOOKUP(F341,[1]SKU리스트!$H:$L,5,FALSE)</f>
        <v>6900</v>
      </c>
      <c r="E335" s="47">
        <f>VLOOKUP(F341,[1]SKU리스트!$H:$AK,30,FALSE)</f>
        <v>2098.1818181818185</v>
      </c>
      <c r="F335" s="10" t="s">
        <v>246</v>
      </c>
      <c r="G335" s="11"/>
      <c r="H335" s="10"/>
      <c r="I335" s="11"/>
      <c r="J335" s="9"/>
      <c r="K335" s="12"/>
      <c r="L335" s="8" t="s">
        <v>225</v>
      </c>
      <c r="M335" s="8">
        <v>331</v>
      </c>
      <c r="Q335" s="44" t="s">
        <v>125</v>
      </c>
      <c r="R335" s="54">
        <v>68</v>
      </c>
      <c r="S335" s="54">
        <v>56</v>
      </c>
      <c r="T335" s="54">
        <v>60</v>
      </c>
      <c r="U335" s="54">
        <v>63</v>
      </c>
      <c r="V335" s="54">
        <v>51</v>
      </c>
      <c r="W335" s="54">
        <v>60</v>
      </c>
      <c r="X335" s="54">
        <v>88</v>
      </c>
      <c r="Y335" s="54">
        <v>81</v>
      </c>
      <c r="Z335" s="54">
        <v>60</v>
      </c>
      <c r="AA335" s="54">
        <v>60</v>
      </c>
      <c r="AB335" s="54">
        <v>86</v>
      </c>
      <c r="AC335" s="54">
        <v>83</v>
      </c>
      <c r="AD335" s="54">
        <v>84</v>
      </c>
      <c r="AE335" s="54">
        <v>68</v>
      </c>
      <c r="AF335" s="54">
        <v>82</v>
      </c>
      <c r="AG335" s="54">
        <v>63</v>
      </c>
      <c r="AH335" s="54">
        <v>57</v>
      </c>
      <c r="AI335" s="54">
        <v>49</v>
      </c>
      <c r="AJ335" s="54">
        <v>61</v>
      </c>
      <c r="AK335" s="54">
        <v>64</v>
      </c>
      <c r="AL335" s="54">
        <v>63</v>
      </c>
      <c r="AM335" s="54">
        <v>51</v>
      </c>
      <c r="AN335" s="54">
        <v>43</v>
      </c>
      <c r="AO335" s="54">
        <v>34</v>
      </c>
      <c r="AP335" s="54">
        <v>48</v>
      </c>
      <c r="AQ335" s="54">
        <v>63</v>
      </c>
      <c r="AR335" s="54">
        <v>42</v>
      </c>
      <c r="AS335" s="54">
        <v>42</v>
      </c>
      <c r="AT335" s="54">
        <v>50</v>
      </c>
      <c r="AU335" s="54">
        <v>75</v>
      </c>
      <c r="AV335" s="54">
        <v>42</v>
      </c>
      <c r="AW335" s="54">
        <v>58</v>
      </c>
      <c r="AX335" s="54">
        <v>46</v>
      </c>
      <c r="AY335" s="54">
        <v>37</v>
      </c>
      <c r="AZ335" s="54">
        <v>70</v>
      </c>
      <c r="BA335" s="54">
        <v>54</v>
      </c>
      <c r="BB335" s="54">
        <v>66</v>
      </c>
      <c r="BC335" s="54">
        <v>50</v>
      </c>
      <c r="BD335" s="54">
        <v>72</v>
      </c>
      <c r="BE335" s="54">
        <v>73</v>
      </c>
      <c r="BF335" s="54">
        <v>55</v>
      </c>
      <c r="BG335" s="54">
        <v>69</v>
      </c>
      <c r="BH335" s="54">
        <v>56</v>
      </c>
      <c r="BI335" s="54">
        <v>62</v>
      </c>
      <c r="BJ335" s="54">
        <v>65</v>
      </c>
      <c r="BK335" s="54">
        <v>60</v>
      </c>
      <c r="BL335" s="54">
        <v>58</v>
      </c>
      <c r="BM335" s="54">
        <v>73</v>
      </c>
      <c r="BN335" s="54">
        <v>60</v>
      </c>
      <c r="BO335" s="54">
        <v>51</v>
      </c>
      <c r="BP335" s="54">
        <v>56</v>
      </c>
      <c r="BQ335" s="54">
        <v>45</v>
      </c>
      <c r="BR335" s="54">
        <v>52</v>
      </c>
      <c r="BS335" s="54">
        <v>46</v>
      </c>
      <c r="BT335" s="54">
        <v>55</v>
      </c>
      <c r="BU335" s="54"/>
      <c r="BV335" s="54"/>
      <c r="BW335" s="54"/>
      <c r="BX335" s="85">
        <f>VLOOKUP(F335,[1]SKU리스트!$H:$AH,27,FALSE)</f>
        <v>58782</v>
      </c>
      <c r="BY335" s="9"/>
    </row>
    <row r="336" spans="1:78" ht="20.100000000000001" customHeight="1" x14ac:dyDescent="0.3">
      <c r="A336" s="13">
        <v>330</v>
      </c>
      <c r="B336" s="4" t="s">
        <v>344</v>
      </c>
      <c r="C336" s="69" t="s">
        <v>161</v>
      </c>
      <c r="D336" s="1"/>
      <c r="E336" s="1"/>
      <c r="F336" s="2" t="s">
        <v>321</v>
      </c>
      <c r="L336" s="1" t="s">
        <v>225</v>
      </c>
      <c r="M336" s="1">
        <v>332</v>
      </c>
      <c r="Q336" s="39" t="s">
        <v>282</v>
      </c>
      <c r="R336" s="5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50"/>
      <c r="AL336" s="50"/>
      <c r="AM336" s="50"/>
      <c r="AN336" s="50"/>
      <c r="AO336" s="53">
        <f>SUM(AI335:AO335)</f>
        <v>365</v>
      </c>
      <c r="AP336" s="51">
        <v>50</v>
      </c>
      <c r="AQ336" s="50"/>
      <c r="AR336" s="50"/>
      <c r="AS336" s="50"/>
      <c r="AT336" s="50"/>
      <c r="AU336" s="50"/>
      <c r="AV336" s="53">
        <f>SUM(AP335:AV335)</f>
        <v>362</v>
      </c>
      <c r="AW336" s="50">
        <v>52</v>
      </c>
      <c r="AX336" s="50"/>
      <c r="AY336" s="50"/>
      <c r="AZ336" s="50"/>
      <c r="BA336" s="50"/>
      <c r="BB336" s="50"/>
      <c r="BC336" s="53">
        <f>SUM(AW335:BC335)</f>
        <v>381</v>
      </c>
      <c r="BD336" s="50">
        <v>59</v>
      </c>
      <c r="BE336" s="50"/>
      <c r="BF336" s="50"/>
      <c r="BG336" s="50"/>
      <c r="BH336" s="50"/>
      <c r="BI336" s="50"/>
      <c r="BJ336" s="53">
        <f>SUM(BD335:BJ335)</f>
        <v>452</v>
      </c>
      <c r="BK336" s="50">
        <v>51</v>
      </c>
      <c r="BL336" s="50"/>
      <c r="BM336" s="50"/>
      <c r="BN336" s="50"/>
      <c r="BO336" s="50"/>
      <c r="BP336" s="50"/>
      <c r="BQ336" s="53">
        <f>SUM(BK335:BQ335)</f>
        <v>403</v>
      </c>
      <c r="BR336" s="50">
        <v>46</v>
      </c>
      <c r="BS336" s="50"/>
      <c r="BT336" s="50"/>
      <c r="BU336" s="50"/>
      <c r="BV336" s="50"/>
      <c r="BW336" s="50"/>
    </row>
    <row r="337" spans="1:78" ht="20.100000000000001" customHeight="1" x14ac:dyDescent="0.3">
      <c r="A337" s="13">
        <v>331</v>
      </c>
      <c r="B337" s="91" t="s">
        <v>344</v>
      </c>
      <c r="C337" s="93" t="s">
        <v>161</v>
      </c>
      <c r="D337" s="95" t="s">
        <v>245</v>
      </c>
      <c r="E337" s="94"/>
      <c r="F337" s="96">
        <v>86741299651</v>
      </c>
      <c r="G337" s="97" t="s">
        <v>247</v>
      </c>
      <c r="H337" s="99">
        <v>1570</v>
      </c>
      <c r="I337" s="97"/>
      <c r="J337" s="91"/>
      <c r="L337" s="98" t="s">
        <v>225</v>
      </c>
      <c r="M337" s="98">
        <v>333</v>
      </c>
      <c r="N337" s="98"/>
      <c r="O337" s="98"/>
      <c r="P337" s="98"/>
      <c r="Q337" s="43" t="s">
        <v>244</v>
      </c>
      <c r="R337" s="28">
        <v>100</v>
      </c>
      <c r="S337" s="28">
        <v>100</v>
      </c>
      <c r="T337" s="28">
        <v>100</v>
      </c>
      <c r="U337" s="28">
        <v>100</v>
      </c>
      <c r="V337" s="28">
        <v>86</v>
      </c>
      <c r="W337" s="28" t="s">
        <v>234</v>
      </c>
      <c r="X337" s="28" t="s">
        <v>234</v>
      </c>
      <c r="Y337" s="28">
        <v>100</v>
      </c>
      <c r="Z337" s="28">
        <v>123</v>
      </c>
      <c r="AA337" s="28">
        <v>150</v>
      </c>
      <c r="AB337" s="28">
        <v>85</v>
      </c>
      <c r="AC337" s="28">
        <v>24</v>
      </c>
      <c r="AD337" s="28">
        <v>200</v>
      </c>
      <c r="AE337" s="28">
        <v>134</v>
      </c>
      <c r="AF337" s="28">
        <v>332</v>
      </c>
      <c r="AG337" s="28">
        <v>81</v>
      </c>
      <c r="AH337" s="28">
        <v>319</v>
      </c>
      <c r="AI337" s="28"/>
      <c r="AJ337" s="28"/>
      <c r="AK337" s="28">
        <v>264</v>
      </c>
      <c r="AL337" s="28"/>
      <c r="AM337" s="28"/>
      <c r="AN337" s="28"/>
      <c r="AO337" s="28"/>
      <c r="AP337" s="28"/>
      <c r="AQ337" s="28"/>
      <c r="AR337" s="28"/>
      <c r="AS337" s="28"/>
      <c r="AT337" s="28">
        <v>269</v>
      </c>
      <c r="AU337" s="28">
        <v>88</v>
      </c>
      <c r="AV337" s="28">
        <v>84</v>
      </c>
      <c r="AW337" s="28">
        <v>142</v>
      </c>
      <c r="AX337" s="28">
        <v>122</v>
      </c>
      <c r="AY337" s="28">
        <v>152</v>
      </c>
      <c r="AZ337" s="28">
        <v>112</v>
      </c>
      <c r="BA337" s="28">
        <v>126</v>
      </c>
      <c r="BB337" s="28">
        <v>106</v>
      </c>
      <c r="BC337" s="28">
        <v>3</v>
      </c>
      <c r="BD337" s="28">
        <v>1</v>
      </c>
      <c r="BE337" s="28">
        <v>146</v>
      </c>
      <c r="BF337" s="28">
        <v>84</v>
      </c>
      <c r="BG337" s="28">
        <v>35</v>
      </c>
      <c r="BH337" s="28">
        <v>71</v>
      </c>
      <c r="BI337" s="28">
        <v>72</v>
      </c>
      <c r="BJ337" s="28" t="s">
        <v>368</v>
      </c>
      <c r="BK337" s="28" t="s">
        <v>368</v>
      </c>
      <c r="BL337" s="28">
        <v>106</v>
      </c>
      <c r="BM337" s="28">
        <v>69</v>
      </c>
      <c r="BN337" s="28">
        <v>60</v>
      </c>
      <c r="BO337" s="28">
        <v>98</v>
      </c>
      <c r="BP337" s="28">
        <v>65</v>
      </c>
      <c r="BQ337" s="28">
        <v>5</v>
      </c>
      <c r="BR337" s="28">
        <v>75</v>
      </c>
      <c r="BS337" s="28">
        <v>23</v>
      </c>
      <c r="BT337" s="28">
        <v>35</v>
      </c>
      <c r="BU337" s="28"/>
      <c r="BV337" s="28"/>
      <c r="BW337" s="28"/>
      <c r="BY337" s="91"/>
      <c r="BZ337" s="98"/>
    </row>
    <row r="338" spans="1:78" ht="20.100000000000001" customHeight="1" x14ac:dyDescent="0.3">
      <c r="A338" s="13">
        <v>332</v>
      </c>
      <c r="B338" s="4" t="s">
        <v>344</v>
      </c>
      <c r="C338" s="69" t="s">
        <v>161</v>
      </c>
      <c r="D338" s="20"/>
      <c r="E338" s="20"/>
      <c r="F338" s="2">
        <v>86741299651</v>
      </c>
      <c r="I338" s="3" t="s">
        <v>250</v>
      </c>
      <c r="J338" s="20" t="s">
        <v>66</v>
      </c>
      <c r="K338" s="62">
        <v>690900</v>
      </c>
      <c r="L338" s="1" t="s">
        <v>225</v>
      </c>
      <c r="M338" s="1">
        <v>334</v>
      </c>
      <c r="Q338" s="87" t="s">
        <v>279</v>
      </c>
      <c r="R338" s="7"/>
      <c r="S338" s="7"/>
      <c r="T338" s="7">
        <v>44</v>
      </c>
      <c r="U338" s="7">
        <v>52</v>
      </c>
      <c r="V338" s="7">
        <v>11</v>
      </c>
      <c r="W338" s="7"/>
      <c r="X338" s="7"/>
      <c r="Y338" s="7"/>
      <c r="Z338" s="7"/>
      <c r="AA338" s="7"/>
      <c r="AB338" s="7"/>
      <c r="AC338" s="7"/>
      <c r="AD338" s="7"/>
      <c r="AE338" s="7">
        <v>45</v>
      </c>
      <c r="AF338" s="7">
        <v>48</v>
      </c>
      <c r="AG338" s="7">
        <v>63</v>
      </c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>
        <v>0</v>
      </c>
      <c r="AU338" s="7"/>
      <c r="AV338" s="7"/>
      <c r="AW338" s="7"/>
      <c r="AX338" s="7">
        <v>57</v>
      </c>
      <c r="AY338" s="7">
        <v>62</v>
      </c>
      <c r="AZ338" s="7">
        <v>63</v>
      </c>
      <c r="BA338" s="7"/>
      <c r="BB338" s="7"/>
      <c r="BC338" s="7"/>
      <c r="BD338" s="7"/>
      <c r="BE338" s="7">
        <v>57</v>
      </c>
      <c r="BF338" s="7"/>
      <c r="BG338" s="7">
        <v>6</v>
      </c>
      <c r="BH338" s="7"/>
      <c r="BI338" s="7">
        <v>44</v>
      </c>
      <c r="BJ338" s="7"/>
      <c r="BK338" s="7"/>
      <c r="BL338" s="7">
        <v>50</v>
      </c>
      <c r="BM338" s="7">
        <v>46</v>
      </c>
      <c r="BN338" s="7">
        <v>49</v>
      </c>
      <c r="BO338" s="7"/>
      <c r="BP338" s="7">
        <v>47</v>
      </c>
      <c r="BQ338" s="7"/>
      <c r="BR338" s="7"/>
      <c r="BS338" s="7">
        <v>42</v>
      </c>
      <c r="BT338" s="7"/>
      <c r="BU338" s="7"/>
      <c r="BV338" s="7"/>
      <c r="BW338" s="7"/>
    </row>
    <row r="339" spans="1:78" ht="20.100000000000001" customHeight="1" x14ac:dyDescent="0.3">
      <c r="A339" s="13">
        <v>333</v>
      </c>
      <c r="B339" s="91" t="s">
        <v>344</v>
      </c>
      <c r="C339" s="93" t="s">
        <v>161</v>
      </c>
      <c r="D339" s="94"/>
      <c r="E339" s="94"/>
      <c r="F339" s="96">
        <v>86741299651</v>
      </c>
      <c r="G339" s="97"/>
      <c r="H339" s="99">
        <v>1569</v>
      </c>
      <c r="I339" s="97"/>
      <c r="J339" s="91"/>
      <c r="L339" s="98" t="s">
        <v>225</v>
      </c>
      <c r="M339" s="98">
        <v>335</v>
      </c>
      <c r="N339" s="98"/>
      <c r="O339" s="98"/>
      <c r="P339" s="98"/>
      <c r="Q339" s="43" t="s">
        <v>244</v>
      </c>
      <c r="R339" s="28">
        <v>100</v>
      </c>
      <c r="S339" s="28">
        <v>100</v>
      </c>
      <c r="T339" s="28">
        <v>100</v>
      </c>
      <c r="U339" s="28">
        <v>100</v>
      </c>
      <c r="V339" s="28">
        <v>87</v>
      </c>
      <c r="W339" s="28" t="s">
        <v>234</v>
      </c>
      <c r="X339" s="28" t="s">
        <v>234</v>
      </c>
      <c r="Y339" s="28">
        <v>100</v>
      </c>
      <c r="Z339" s="28">
        <v>103</v>
      </c>
      <c r="AA339" s="28">
        <v>150</v>
      </c>
      <c r="AB339" s="28">
        <v>77</v>
      </c>
      <c r="AC339" s="28">
        <v>17</v>
      </c>
      <c r="AD339" s="28">
        <v>200</v>
      </c>
      <c r="AE339" s="28">
        <v>116</v>
      </c>
      <c r="AF339" s="28">
        <v>325</v>
      </c>
      <c r="AG339" s="28">
        <v>101</v>
      </c>
      <c r="AH339" s="28">
        <v>365</v>
      </c>
      <c r="AI339" s="28"/>
      <c r="AJ339" s="28"/>
      <c r="AK339" s="28">
        <v>282</v>
      </c>
      <c r="AL339" s="28"/>
      <c r="AM339" s="28"/>
      <c r="AN339" s="28"/>
      <c r="AO339" s="28"/>
      <c r="AP339" s="28"/>
      <c r="AQ339" s="28"/>
      <c r="AR339" s="28"/>
      <c r="AS339" s="28"/>
      <c r="AT339" s="28">
        <v>303</v>
      </c>
      <c r="AU339" s="28">
        <v>77</v>
      </c>
      <c r="AV339" s="28">
        <v>100</v>
      </c>
      <c r="AW339" s="28">
        <v>129</v>
      </c>
      <c r="AX339" s="28">
        <v>127</v>
      </c>
      <c r="AY339" s="28">
        <v>143</v>
      </c>
      <c r="AZ339" s="28">
        <v>99</v>
      </c>
      <c r="BA339" s="28">
        <v>76</v>
      </c>
      <c r="BB339" s="28">
        <v>104</v>
      </c>
      <c r="BC339" s="28">
        <v>3</v>
      </c>
      <c r="BD339" s="28" t="s">
        <v>368</v>
      </c>
      <c r="BE339" s="28">
        <v>137</v>
      </c>
      <c r="BF339" s="28">
        <v>102</v>
      </c>
      <c r="BG339" s="28">
        <v>63</v>
      </c>
      <c r="BH339" s="28">
        <v>45</v>
      </c>
      <c r="BI339" s="28">
        <v>66</v>
      </c>
      <c r="BJ339" s="28" t="s">
        <v>368</v>
      </c>
      <c r="BK339" s="28" t="s">
        <v>368</v>
      </c>
      <c r="BL339" s="28">
        <v>104</v>
      </c>
      <c r="BM339" s="28">
        <v>88</v>
      </c>
      <c r="BN339" s="28">
        <v>47</v>
      </c>
      <c r="BO339" s="28">
        <v>96</v>
      </c>
      <c r="BP339" s="28">
        <v>57</v>
      </c>
      <c r="BQ339" s="28">
        <v>5</v>
      </c>
      <c r="BR339" s="28">
        <v>80</v>
      </c>
      <c r="BS339" s="28">
        <v>14</v>
      </c>
      <c r="BT339" s="28">
        <v>23</v>
      </c>
      <c r="BU339" s="28"/>
      <c r="BV339" s="28"/>
      <c r="BW339" s="28"/>
      <c r="BY339" s="91"/>
      <c r="BZ339" s="98"/>
    </row>
    <row r="340" spans="1:78" ht="20.100000000000001" customHeight="1" x14ac:dyDescent="0.3">
      <c r="A340" s="13">
        <v>334</v>
      </c>
      <c r="B340" s="4" t="s">
        <v>344</v>
      </c>
      <c r="C340" s="69" t="s">
        <v>161</v>
      </c>
      <c r="D340" s="20"/>
      <c r="E340" s="20"/>
      <c r="F340" s="2">
        <v>86741299651</v>
      </c>
      <c r="I340" s="3" t="s">
        <v>249</v>
      </c>
      <c r="J340" s="20" t="s">
        <v>81</v>
      </c>
      <c r="K340" s="62">
        <v>36300</v>
      </c>
      <c r="L340" s="1" t="s">
        <v>225</v>
      </c>
      <c r="M340" s="1">
        <v>336</v>
      </c>
      <c r="Q340" s="87" t="s">
        <v>279</v>
      </c>
      <c r="R340" s="7"/>
      <c r="S340" s="7"/>
      <c r="T340" s="7">
        <v>38</v>
      </c>
      <c r="U340" s="7">
        <v>41</v>
      </c>
      <c r="V340" s="7">
        <v>43</v>
      </c>
      <c r="W340" s="7"/>
      <c r="X340" s="7"/>
      <c r="Y340" s="7">
        <v>56</v>
      </c>
      <c r="Z340" s="7">
        <v>50</v>
      </c>
      <c r="AA340" s="7"/>
      <c r="AB340" s="7">
        <v>47</v>
      </c>
      <c r="AC340" s="7">
        <v>17</v>
      </c>
      <c r="AD340" s="7">
        <v>19</v>
      </c>
      <c r="AE340" s="7">
        <v>10</v>
      </c>
      <c r="AF340" s="7">
        <v>10</v>
      </c>
      <c r="AG340" s="7">
        <v>7</v>
      </c>
      <c r="AH340" s="7">
        <v>14</v>
      </c>
      <c r="AI340" s="7"/>
      <c r="AJ340" s="7"/>
      <c r="AK340" s="7">
        <v>15</v>
      </c>
      <c r="AL340" s="7"/>
      <c r="AM340" s="7"/>
      <c r="AN340" s="7"/>
      <c r="AO340" s="7"/>
      <c r="AP340" s="7"/>
      <c r="AQ340" s="7"/>
      <c r="AR340" s="7"/>
      <c r="AS340" s="7"/>
      <c r="AT340" s="7">
        <v>9</v>
      </c>
      <c r="AU340" s="7"/>
      <c r="AV340" s="7"/>
      <c r="AW340" s="7"/>
      <c r="AX340" s="7">
        <v>11</v>
      </c>
      <c r="AY340" s="7">
        <v>9</v>
      </c>
      <c r="AZ340" s="7">
        <v>11</v>
      </c>
      <c r="BA340" s="7">
        <v>11</v>
      </c>
      <c r="BB340" s="7">
        <v>11</v>
      </c>
      <c r="BC340" s="7"/>
      <c r="BD340" s="7"/>
      <c r="BE340" s="7">
        <v>9</v>
      </c>
      <c r="BF340" s="7"/>
      <c r="BG340" s="7">
        <v>17</v>
      </c>
      <c r="BH340" s="7"/>
      <c r="BI340" s="7">
        <v>7</v>
      </c>
      <c r="BJ340" s="7"/>
      <c r="BK340" s="7"/>
      <c r="BL340" s="7">
        <v>9</v>
      </c>
      <c r="BM340" s="7">
        <v>13</v>
      </c>
      <c r="BN340" s="7">
        <v>18</v>
      </c>
      <c r="BO340" s="7"/>
      <c r="BP340" s="7">
        <v>14</v>
      </c>
      <c r="BQ340" s="7"/>
      <c r="BR340" s="7"/>
      <c r="BS340" s="7">
        <v>5</v>
      </c>
      <c r="BT340" s="7"/>
      <c r="BU340" s="7"/>
      <c r="BV340" s="7"/>
      <c r="BW340" s="7"/>
    </row>
    <row r="341" spans="1:78" ht="20.100000000000001" customHeight="1" x14ac:dyDescent="0.3">
      <c r="A341" s="13">
        <v>335</v>
      </c>
      <c r="B341" s="91" t="s">
        <v>344</v>
      </c>
      <c r="C341" s="93" t="s">
        <v>161</v>
      </c>
      <c r="D341" s="91"/>
      <c r="E341" s="94"/>
      <c r="F341" s="96">
        <v>86741299651</v>
      </c>
      <c r="G341" s="97"/>
      <c r="H341" s="99">
        <v>1568</v>
      </c>
      <c r="I341" s="97"/>
      <c r="J341" s="91"/>
      <c r="L341" s="98" t="s">
        <v>225</v>
      </c>
      <c r="M341" s="98">
        <v>337</v>
      </c>
      <c r="N341" s="98"/>
      <c r="O341" s="98"/>
      <c r="P341" s="98"/>
      <c r="Q341" s="43" t="s">
        <v>244</v>
      </c>
      <c r="R341" s="28">
        <v>100</v>
      </c>
      <c r="S341" s="28">
        <v>100</v>
      </c>
      <c r="T341" s="28">
        <v>100</v>
      </c>
      <c r="U341" s="28">
        <v>100</v>
      </c>
      <c r="V341" s="28">
        <v>83</v>
      </c>
      <c r="W341" s="28" t="s">
        <v>234</v>
      </c>
      <c r="X341" s="28" t="s">
        <v>234</v>
      </c>
      <c r="Y341" s="28">
        <v>100</v>
      </c>
      <c r="Z341" s="28">
        <v>138</v>
      </c>
      <c r="AA341" s="28">
        <v>150</v>
      </c>
      <c r="AB341" s="28">
        <v>114</v>
      </c>
      <c r="AC341" s="28">
        <v>21</v>
      </c>
      <c r="AD341" s="28">
        <v>200</v>
      </c>
      <c r="AE341" s="28">
        <v>121</v>
      </c>
      <c r="AF341" s="28">
        <v>305</v>
      </c>
      <c r="AG341" s="28">
        <v>83</v>
      </c>
      <c r="AH341" s="28">
        <v>330</v>
      </c>
      <c r="AI341" s="28"/>
      <c r="AJ341" s="28"/>
      <c r="AK341" s="28">
        <v>272</v>
      </c>
      <c r="AL341" s="28"/>
      <c r="AM341" s="28"/>
      <c r="AN341" s="28"/>
      <c r="AO341" s="28"/>
      <c r="AP341" s="28"/>
      <c r="AQ341" s="28"/>
      <c r="AR341" s="28"/>
      <c r="AS341" s="28"/>
      <c r="AT341" s="28">
        <v>298</v>
      </c>
      <c r="AU341" s="28">
        <v>93</v>
      </c>
      <c r="AV341" s="28">
        <v>79</v>
      </c>
      <c r="AW341" s="28">
        <v>154</v>
      </c>
      <c r="AX341" s="28">
        <v>114</v>
      </c>
      <c r="AY341" s="28">
        <v>140</v>
      </c>
      <c r="AZ341" s="28">
        <v>107</v>
      </c>
      <c r="BA341" s="28">
        <v>111</v>
      </c>
      <c r="BB341" s="28">
        <v>116</v>
      </c>
      <c r="BC341" s="28">
        <v>4</v>
      </c>
      <c r="BD341" s="28">
        <v>1</v>
      </c>
      <c r="BE341" s="28">
        <v>140</v>
      </c>
      <c r="BF341" s="28">
        <v>96</v>
      </c>
      <c r="BG341" s="28">
        <v>40</v>
      </c>
      <c r="BH341" s="28">
        <v>56</v>
      </c>
      <c r="BI341" s="28">
        <v>77</v>
      </c>
      <c r="BJ341" s="28" t="s">
        <v>368</v>
      </c>
      <c r="BK341" s="28" t="s">
        <v>368</v>
      </c>
      <c r="BL341" s="28">
        <v>116</v>
      </c>
      <c r="BM341" s="28">
        <v>69</v>
      </c>
      <c r="BN341" s="28">
        <v>47</v>
      </c>
      <c r="BO341" s="28">
        <v>80</v>
      </c>
      <c r="BP341" s="28">
        <v>62</v>
      </c>
      <c r="BQ341" s="28">
        <v>4</v>
      </c>
      <c r="BR341" s="28">
        <v>77</v>
      </c>
      <c r="BS341" s="28">
        <v>21</v>
      </c>
      <c r="BT341" s="28">
        <v>39</v>
      </c>
      <c r="BU341" s="28"/>
      <c r="BV341" s="28"/>
      <c r="BW341" s="28"/>
      <c r="BY341" s="91"/>
      <c r="BZ341" s="98"/>
    </row>
    <row r="342" spans="1:78" ht="20.100000000000001" customHeight="1" thickBot="1" x14ac:dyDescent="0.35">
      <c r="A342" s="13">
        <v>336</v>
      </c>
      <c r="B342" s="91" t="s">
        <v>344</v>
      </c>
      <c r="C342" s="93" t="s">
        <v>161</v>
      </c>
      <c r="D342" s="94"/>
      <c r="E342" s="94"/>
      <c r="F342" s="96">
        <v>86741299651</v>
      </c>
      <c r="G342" s="97"/>
      <c r="H342" s="96"/>
      <c r="I342" s="97" t="s">
        <v>248</v>
      </c>
      <c r="J342" s="94" t="s">
        <v>82</v>
      </c>
      <c r="K342" s="62">
        <v>4793</v>
      </c>
      <c r="L342" s="98" t="s">
        <v>225</v>
      </c>
      <c r="M342" s="98">
        <v>338</v>
      </c>
      <c r="N342" s="98"/>
      <c r="O342" s="98"/>
      <c r="P342" s="98"/>
      <c r="Q342" s="87" t="s">
        <v>279</v>
      </c>
      <c r="R342" s="7"/>
      <c r="S342" s="7"/>
      <c r="T342" s="7">
        <v>38</v>
      </c>
      <c r="U342" s="7">
        <v>38</v>
      </c>
      <c r="V342" s="7">
        <v>23</v>
      </c>
      <c r="W342" s="7"/>
      <c r="X342" s="7"/>
      <c r="Y342" s="7"/>
      <c r="Z342" s="7"/>
      <c r="AA342" s="7"/>
      <c r="AB342" s="7"/>
      <c r="AC342" s="7"/>
      <c r="AD342" s="7">
        <v>19</v>
      </c>
      <c r="AE342" s="7">
        <v>8</v>
      </c>
      <c r="AF342" s="7">
        <v>6</v>
      </c>
      <c r="AG342" s="7">
        <v>8</v>
      </c>
      <c r="AH342" s="7">
        <v>8</v>
      </c>
      <c r="AI342" s="7"/>
      <c r="AJ342" s="7"/>
      <c r="AK342" s="7">
        <v>5</v>
      </c>
      <c r="AL342" s="7"/>
      <c r="AM342" s="7"/>
      <c r="AN342" s="7"/>
      <c r="AO342" s="7"/>
      <c r="AP342" s="7"/>
      <c r="AQ342" s="7"/>
      <c r="AR342" s="7"/>
      <c r="AS342" s="7"/>
      <c r="AT342" s="7">
        <v>9</v>
      </c>
      <c r="AU342" s="7"/>
      <c r="AV342" s="7"/>
      <c r="AW342" s="7"/>
      <c r="AX342" s="7">
        <v>10</v>
      </c>
      <c r="AY342" s="7">
        <v>9</v>
      </c>
      <c r="AZ342" s="7">
        <v>3</v>
      </c>
      <c r="BA342" s="7">
        <v>10</v>
      </c>
      <c r="BB342" s="7">
        <v>8</v>
      </c>
      <c r="BC342" s="7"/>
      <c r="BD342" s="7"/>
      <c r="BE342" s="7">
        <v>9</v>
      </c>
      <c r="BF342" s="7"/>
      <c r="BG342" s="7">
        <v>13</v>
      </c>
      <c r="BH342" s="7"/>
      <c r="BI342" s="7">
        <v>8</v>
      </c>
      <c r="BJ342" s="7"/>
      <c r="BK342" s="7"/>
      <c r="BL342" s="7">
        <v>9</v>
      </c>
      <c r="BM342" s="7">
        <v>12</v>
      </c>
      <c r="BN342" s="7">
        <v>17</v>
      </c>
      <c r="BO342" s="7"/>
      <c r="BP342" s="7">
        <v>16</v>
      </c>
      <c r="BQ342" s="7"/>
      <c r="BR342" s="7"/>
      <c r="BS342" s="7">
        <v>11</v>
      </c>
      <c r="BT342" s="7"/>
      <c r="BU342" s="7"/>
      <c r="BV342" s="7"/>
      <c r="BW342" s="7"/>
      <c r="BY342" s="91"/>
      <c r="BZ342" s="98"/>
    </row>
    <row r="343" spans="1:78" s="8" customFormat="1" ht="20.100000000000001" customHeight="1" x14ac:dyDescent="0.3">
      <c r="A343" s="13">
        <v>337</v>
      </c>
      <c r="B343" s="9" t="s">
        <v>344</v>
      </c>
      <c r="C343" s="70" t="s">
        <v>161</v>
      </c>
      <c r="D343" s="46">
        <f>VLOOKUP(F347,[1]SKU리스트!$H:$L,5,FALSE)</f>
        <v>6900</v>
      </c>
      <c r="E343" s="47">
        <f>VLOOKUP(F347,[1]SKU리스트!$H:$AK,30,FALSE)</f>
        <v>2098.1818181818185</v>
      </c>
      <c r="F343" s="10" t="s">
        <v>252</v>
      </c>
      <c r="G343" s="11"/>
      <c r="H343" s="10"/>
      <c r="I343" s="11"/>
      <c r="J343" s="9"/>
      <c r="K343" s="12"/>
      <c r="L343" s="8" t="s">
        <v>225</v>
      </c>
      <c r="M343" s="8">
        <v>339</v>
      </c>
      <c r="Q343" s="44" t="s">
        <v>125</v>
      </c>
      <c r="R343" s="54">
        <v>15</v>
      </c>
      <c r="S343" s="54">
        <v>5</v>
      </c>
      <c r="T343" s="54">
        <v>13</v>
      </c>
      <c r="U343" s="54">
        <v>16</v>
      </c>
      <c r="V343" s="54">
        <v>19</v>
      </c>
      <c r="W343" s="54">
        <v>16</v>
      </c>
      <c r="X343" s="54">
        <v>15</v>
      </c>
      <c r="Y343" s="54">
        <v>20</v>
      </c>
      <c r="Z343" s="54">
        <v>13</v>
      </c>
      <c r="AA343" s="54">
        <v>18</v>
      </c>
      <c r="AB343" s="54">
        <v>13</v>
      </c>
      <c r="AC343" s="54">
        <v>23</v>
      </c>
      <c r="AD343" s="54">
        <v>26</v>
      </c>
      <c r="AE343" s="54">
        <v>20</v>
      </c>
      <c r="AF343" s="54">
        <v>16</v>
      </c>
      <c r="AG343" s="54">
        <v>20</v>
      </c>
      <c r="AH343" s="54">
        <v>21</v>
      </c>
      <c r="AI343" s="54">
        <v>12</v>
      </c>
      <c r="AJ343" s="54">
        <v>18</v>
      </c>
      <c r="AK343" s="54">
        <v>11</v>
      </c>
      <c r="AL343" s="54">
        <v>16</v>
      </c>
      <c r="AM343" s="54">
        <v>8</v>
      </c>
      <c r="AN343" s="54">
        <v>10</v>
      </c>
      <c r="AO343" s="54">
        <v>3</v>
      </c>
      <c r="AP343" s="54">
        <v>4</v>
      </c>
      <c r="AQ343" s="54">
        <v>12</v>
      </c>
      <c r="AR343" s="54">
        <v>6</v>
      </c>
      <c r="AS343" s="54">
        <v>19</v>
      </c>
      <c r="AT343" s="54">
        <v>12</v>
      </c>
      <c r="AU343" s="54">
        <v>15</v>
      </c>
      <c r="AV343" s="54">
        <v>15</v>
      </c>
      <c r="AW343" s="54">
        <v>12</v>
      </c>
      <c r="AX343" s="54">
        <v>5</v>
      </c>
      <c r="AY343" s="54">
        <v>12</v>
      </c>
      <c r="AZ343" s="54">
        <v>12</v>
      </c>
      <c r="BA343" s="54">
        <v>16</v>
      </c>
      <c r="BB343" s="54">
        <v>13</v>
      </c>
      <c r="BC343" s="54">
        <v>14</v>
      </c>
      <c r="BD343" s="54">
        <v>15</v>
      </c>
      <c r="BE343" s="54">
        <v>11</v>
      </c>
      <c r="BF343" s="54">
        <v>10</v>
      </c>
      <c r="BG343" s="54">
        <v>10</v>
      </c>
      <c r="BH343" s="54">
        <v>16</v>
      </c>
      <c r="BI343" s="54">
        <v>10</v>
      </c>
      <c r="BJ343" s="54">
        <v>15</v>
      </c>
      <c r="BK343" s="54">
        <v>7</v>
      </c>
      <c r="BL343" s="54">
        <v>10</v>
      </c>
      <c r="BM343" s="54">
        <v>24</v>
      </c>
      <c r="BN343" s="54">
        <v>27</v>
      </c>
      <c r="BO343" s="54">
        <v>8</v>
      </c>
      <c r="BP343" s="54">
        <v>13</v>
      </c>
      <c r="BQ343" s="54">
        <v>9</v>
      </c>
      <c r="BR343" s="54">
        <v>14</v>
      </c>
      <c r="BS343" s="54">
        <v>10</v>
      </c>
      <c r="BT343" s="54">
        <v>9</v>
      </c>
      <c r="BU343" s="54"/>
      <c r="BV343" s="54"/>
      <c r="BW343" s="54"/>
      <c r="BX343" s="85">
        <f>VLOOKUP(F343,[1]SKU리스트!$H:$AH,27,FALSE)</f>
        <v>19572</v>
      </c>
      <c r="BY343" s="9"/>
    </row>
    <row r="344" spans="1:78" ht="20.100000000000001" customHeight="1" x14ac:dyDescent="0.3">
      <c r="A344" s="13">
        <v>338</v>
      </c>
      <c r="B344" s="91" t="s">
        <v>344</v>
      </c>
      <c r="C344" s="93" t="s">
        <v>161</v>
      </c>
      <c r="D344" s="98"/>
      <c r="E344" s="98"/>
      <c r="F344" s="96" t="s">
        <v>322</v>
      </c>
      <c r="G344" s="97"/>
      <c r="H344" s="96"/>
      <c r="I344" s="97"/>
      <c r="J344" s="91"/>
      <c r="L344" s="98" t="s">
        <v>225</v>
      </c>
      <c r="M344" s="98">
        <v>340</v>
      </c>
      <c r="N344" s="98"/>
      <c r="O344" s="98"/>
      <c r="P344" s="98"/>
      <c r="Q344" s="39" t="s">
        <v>282</v>
      </c>
      <c r="R344" s="5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50"/>
      <c r="AL344" s="50"/>
      <c r="AM344" s="50"/>
      <c r="AN344" s="50"/>
      <c r="AO344" s="53">
        <f>SUM(AI343:AO343)</f>
        <v>78</v>
      </c>
      <c r="AP344" s="51">
        <v>14</v>
      </c>
      <c r="AQ344" s="50"/>
      <c r="AR344" s="50"/>
      <c r="AS344" s="50"/>
      <c r="AT344" s="50"/>
      <c r="AU344" s="50"/>
      <c r="AV344" s="53">
        <f>SUM(AP343:AV343)</f>
        <v>83</v>
      </c>
      <c r="AW344" s="50">
        <v>11</v>
      </c>
      <c r="AX344" s="50"/>
      <c r="AY344" s="50"/>
      <c r="AZ344" s="50"/>
      <c r="BA344" s="50"/>
      <c r="BB344" s="50"/>
      <c r="BC344" s="53">
        <f>SUM(AW343:BC343)</f>
        <v>84</v>
      </c>
      <c r="BD344" s="50">
        <v>2</v>
      </c>
      <c r="BE344" s="50"/>
      <c r="BF344" s="50"/>
      <c r="BG344" s="50"/>
      <c r="BH344" s="50"/>
      <c r="BI344" s="50"/>
      <c r="BJ344" s="53">
        <f>SUM(BD343:BJ343)</f>
        <v>87</v>
      </c>
      <c r="BK344" s="50">
        <v>14</v>
      </c>
      <c r="BL344" s="50"/>
      <c r="BM344" s="50"/>
      <c r="BN344" s="50"/>
      <c r="BO344" s="50"/>
      <c r="BP344" s="50"/>
      <c r="BQ344" s="53">
        <f>SUM(BK343:BQ343)</f>
        <v>98</v>
      </c>
      <c r="BR344" s="50">
        <v>25</v>
      </c>
      <c r="BS344" s="50"/>
      <c r="BT344" s="50"/>
      <c r="BU344" s="50"/>
      <c r="BV344" s="50"/>
      <c r="BW344" s="50"/>
      <c r="BY344" s="91"/>
      <c r="BZ344" s="98"/>
    </row>
    <row r="345" spans="1:78" ht="20.100000000000001" customHeight="1" x14ac:dyDescent="0.3">
      <c r="A345" s="13">
        <v>339</v>
      </c>
      <c r="B345" s="91" t="s">
        <v>344</v>
      </c>
      <c r="C345" s="93" t="s">
        <v>161</v>
      </c>
      <c r="D345" s="95" t="s">
        <v>251</v>
      </c>
      <c r="E345" s="94"/>
      <c r="F345" s="96">
        <v>86741299191</v>
      </c>
      <c r="G345" s="97" t="s">
        <v>253</v>
      </c>
      <c r="H345" s="99">
        <v>1567</v>
      </c>
      <c r="I345" s="97"/>
      <c r="J345" s="91"/>
      <c r="L345" s="98" t="s">
        <v>225</v>
      </c>
      <c r="M345" s="98">
        <v>341</v>
      </c>
      <c r="N345" s="98"/>
      <c r="O345" s="98"/>
      <c r="P345" s="98"/>
      <c r="Q345" s="43" t="s">
        <v>244</v>
      </c>
      <c r="R345" s="28">
        <v>100</v>
      </c>
      <c r="S345" s="28">
        <v>100</v>
      </c>
      <c r="T345" s="28">
        <v>100</v>
      </c>
      <c r="U345" s="28">
        <v>100</v>
      </c>
      <c r="V345" s="28">
        <v>89</v>
      </c>
      <c r="W345" s="28" t="s">
        <v>234</v>
      </c>
      <c r="X345" s="28" t="s">
        <v>234</v>
      </c>
      <c r="Y345" s="28">
        <v>100</v>
      </c>
      <c r="Z345" s="28">
        <v>137</v>
      </c>
      <c r="AA345" s="28">
        <v>150</v>
      </c>
      <c r="AB345" s="28">
        <v>101</v>
      </c>
      <c r="AC345" s="28">
        <v>29</v>
      </c>
      <c r="AD345" s="28">
        <v>200</v>
      </c>
      <c r="AE345" s="28">
        <v>131</v>
      </c>
      <c r="AF345" s="28">
        <v>319</v>
      </c>
      <c r="AG345" s="28">
        <v>81</v>
      </c>
      <c r="AH345" s="28">
        <v>341</v>
      </c>
      <c r="AI345" s="28"/>
      <c r="AJ345" s="28"/>
      <c r="AK345" s="28">
        <v>256</v>
      </c>
      <c r="AL345" s="28"/>
      <c r="AM345" s="28"/>
      <c r="AN345" s="28"/>
      <c r="AO345" s="28"/>
      <c r="AP345" s="28"/>
      <c r="AQ345" s="28"/>
      <c r="AR345" s="28"/>
      <c r="AS345" s="28"/>
      <c r="AT345" s="28">
        <v>284</v>
      </c>
      <c r="AU345" s="28">
        <v>89</v>
      </c>
      <c r="AV345" s="28">
        <v>89</v>
      </c>
      <c r="AW345" s="28">
        <v>153</v>
      </c>
      <c r="AX345" s="28">
        <v>123</v>
      </c>
      <c r="AY345" s="28">
        <v>146</v>
      </c>
      <c r="AZ345" s="28">
        <v>83</v>
      </c>
      <c r="BA345" s="28">
        <v>112</v>
      </c>
      <c r="BB345" s="28">
        <v>128</v>
      </c>
      <c r="BC345" s="28">
        <v>3</v>
      </c>
      <c r="BD345" s="28">
        <v>1</v>
      </c>
      <c r="BE345" s="28">
        <v>131</v>
      </c>
      <c r="BF345" s="28">
        <v>107</v>
      </c>
      <c r="BG345" s="28">
        <v>48</v>
      </c>
      <c r="BH345" s="28">
        <v>64</v>
      </c>
      <c r="BI345" s="28">
        <v>73</v>
      </c>
      <c r="BJ345" s="28" t="s">
        <v>368</v>
      </c>
      <c r="BK345" s="28" t="s">
        <v>368</v>
      </c>
      <c r="BL345" s="28">
        <v>128</v>
      </c>
      <c r="BM345" s="28">
        <v>86</v>
      </c>
      <c r="BN345" s="28">
        <v>54</v>
      </c>
      <c r="BO345" s="28">
        <v>87</v>
      </c>
      <c r="BP345" s="28">
        <v>59</v>
      </c>
      <c r="BQ345" s="28">
        <v>6</v>
      </c>
      <c r="BR345" s="28">
        <v>94</v>
      </c>
      <c r="BS345" s="28">
        <v>25</v>
      </c>
      <c r="BT345" s="28">
        <v>34</v>
      </c>
      <c r="BU345" s="28"/>
      <c r="BV345" s="28"/>
      <c r="BW345" s="28"/>
      <c r="BY345" s="91"/>
      <c r="BZ345" s="98"/>
    </row>
    <row r="346" spans="1:78" ht="20.100000000000001" customHeight="1" x14ac:dyDescent="0.3">
      <c r="A346" s="13">
        <v>340</v>
      </c>
      <c r="B346" s="4" t="s">
        <v>344</v>
      </c>
      <c r="C346" s="69" t="s">
        <v>161</v>
      </c>
      <c r="D346" s="20"/>
      <c r="E346" s="20"/>
      <c r="F346" s="2">
        <v>86741299191</v>
      </c>
      <c r="I346" s="3" t="s">
        <v>256</v>
      </c>
      <c r="J346" s="20" t="s">
        <v>66</v>
      </c>
      <c r="K346" s="62">
        <v>690900</v>
      </c>
      <c r="L346" s="1" t="s">
        <v>225</v>
      </c>
      <c r="M346" s="1">
        <v>342</v>
      </c>
      <c r="Q346" s="87" t="s">
        <v>279</v>
      </c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>
        <v>63</v>
      </c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BT346" s="7"/>
      <c r="BU346" s="7"/>
      <c r="BV346" s="7"/>
      <c r="BW346" s="7"/>
    </row>
    <row r="347" spans="1:78" ht="20.100000000000001" customHeight="1" x14ac:dyDescent="0.3">
      <c r="A347" s="13">
        <v>341</v>
      </c>
      <c r="B347" s="4" t="s">
        <v>344</v>
      </c>
      <c r="C347" s="69" t="s">
        <v>161</v>
      </c>
      <c r="E347" s="20"/>
      <c r="F347" s="2">
        <v>86741299191</v>
      </c>
      <c r="H347" s="60">
        <v>1566</v>
      </c>
      <c r="L347" s="1" t="s">
        <v>225</v>
      </c>
      <c r="M347" s="1">
        <v>343</v>
      </c>
      <c r="Q347" s="43" t="s">
        <v>244</v>
      </c>
      <c r="R347" s="28">
        <v>100</v>
      </c>
      <c r="S347" s="28">
        <v>100</v>
      </c>
      <c r="T347" s="28">
        <v>100</v>
      </c>
      <c r="U347" s="28">
        <v>100</v>
      </c>
      <c r="V347" s="28">
        <v>60</v>
      </c>
      <c r="W347" s="28" t="s">
        <v>234</v>
      </c>
      <c r="X347" s="28" t="s">
        <v>234</v>
      </c>
      <c r="Y347" s="28">
        <v>100</v>
      </c>
      <c r="Z347" s="28">
        <v>100</v>
      </c>
      <c r="AA347" s="28">
        <v>150</v>
      </c>
      <c r="AB347" s="28">
        <v>102</v>
      </c>
      <c r="AC347" s="28">
        <v>25</v>
      </c>
      <c r="AD347" s="28">
        <v>200</v>
      </c>
      <c r="AE347" s="28">
        <v>123</v>
      </c>
      <c r="AF347" s="28">
        <v>319</v>
      </c>
      <c r="AG347" s="28">
        <v>88</v>
      </c>
      <c r="AH347" s="28">
        <v>342</v>
      </c>
      <c r="AI347" s="28"/>
      <c r="AJ347" s="28"/>
      <c r="AK347" s="28">
        <v>284</v>
      </c>
      <c r="AL347" s="28"/>
      <c r="AM347" s="28"/>
      <c r="AN347" s="28"/>
      <c r="AO347" s="28"/>
      <c r="AP347" s="28"/>
      <c r="AQ347" s="28"/>
      <c r="AR347" s="28"/>
      <c r="AS347" s="28"/>
      <c r="AT347" s="28">
        <v>299</v>
      </c>
      <c r="AU347" s="28">
        <v>82</v>
      </c>
      <c r="AV347" s="28">
        <v>69</v>
      </c>
      <c r="AW347" s="28">
        <v>143</v>
      </c>
      <c r="AX347" s="28">
        <v>142</v>
      </c>
      <c r="AY347" s="28">
        <v>160</v>
      </c>
      <c r="AZ347" s="28">
        <v>104</v>
      </c>
      <c r="BA347" s="28">
        <v>129</v>
      </c>
      <c r="BB347" s="28">
        <v>114</v>
      </c>
      <c r="BC347" s="28">
        <v>3</v>
      </c>
      <c r="BD347" s="28">
        <v>1</v>
      </c>
      <c r="BE347" s="28">
        <v>125</v>
      </c>
      <c r="BF347" s="28">
        <v>101</v>
      </c>
      <c r="BG347" s="28">
        <v>51</v>
      </c>
      <c r="BH347" s="28">
        <v>51</v>
      </c>
      <c r="BI347" s="28">
        <v>77</v>
      </c>
      <c r="BJ347" s="28" t="s">
        <v>368</v>
      </c>
      <c r="BK347" s="28" t="s">
        <v>368</v>
      </c>
      <c r="BL347" s="28">
        <v>114</v>
      </c>
      <c r="BM347" s="28">
        <v>72</v>
      </c>
      <c r="BN347" s="28">
        <v>58</v>
      </c>
      <c r="BO347" s="28">
        <v>75</v>
      </c>
      <c r="BP347" s="28">
        <v>59</v>
      </c>
      <c r="BQ347" s="28">
        <v>3</v>
      </c>
      <c r="BR347" s="28">
        <v>81</v>
      </c>
      <c r="BS347" s="28">
        <v>17</v>
      </c>
      <c r="BT347" s="28">
        <v>44</v>
      </c>
      <c r="BU347" s="28"/>
      <c r="BV347" s="28"/>
      <c r="BW347" s="28"/>
    </row>
    <row r="348" spans="1:78" ht="20.100000000000001" customHeight="1" x14ac:dyDescent="0.3">
      <c r="A348" s="13">
        <v>342</v>
      </c>
      <c r="B348" s="4" t="s">
        <v>344</v>
      </c>
      <c r="C348" s="69" t="s">
        <v>161</v>
      </c>
      <c r="D348" s="20"/>
      <c r="E348" s="20"/>
      <c r="F348" s="2">
        <v>86741299191</v>
      </c>
      <c r="I348" s="3" t="s">
        <v>254</v>
      </c>
      <c r="J348" s="20" t="s">
        <v>81</v>
      </c>
      <c r="K348" s="62">
        <v>36300</v>
      </c>
      <c r="L348" s="1" t="s">
        <v>225</v>
      </c>
      <c r="M348" s="1">
        <v>344</v>
      </c>
      <c r="Q348" s="87" t="s">
        <v>279</v>
      </c>
      <c r="R348" s="7"/>
      <c r="S348" s="7"/>
      <c r="T348" s="7"/>
      <c r="U348" s="7"/>
      <c r="V348" s="7">
        <v>37</v>
      </c>
      <c r="W348" s="7"/>
      <c r="X348" s="7"/>
      <c r="Y348" s="7">
        <v>21</v>
      </c>
      <c r="Z348" s="7">
        <v>17</v>
      </c>
      <c r="AA348" s="7">
        <v>18</v>
      </c>
      <c r="AB348" s="7">
        <v>16</v>
      </c>
      <c r="AC348" s="7">
        <v>5</v>
      </c>
      <c r="AD348" s="7">
        <v>6</v>
      </c>
      <c r="AE348" s="7">
        <v>6</v>
      </c>
      <c r="AF348" s="7">
        <v>6</v>
      </c>
      <c r="AG348" s="7">
        <v>5</v>
      </c>
      <c r="AH348" s="7">
        <v>12</v>
      </c>
      <c r="AI348" s="7"/>
      <c r="AJ348" s="7"/>
      <c r="AK348" s="7">
        <v>16</v>
      </c>
      <c r="AL348" s="7"/>
      <c r="AM348" s="7"/>
      <c r="AN348" s="7"/>
      <c r="AO348" s="7"/>
      <c r="AP348" s="7"/>
      <c r="AQ348" s="7"/>
      <c r="AR348" s="7"/>
      <c r="AS348" s="7"/>
      <c r="AT348" s="7">
        <v>49</v>
      </c>
      <c r="AU348" s="7"/>
      <c r="AV348" s="7"/>
      <c r="AW348" s="7"/>
      <c r="AX348" s="7">
        <v>52</v>
      </c>
      <c r="AY348" s="7">
        <v>63</v>
      </c>
      <c r="AZ348" s="7">
        <v>56</v>
      </c>
      <c r="BA348" s="7">
        <v>58</v>
      </c>
      <c r="BB348" s="7">
        <v>62</v>
      </c>
      <c r="BC348" s="7"/>
      <c r="BD348" s="7"/>
      <c r="BE348" s="7">
        <v>56</v>
      </c>
      <c r="BF348" s="7"/>
      <c r="BG348" s="7"/>
      <c r="BH348" s="7"/>
      <c r="BI348" s="7">
        <v>58</v>
      </c>
      <c r="BJ348" s="7"/>
      <c r="BK348" s="7"/>
      <c r="BL348" s="7"/>
      <c r="BM348" s="7"/>
      <c r="BN348" s="7"/>
      <c r="BO348" s="7"/>
      <c r="BP348" s="7">
        <v>61</v>
      </c>
      <c r="BQ348" s="7"/>
      <c r="BR348" s="7"/>
      <c r="BS348" s="7"/>
      <c r="BT348" s="7"/>
      <c r="BU348" s="7"/>
      <c r="BV348" s="7"/>
      <c r="BW348" s="7"/>
    </row>
    <row r="349" spans="1:78" ht="20.100000000000001" customHeight="1" x14ac:dyDescent="0.3">
      <c r="A349" s="13">
        <v>343</v>
      </c>
      <c r="B349" s="4" t="s">
        <v>344</v>
      </c>
      <c r="C349" s="69" t="s">
        <v>161</v>
      </c>
      <c r="D349" s="20"/>
      <c r="E349" s="20"/>
      <c r="F349" s="2">
        <v>86741299191</v>
      </c>
      <c r="H349" s="60">
        <v>1565</v>
      </c>
      <c r="L349" s="1" t="s">
        <v>225</v>
      </c>
      <c r="M349" s="1">
        <v>345</v>
      </c>
      <c r="Q349" s="43" t="s">
        <v>244</v>
      </c>
      <c r="R349" s="28">
        <v>100</v>
      </c>
      <c r="S349" s="28">
        <v>100</v>
      </c>
      <c r="T349" s="28">
        <v>100</v>
      </c>
      <c r="U349" s="28">
        <v>100</v>
      </c>
      <c r="V349" s="28">
        <v>84</v>
      </c>
      <c r="W349" s="28" t="s">
        <v>234</v>
      </c>
      <c r="X349" s="28" t="s">
        <v>234</v>
      </c>
      <c r="Y349" s="28">
        <v>100</v>
      </c>
      <c r="Z349" s="28">
        <v>138</v>
      </c>
      <c r="AA349" s="28">
        <v>150</v>
      </c>
      <c r="AB349" s="28">
        <v>103</v>
      </c>
      <c r="AC349" s="28">
        <v>23</v>
      </c>
      <c r="AD349" s="28">
        <v>200</v>
      </c>
      <c r="AE349" s="28">
        <v>109</v>
      </c>
      <c r="AF349" s="28">
        <v>369</v>
      </c>
      <c r="AG349" s="28">
        <v>100</v>
      </c>
      <c r="AH349" s="28">
        <v>316</v>
      </c>
      <c r="AI349" s="28"/>
      <c r="AJ349" s="28"/>
      <c r="AK349" s="28">
        <v>289</v>
      </c>
      <c r="AL349" s="28"/>
      <c r="AM349" s="28"/>
      <c r="AN349" s="28"/>
      <c r="AO349" s="28"/>
      <c r="AP349" s="28"/>
      <c r="AQ349" s="28"/>
      <c r="AR349" s="28"/>
      <c r="AS349" s="28"/>
      <c r="AT349" s="28">
        <v>314</v>
      </c>
      <c r="AU349" s="28">
        <v>86</v>
      </c>
      <c r="AV349" s="28">
        <v>86</v>
      </c>
      <c r="AW349" s="28">
        <v>165</v>
      </c>
      <c r="AX349" s="28">
        <v>113</v>
      </c>
      <c r="AY349" s="28">
        <v>134</v>
      </c>
      <c r="AZ349" s="28">
        <v>127</v>
      </c>
      <c r="BA349" s="28">
        <v>115</v>
      </c>
      <c r="BB349" s="28">
        <v>91</v>
      </c>
      <c r="BC349" s="28">
        <v>2</v>
      </c>
      <c r="BD349" s="28">
        <v>1</v>
      </c>
      <c r="BE349" s="28">
        <v>126</v>
      </c>
      <c r="BF349" s="28">
        <v>102</v>
      </c>
      <c r="BG349" s="28">
        <v>50</v>
      </c>
      <c r="BH349" s="28">
        <v>49</v>
      </c>
      <c r="BI349" s="28">
        <v>68</v>
      </c>
      <c r="BJ349" s="28" t="s">
        <v>368</v>
      </c>
      <c r="BK349" s="28" t="s">
        <v>368</v>
      </c>
      <c r="BL349" s="28">
        <v>91</v>
      </c>
      <c r="BM349" s="28">
        <v>73</v>
      </c>
      <c r="BN349" s="28">
        <v>50</v>
      </c>
      <c r="BO349" s="28">
        <v>69</v>
      </c>
      <c r="BP349" s="28">
        <v>68</v>
      </c>
      <c r="BQ349" s="28">
        <v>4</v>
      </c>
      <c r="BR349" s="28">
        <v>90</v>
      </c>
      <c r="BS349" s="28">
        <v>17</v>
      </c>
      <c r="BT349" s="28">
        <v>37</v>
      </c>
      <c r="BU349" s="28"/>
      <c r="BV349" s="28"/>
      <c r="BW349" s="28"/>
    </row>
    <row r="350" spans="1:78" ht="20.100000000000001" customHeight="1" thickBot="1" x14ac:dyDescent="0.35">
      <c r="A350" s="13">
        <v>344</v>
      </c>
      <c r="B350" s="4" t="s">
        <v>344</v>
      </c>
      <c r="C350" s="69" t="s">
        <v>161</v>
      </c>
      <c r="D350" s="20"/>
      <c r="E350" s="20"/>
      <c r="F350" s="2">
        <v>86741299191</v>
      </c>
      <c r="I350" s="3" t="s">
        <v>255</v>
      </c>
      <c r="J350" s="20" t="s">
        <v>82</v>
      </c>
      <c r="K350" s="62">
        <v>4793</v>
      </c>
      <c r="L350" s="1" t="s">
        <v>225</v>
      </c>
      <c r="M350" s="1">
        <v>346</v>
      </c>
      <c r="Q350" s="87" t="s">
        <v>279</v>
      </c>
      <c r="R350" s="7"/>
      <c r="S350" s="7"/>
      <c r="T350" s="7"/>
      <c r="U350" s="7"/>
      <c r="V350" s="7">
        <v>26</v>
      </c>
      <c r="W350" s="7"/>
      <c r="X350" s="7"/>
      <c r="Y350" s="7">
        <v>33</v>
      </c>
      <c r="Z350" s="7">
        <v>20</v>
      </c>
      <c r="AA350" s="7">
        <v>26</v>
      </c>
      <c r="AB350" s="7">
        <v>38</v>
      </c>
      <c r="AC350" s="7"/>
      <c r="AD350" s="7">
        <v>14</v>
      </c>
      <c r="AE350" s="7">
        <v>11</v>
      </c>
      <c r="AF350" s="7">
        <v>3</v>
      </c>
      <c r="AG350" s="7">
        <v>4</v>
      </c>
      <c r="AH350" s="7">
        <v>6</v>
      </c>
      <c r="AI350" s="7"/>
      <c r="AJ350" s="7"/>
      <c r="AK350" s="7">
        <v>8</v>
      </c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>
        <v>60</v>
      </c>
      <c r="BA350" s="7">
        <v>53</v>
      </c>
      <c r="BB350" s="7">
        <v>53</v>
      </c>
      <c r="BC350" s="7"/>
      <c r="BD350" s="7"/>
      <c r="BE350" s="7">
        <v>59</v>
      </c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</row>
    <row r="351" spans="1:78" s="8" customFormat="1" ht="20.100000000000001" customHeight="1" x14ac:dyDescent="0.3">
      <c r="A351" s="13">
        <v>345</v>
      </c>
      <c r="B351" s="9" t="s">
        <v>361</v>
      </c>
      <c r="C351" s="70" t="s">
        <v>161</v>
      </c>
      <c r="D351" s="46">
        <f>VLOOKUP(F357,[1]SKU리스트!$H:$L,5,FALSE)</f>
        <v>19800</v>
      </c>
      <c r="E351" s="47">
        <f>VLOOKUP(F357,[1]SKU리스트!$H:$AK,30,FALSE)</f>
        <v>7225.454545454545</v>
      </c>
      <c r="F351" s="10" t="s">
        <v>258</v>
      </c>
      <c r="G351" s="11"/>
      <c r="H351" s="10"/>
      <c r="I351" s="11"/>
      <c r="J351" s="9"/>
      <c r="K351" s="12"/>
      <c r="L351" s="8" t="s">
        <v>225</v>
      </c>
      <c r="M351" s="8">
        <v>347</v>
      </c>
      <c r="Q351" s="44" t="s">
        <v>125</v>
      </c>
      <c r="R351" s="54">
        <v>0</v>
      </c>
      <c r="S351" s="54" t="s">
        <v>221</v>
      </c>
      <c r="T351" s="54" t="s">
        <v>221</v>
      </c>
      <c r="U351" s="54">
        <v>1</v>
      </c>
      <c r="V351" s="54" t="s">
        <v>221</v>
      </c>
      <c r="W351" s="54" t="s">
        <v>221</v>
      </c>
      <c r="X351" s="54">
        <v>1</v>
      </c>
      <c r="Y351" s="54" t="s">
        <v>221</v>
      </c>
      <c r="Z351" s="54" t="s">
        <v>221</v>
      </c>
      <c r="AA351" s="54" t="s">
        <v>221</v>
      </c>
      <c r="AB351" s="54" t="s">
        <v>221</v>
      </c>
      <c r="AC351" s="54" t="s">
        <v>221</v>
      </c>
      <c r="AD351" s="54">
        <v>1</v>
      </c>
      <c r="AE351" s="54" t="s">
        <v>221</v>
      </c>
      <c r="AF351" s="54" t="s">
        <v>221</v>
      </c>
      <c r="AG351" s="54" t="s">
        <v>221</v>
      </c>
      <c r="AH351" s="54">
        <v>1</v>
      </c>
      <c r="AI351" s="54" t="s">
        <v>221</v>
      </c>
      <c r="AJ351" s="54" t="s">
        <v>221</v>
      </c>
      <c r="AK351" s="54" t="s">
        <v>221</v>
      </c>
      <c r="AL351" s="54" t="s">
        <v>221</v>
      </c>
      <c r="AM351" s="54" t="s">
        <v>221</v>
      </c>
      <c r="AN351" s="54" t="s">
        <v>221</v>
      </c>
      <c r="AO351" s="54" t="s">
        <v>221</v>
      </c>
      <c r="AP351" s="54" t="s">
        <v>221</v>
      </c>
      <c r="AQ351" s="54" t="s">
        <v>221</v>
      </c>
      <c r="AR351" s="54" t="s">
        <v>221</v>
      </c>
      <c r="AS351" s="54" t="s">
        <v>221</v>
      </c>
      <c r="AT351" s="54" t="s">
        <v>221</v>
      </c>
      <c r="AU351" s="54" t="s">
        <v>221</v>
      </c>
      <c r="AV351" s="54" t="s">
        <v>221</v>
      </c>
      <c r="AW351" s="54" t="s">
        <v>221</v>
      </c>
      <c r="AX351" s="54" t="s">
        <v>221</v>
      </c>
      <c r="AY351" s="54" t="s">
        <v>221</v>
      </c>
      <c r="AZ351" s="54" t="s">
        <v>221</v>
      </c>
      <c r="BA351" s="54" t="s">
        <v>221</v>
      </c>
      <c r="BB351" s="54" t="s">
        <v>221</v>
      </c>
      <c r="BC351" s="54" t="s">
        <v>221</v>
      </c>
      <c r="BD351" s="54" t="s">
        <v>221</v>
      </c>
      <c r="BE351" s="54" t="s">
        <v>221</v>
      </c>
      <c r="BF351" s="54" t="s">
        <v>221</v>
      </c>
      <c r="BG351" s="54" t="s">
        <v>221</v>
      </c>
      <c r="BH351" s="54" t="s">
        <v>221</v>
      </c>
      <c r="BI351" s="54" t="s">
        <v>221</v>
      </c>
      <c r="BJ351" s="54" t="s">
        <v>221</v>
      </c>
      <c r="BK351" s="54" t="s">
        <v>221</v>
      </c>
      <c r="BL351" s="54" t="s">
        <v>221</v>
      </c>
      <c r="BM351" s="54" t="s">
        <v>221</v>
      </c>
      <c r="BN351" s="54" t="s">
        <v>221</v>
      </c>
      <c r="BO351" s="54" t="s">
        <v>221</v>
      </c>
      <c r="BP351" s="54" t="s">
        <v>221</v>
      </c>
      <c r="BQ351" s="54" t="s">
        <v>221</v>
      </c>
      <c r="BR351" s="54" t="s">
        <v>221</v>
      </c>
      <c r="BS351" s="54" t="s">
        <v>221</v>
      </c>
      <c r="BT351" s="54" t="s">
        <v>221</v>
      </c>
      <c r="BU351" s="54"/>
      <c r="BV351" s="54"/>
      <c r="BW351" s="54"/>
      <c r="BX351" s="85" t="str">
        <f>VLOOKUP(F351,[1]SKU리스트!$H:$AH,27,FALSE)</f>
        <v>광고X</v>
      </c>
      <c r="BY351" s="9"/>
    </row>
    <row r="352" spans="1:78" ht="20.100000000000001" customHeight="1" x14ac:dyDescent="0.3">
      <c r="A352" s="13">
        <v>346</v>
      </c>
      <c r="B352" s="91" t="s">
        <v>361</v>
      </c>
      <c r="C352" s="93" t="s">
        <v>161</v>
      </c>
      <c r="D352" s="98"/>
      <c r="E352" s="98"/>
      <c r="F352" s="96" t="s">
        <v>323</v>
      </c>
      <c r="G352" s="97"/>
      <c r="H352" s="96"/>
      <c r="I352" s="97"/>
      <c r="J352" s="91"/>
      <c r="L352" s="98" t="s">
        <v>225</v>
      </c>
      <c r="M352" s="98">
        <v>348</v>
      </c>
      <c r="N352" s="98"/>
      <c r="O352" s="98"/>
      <c r="P352" s="98"/>
      <c r="Q352" s="39" t="s">
        <v>282</v>
      </c>
      <c r="R352" s="5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50"/>
      <c r="AL352" s="50"/>
      <c r="AM352" s="50"/>
      <c r="AN352" s="50"/>
      <c r="AO352" s="53">
        <f>SUM(AI351:AO351)</f>
        <v>0</v>
      </c>
      <c r="AP352" s="51" t="s">
        <v>221</v>
      </c>
      <c r="AQ352" s="50"/>
      <c r="AR352" s="50"/>
      <c r="AS352" s="50"/>
      <c r="AT352" s="50"/>
      <c r="AU352" s="50"/>
      <c r="AV352" s="53">
        <f>SUM(AP351:AV351)</f>
        <v>0</v>
      </c>
      <c r="AW352" s="50" t="s">
        <v>221</v>
      </c>
      <c r="AX352" s="50"/>
      <c r="AY352" s="50"/>
      <c r="AZ352" s="50"/>
      <c r="BA352" s="50"/>
      <c r="BB352" s="50"/>
      <c r="BC352" s="53">
        <f>SUM(AW351:BC351)</f>
        <v>0</v>
      </c>
      <c r="BD352" s="50" t="s">
        <v>221</v>
      </c>
      <c r="BE352" s="50"/>
      <c r="BF352" s="50"/>
      <c r="BG352" s="50"/>
      <c r="BH352" s="50"/>
      <c r="BI352" s="50"/>
      <c r="BJ352" s="53">
        <f>SUM(BD351:BJ351)</f>
        <v>0</v>
      </c>
      <c r="BK352" s="50" t="s">
        <v>221</v>
      </c>
      <c r="BL352" s="50"/>
      <c r="BM352" s="50"/>
      <c r="BN352" s="50"/>
      <c r="BO352" s="50"/>
      <c r="BP352" s="50"/>
      <c r="BQ352" s="53">
        <f>SUM(BK351:BQ351)</f>
        <v>0</v>
      </c>
      <c r="BR352" s="50" t="s">
        <v>221</v>
      </c>
      <c r="BS352" s="50"/>
      <c r="BT352" s="50"/>
      <c r="BU352" s="50"/>
      <c r="BV352" s="50"/>
      <c r="BW352" s="50"/>
      <c r="BY352" s="91"/>
      <c r="BZ352" s="98"/>
    </row>
    <row r="353" spans="1:78" ht="20.100000000000001" customHeight="1" x14ac:dyDescent="0.3">
      <c r="A353" s="13">
        <v>347</v>
      </c>
      <c r="B353" s="91" t="s">
        <v>361</v>
      </c>
      <c r="C353" s="93" t="s">
        <v>161</v>
      </c>
      <c r="D353" s="95" t="s">
        <v>257</v>
      </c>
      <c r="E353" s="94"/>
      <c r="F353" s="96">
        <v>93227164587</v>
      </c>
      <c r="G353" s="97" t="s">
        <v>259</v>
      </c>
      <c r="H353" s="99">
        <v>1571</v>
      </c>
      <c r="I353" s="97"/>
      <c r="J353" s="91"/>
      <c r="L353" s="98" t="s">
        <v>225</v>
      </c>
      <c r="M353" s="98">
        <v>349</v>
      </c>
      <c r="N353" s="98"/>
      <c r="O353" s="98"/>
      <c r="P353" s="98"/>
      <c r="Q353" s="43" t="s">
        <v>244</v>
      </c>
      <c r="R353" s="28">
        <v>100</v>
      </c>
      <c r="S353" s="28">
        <v>100</v>
      </c>
      <c r="T353" s="28">
        <v>100</v>
      </c>
      <c r="U353" s="28">
        <v>100</v>
      </c>
      <c r="V353" s="28">
        <v>79</v>
      </c>
      <c r="W353" s="28" t="s">
        <v>234</v>
      </c>
      <c r="X353" s="28" t="s">
        <v>234</v>
      </c>
      <c r="Y353" s="28">
        <v>100</v>
      </c>
      <c r="Z353" s="28">
        <v>120</v>
      </c>
      <c r="AA353" s="28">
        <v>150</v>
      </c>
      <c r="AB353" s="28">
        <v>73</v>
      </c>
      <c r="AC353" s="28">
        <v>14</v>
      </c>
      <c r="AD353" s="28">
        <v>200</v>
      </c>
      <c r="AE353" s="28">
        <v>145</v>
      </c>
      <c r="AF353" s="28">
        <v>343</v>
      </c>
      <c r="AG353" s="28">
        <v>74</v>
      </c>
      <c r="AH353" s="28">
        <v>356</v>
      </c>
      <c r="AI353" s="28"/>
      <c r="AJ353" s="28"/>
      <c r="AK353" s="28">
        <v>270</v>
      </c>
      <c r="AL353" s="28"/>
      <c r="AM353" s="28"/>
      <c r="AN353" s="28"/>
      <c r="AO353" s="28"/>
      <c r="AP353" s="28"/>
      <c r="AQ353" s="28"/>
      <c r="AR353" s="28"/>
      <c r="AS353" s="28"/>
      <c r="AT353" s="28">
        <v>288</v>
      </c>
      <c r="AU353" s="28">
        <v>86</v>
      </c>
      <c r="AV353" s="28">
        <v>92</v>
      </c>
      <c r="AW353" s="28">
        <v>167</v>
      </c>
      <c r="AX353" s="28">
        <v>96</v>
      </c>
      <c r="AY353" s="28">
        <v>127</v>
      </c>
      <c r="AZ353" s="28">
        <v>100</v>
      </c>
      <c r="BA353" s="28">
        <v>117</v>
      </c>
      <c r="BB353" s="28">
        <v>101</v>
      </c>
      <c r="BC353" s="28" t="s">
        <v>368</v>
      </c>
      <c r="BD353" s="28">
        <v>1</v>
      </c>
      <c r="BE353" s="28">
        <v>133</v>
      </c>
      <c r="BF353" s="28">
        <v>111</v>
      </c>
      <c r="BG353" s="28">
        <v>53</v>
      </c>
      <c r="BH353" s="28">
        <v>64</v>
      </c>
      <c r="BI353" s="28">
        <v>79</v>
      </c>
      <c r="BJ353" s="28" t="s">
        <v>368</v>
      </c>
      <c r="BK353" s="28" t="s">
        <v>368</v>
      </c>
      <c r="BL353" s="28">
        <v>101</v>
      </c>
      <c r="BM353" s="28">
        <v>75</v>
      </c>
      <c r="BN353" s="28">
        <v>40</v>
      </c>
      <c r="BO353" s="28">
        <v>91</v>
      </c>
      <c r="BP353" s="28">
        <v>67</v>
      </c>
      <c r="BQ353" s="28">
        <v>9</v>
      </c>
      <c r="BR353" s="28">
        <v>84</v>
      </c>
      <c r="BS353" s="28">
        <v>19</v>
      </c>
      <c r="BT353" s="28">
        <v>30</v>
      </c>
      <c r="BU353" s="28"/>
      <c r="BV353" s="28"/>
      <c r="BW353" s="28"/>
      <c r="BY353" s="91"/>
      <c r="BZ353" s="98"/>
    </row>
    <row r="354" spans="1:78" ht="20.100000000000001" customHeight="1" x14ac:dyDescent="0.3">
      <c r="A354" s="13">
        <v>348</v>
      </c>
      <c r="B354" s="4" t="s">
        <v>361</v>
      </c>
      <c r="C354" s="69" t="s">
        <v>161</v>
      </c>
      <c r="D354" s="20"/>
      <c r="E354" s="20"/>
      <c r="F354" s="2">
        <v>93227164587</v>
      </c>
      <c r="I354" s="3" t="s">
        <v>264</v>
      </c>
      <c r="J354" s="20" t="s">
        <v>66</v>
      </c>
      <c r="K354" s="62">
        <v>690900</v>
      </c>
      <c r="L354" s="1" t="s">
        <v>225</v>
      </c>
      <c r="M354" s="1">
        <v>350</v>
      </c>
      <c r="Q354" s="87" t="s">
        <v>279</v>
      </c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</row>
    <row r="355" spans="1:78" ht="20.100000000000001" customHeight="1" x14ac:dyDescent="0.3">
      <c r="A355" s="13">
        <v>349</v>
      </c>
      <c r="B355" s="91" t="s">
        <v>361</v>
      </c>
      <c r="C355" s="93" t="s">
        <v>161</v>
      </c>
      <c r="D355" s="94"/>
      <c r="E355" s="94"/>
      <c r="F355" s="96">
        <v>93227164587</v>
      </c>
      <c r="G355" s="97"/>
      <c r="H355" s="99">
        <v>1575</v>
      </c>
      <c r="I355" s="97"/>
      <c r="J355" s="91"/>
      <c r="L355" s="98" t="s">
        <v>225</v>
      </c>
      <c r="M355" s="98">
        <v>351</v>
      </c>
      <c r="N355" s="98"/>
      <c r="O355" s="98"/>
      <c r="P355" s="98"/>
      <c r="Q355" s="43" t="s">
        <v>244</v>
      </c>
      <c r="R355" s="28"/>
      <c r="S355" s="28"/>
      <c r="T355" s="28"/>
      <c r="U355" s="28"/>
      <c r="V355" s="28"/>
      <c r="W355" s="28"/>
      <c r="X355" s="28"/>
      <c r="Y355" s="28"/>
      <c r="Z355" s="28">
        <v>119</v>
      </c>
      <c r="AA355" s="28">
        <v>150</v>
      </c>
      <c r="AB355" s="28">
        <v>68</v>
      </c>
      <c r="AC355" s="28">
        <v>23</v>
      </c>
      <c r="AD355" s="28">
        <v>200</v>
      </c>
      <c r="AE355" s="28">
        <v>130</v>
      </c>
      <c r="AF355" s="28">
        <v>322</v>
      </c>
      <c r="AG355" s="28">
        <v>103</v>
      </c>
      <c r="AH355" s="28">
        <v>320</v>
      </c>
      <c r="AI355" s="28"/>
      <c r="AJ355" s="28"/>
      <c r="AK355" s="28">
        <v>274</v>
      </c>
      <c r="AL355" s="28"/>
      <c r="AM355" s="28"/>
      <c r="AN355" s="28"/>
      <c r="AO355" s="28"/>
      <c r="AP355" s="28"/>
      <c r="AQ355" s="28"/>
      <c r="AR355" s="28"/>
      <c r="AS355" s="28"/>
      <c r="AT355" s="28">
        <v>277</v>
      </c>
      <c r="AU355" s="28">
        <v>90</v>
      </c>
      <c r="AV355" s="28">
        <v>93</v>
      </c>
      <c r="AW355" s="28">
        <v>140</v>
      </c>
      <c r="AX355" s="28">
        <v>123</v>
      </c>
      <c r="AY355" s="28">
        <v>157</v>
      </c>
      <c r="AZ355" s="28">
        <v>120</v>
      </c>
      <c r="BA355" s="28">
        <v>84</v>
      </c>
      <c r="BB355" s="28">
        <v>123</v>
      </c>
      <c r="BC355" s="28">
        <v>4</v>
      </c>
      <c r="BD355" s="28" t="s">
        <v>368</v>
      </c>
      <c r="BE355" s="28">
        <v>141</v>
      </c>
      <c r="BF355" s="28">
        <v>100</v>
      </c>
      <c r="BG355" s="28">
        <v>51</v>
      </c>
      <c r="BH355" s="28">
        <v>67</v>
      </c>
      <c r="BI355" s="28">
        <v>72</v>
      </c>
      <c r="BJ355" s="28" t="s">
        <v>368</v>
      </c>
      <c r="BK355" s="28" t="s">
        <v>368</v>
      </c>
      <c r="BL355" s="28">
        <v>123</v>
      </c>
      <c r="BM355" s="28">
        <v>68</v>
      </c>
      <c r="BN355" s="28">
        <v>39</v>
      </c>
      <c r="BO355" s="28">
        <v>87</v>
      </c>
      <c r="BP355" s="28">
        <v>65</v>
      </c>
      <c r="BQ355" s="28">
        <v>4</v>
      </c>
      <c r="BR355" s="28">
        <v>75</v>
      </c>
      <c r="BS355" s="28">
        <v>19</v>
      </c>
      <c r="BT355" s="28">
        <v>33</v>
      </c>
      <c r="BU355" s="28"/>
      <c r="BV355" s="28"/>
      <c r="BW355" s="28"/>
      <c r="BY355" s="91"/>
      <c r="BZ355" s="98"/>
    </row>
    <row r="356" spans="1:78" ht="20.100000000000001" customHeight="1" x14ac:dyDescent="0.3">
      <c r="A356" s="13">
        <v>350</v>
      </c>
      <c r="B356" s="4" t="s">
        <v>361</v>
      </c>
      <c r="C356" s="69" t="s">
        <v>161</v>
      </c>
      <c r="D356" s="20"/>
      <c r="E356" s="20"/>
      <c r="F356" s="2">
        <v>93227164587</v>
      </c>
      <c r="I356" s="3" t="s">
        <v>268</v>
      </c>
      <c r="J356" s="20" t="s">
        <v>267</v>
      </c>
      <c r="K356" s="62">
        <v>436400</v>
      </c>
      <c r="L356" s="1" t="s">
        <v>225</v>
      </c>
      <c r="M356" s="1">
        <v>352</v>
      </c>
      <c r="Q356" s="87" t="s">
        <v>279</v>
      </c>
      <c r="R356" s="7">
        <v>110</v>
      </c>
      <c r="S356" s="7">
        <v>100</v>
      </c>
      <c r="T356" s="7">
        <v>42</v>
      </c>
      <c r="U356" s="7">
        <v>41</v>
      </c>
      <c r="V356" s="7">
        <v>92</v>
      </c>
      <c r="W356" s="7"/>
      <c r="X356" s="7"/>
      <c r="Y356" s="7">
        <v>94</v>
      </c>
      <c r="Z356" s="7">
        <v>82</v>
      </c>
      <c r="AA356" s="7">
        <v>79</v>
      </c>
      <c r="AB356" s="7">
        <v>77</v>
      </c>
      <c r="AC356" s="7">
        <v>79</v>
      </c>
      <c r="AD356" s="7">
        <v>79</v>
      </c>
      <c r="AE356" s="7">
        <v>69</v>
      </c>
      <c r="AF356" s="7">
        <v>82</v>
      </c>
      <c r="AG356" s="7">
        <v>79</v>
      </c>
      <c r="AH356" s="7">
        <v>89</v>
      </c>
      <c r="AI356" s="7"/>
      <c r="AJ356" s="7"/>
      <c r="AK356" s="7">
        <v>70</v>
      </c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</row>
    <row r="357" spans="1:78" ht="20.100000000000001" customHeight="1" x14ac:dyDescent="0.3">
      <c r="A357" s="13">
        <v>351</v>
      </c>
      <c r="B357" s="91" t="s">
        <v>361</v>
      </c>
      <c r="C357" s="93" t="s">
        <v>161</v>
      </c>
      <c r="D357" s="91"/>
      <c r="E357" s="94"/>
      <c r="F357" s="96">
        <v>93227164587</v>
      </c>
      <c r="G357" s="97"/>
      <c r="H357" s="99">
        <v>1572</v>
      </c>
      <c r="I357" s="97"/>
      <c r="J357" s="91"/>
      <c r="L357" s="98" t="s">
        <v>225</v>
      </c>
      <c r="M357" s="98">
        <v>353</v>
      </c>
      <c r="N357" s="98"/>
      <c r="O357" s="98"/>
      <c r="P357" s="98"/>
      <c r="Q357" s="43" t="s">
        <v>244</v>
      </c>
      <c r="R357" s="28">
        <v>100</v>
      </c>
      <c r="S357" s="28">
        <v>100</v>
      </c>
      <c r="T357" s="28">
        <v>100</v>
      </c>
      <c r="U357" s="28">
        <v>100</v>
      </c>
      <c r="V357" s="28">
        <v>72</v>
      </c>
      <c r="W357" s="28" t="s">
        <v>234</v>
      </c>
      <c r="X357" s="28" t="s">
        <v>234</v>
      </c>
      <c r="Y357" s="28">
        <v>100</v>
      </c>
      <c r="Z357" s="28">
        <v>97</v>
      </c>
      <c r="AA357" s="28">
        <v>150</v>
      </c>
      <c r="AB357" s="28">
        <v>87</v>
      </c>
      <c r="AC357" s="28">
        <v>21</v>
      </c>
      <c r="AD357" s="28">
        <v>200</v>
      </c>
      <c r="AE357" s="28">
        <v>137</v>
      </c>
      <c r="AF357" s="28">
        <v>331</v>
      </c>
      <c r="AG357" s="28">
        <v>98</v>
      </c>
      <c r="AH357" s="28">
        <v>351</v>
      </c>
      <c r="AI357" s="28"/>
      <c r="AJ357" s="28"/>
      <c r="AK357" s="28">
        <v>284</v>
      </c>
      <c r="AL357" s="28"/>
      <c r="AM357" s="28"/>
      <c r="AN357" s="28"/>
      <c r="AO357" s="28"/>
      <c r="AP357" s="28"/>
      <c r="AQ357" s="28"/>
      <c r="AR357" s="28"/>
      <c r="AS357" s="28"/>
      <c r="AT357" s="28">
        <v>282</v>
      </c>
      <c r="AU357" s="28">
        <v>81</v>
      </c>
      <c r="AV357" s="28">
        <v>91</v>
      </c>
      <c r="AW357" s="28">
        <v>133</v>
      </c>
      <c r="AX357" s="28">
        <v>120</v>
      </c>
      <c r="AY357" s="28">
        <v>149</v>
      </c>
      <c r="AZ357" s="28">
        <v>115</v>
      </c>
      <c r="BA357" s="28">
        <v>105</v>
      </c>
      <c r="BB357" s="28">
        <v>108</v>
      </c>
      <c r="BC357" s="28">
        <v>6</v>
      </c>
      <c r="BD357" s="28">
        <v>1</v>
      </c>
      <c r="BE357" s="28">
        <v>131</v>
      </c>
      <c r="BF357" s="28">
        <v>123</v>
      </c>
      <c r="BG357" s="28">
        <v>40</v>
      </c>
      <c r="BH357" s="28">
        <v>80</v>
      </c>
      <c r="BI357" s="28">
        <v>73</v>
      </c>
      <c r="BJ357" s="28" t="s">
        <v>368</v>
      </c>
      <c r="BK357" s="28" t="s">
        <v>368</v>
      </c>
      <c r="BL357" s="28">
        <v>108</v>
      </c>
      <c r="BM357" s="28">
        <v>86</v>
      </c>
      <c r="BN357" s="28">
        <v>40</v>
      </c>
      <c r="BO357" s="28">
        <v>84</v>
      </c>
      <c r="BP357" s="28">
        <v>63</v>
      </c>
      <c r="BQ357" s="28">
        <v>10</v>
      </c>
      <c r="BR357" s="28">
        <v>79</v>
      </c>
      <c r="BS357" s="28">
        <v>15</v>
      </c>
      <c r="BT357" s="28">
        <v>35</v>
      </c>
      <c r="BU357" s="28"/>
      <c r="BV357" s="28"/>
      <c r="BW357" s="28"/>
      <c r="BY357" s="91"/>
      <c r="BZ357" s="98"/>
    </row>
    <row r="358" spans="1:78" ht="20.100000000000001" customHeight="1" x14ac:dyDescent="0.3">
      <c r="A358" s="13">
        <v>352</v>
      </c>
      <c r="B358" s="91" t="s">
        <v>361</v>
      </c>
      <c r="C358" s="93" t="s">
        <v>161</v>
      </c>
      <c r="D358" s="94"/>
      <c r="E358" s="94"/>
      <c r="F358" s="96">
        <v>93227164587</v>
      </c>
      <c r="G358" s="97"/>
      <c r="H358" s="96"/>
      <c r="I358" s="97" t="s">
        <v>261</v>
      </c>
      <c r="J358" s="94" t="s">
        <v>260</v>
      </c>
      <c r="K358" s="62">
        <v>18100</v>
      </c>
      <c r="L358" s="98" t="s">
        <v>225</v>
      </c>
      <c r="M358" s="98">
        <v>354</v>
      </c>
      <c r="N358" s="98"/>
      <c r="O358" s="98"/>
      <c r="P358" s="98"/>
      <c r="Q358" s="87" t="s">
        <v>279</v>
      </c>
      <c r="R358" s="7"/>
      <c r="S358" s="7"/>
      <c r="T358" s="7"/>
      <c r="U358" s="7">
        <v>30</v>
      </c>
      <c r="V358" s="7">
        <v>45</v>
      </c>
      <c r="W358" s="7"/>
      <c r="X358" s="7"/>
      <c r="Y358" s="7">
        <v>20</v>
      </c>
      <c r="Z358" s="7"/>
      <c r="AA358" s="7">
        <v>10</v>
      </c>
      <c r="AB358" s="7">
        <v>15</v>
      </c>
      <c r="AC358" s="7"/>
      <c r="AD358" s="7">
        <v>46</v>
      </c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BT358" s="7"/>
      <c r="BU358" s="7"/>
      <c r="BV358" s="7"/>
      <c r="BW358" s="7"/>
      <c r="BY358" s="91"/>
      <c r="BZ358" s="98"/>
    </row>
    <row r="359" spans="1:78" ht="20.100000000000001" customHeight="1" x14ac:dyDescent="0.3">
      <c r="A359" s="13">
        <v>353</v>
      </c>
      <c r="B359" s="91" t="s">
        <v>361</v>
      </c>
      <c r="C359" s="93" t="s">
        <v>161</v>
      </c>
      <c r="D359" s="94"/>
      <c r="E359" s="94"/>
      <c r="F359" s="96">
        <v>93227164587</v>
      </c>
      <c r="G359" s="97"/>
      <c r="H359" s="99">
        <v>1573</v>
      </c>
      <c r="I359" s="97"/>
      <c r="J359" s="91"/>
      <c r="L359" s="98" t="s">
        <v>225</v>
      </c>
      <c r="M359" s="98">
        <v>355</v>
      </c>
      <c r="N359" s="98"/>
      <c r="O359" s="98"/>
      <c r="P359" s="98"/>
      <c r="Q359" s="43" t="s">
        <v>244</v>
      </c>
      <c r="R359" s="28">
        <v>100</v>
      </c>
      <c r="S359" s="28">
        <v>100</v>
      </c>
      <c r="T359" s="28">
        <v>100</v>
      </c>
      <c r="U359" s="28">
        <v>100</v>
      </c>
      <c r="V359" s="28">
        <v>80</v>
      </c>
      <c r="W359" s="28" t="s">
        <v>234</v>
      </c>
      <c r="X359" s="28" t="s">
        <v>234</v>
      </c>
      <c r="Y359" s="28">
        <v>100</v>
      </c>
      <c r="Z359" s="28">
        <v>124</v>
      </c>
      <c r="AA359" s="28">
        <v>150</v>
      </c>
      <c r="AB359" s="28">
        <v>69</v>
      </c>
      <c r="AC359" s="28">
        <v>14</v>
      </c>
      <c r="AD359" s="28">
        <v>200</v>
      </c>
      <c r="AE359" s="28">
        <v>151</v>
      </c>
      <c r="AF359" s="28">
        <v>316</v>
      </c>
      <c r="AG359" s="28">
        <v>85</v>
      </c>
      <c r="AH359" s="28">
        <v>361</v>
      </c>
      <c r="AI359" s="28"/>
      <c r="AJ359" s="28"/>
      <c r="AK359" s="28">
        <v>233</v>
      </c>
      <c r="AL359" s="28"/>
      <c r="AM359" s="28"/>
      <c r="AN359" s="28"/>
      <c r="AO359" s="28"/>
      <c r="AP359" s="28"/>
      <c r="AQ359" s="28"/>
      <c r="AR359" s="28"/>
      <c r="AS359" s="28"/>
      <c r="AT359" s="28">
        <v>259</v>
      </c>
      <c r="AU359" s="28">
        <v>86</v>
      </c>
      <c r="AV359" s="28">
        <v>86</v>
      </c>
      <c r="AW359" s="28">
        <v>146</v>
      </c>
      <c r="AX359" s="28">
        <v>121</v>
      </c>
      <c r="AY359" s="28">
        <v>156</v>
      </c>
      <c r="AZ359" s="28">
        <v>124</v>
      </c>
      <c r="BA359" s="28">
        <v>129</v>
      </c>
      <c r="BB359" s="28">
        <v>92</v>
      </c>
      <c r="BC359" s="28" t="s">
        <v>368</v>
      </c>
      <c r="BD359" s="28" t="s">
        <v>368</v>
      </c>
      <c r="BE359" s="28">
        <v>127</v>
      </c>
      <c r="BF359" s="28">
        <v>99</v>
      </c>
      <c r="BG359" s="28">
        <v>48</v>
      </c>
      <c r="BH359" s="28">
        <v>62</v>
      </c>
      <c r="BI359" s="28">
        <v>61</v>
      </c>
      <c r="BJ359" s="28" t="s">
        <v>368</v>
      </c>
      <c r="BK359" s="28" t="s">
        <v>368</v>
      </c>
      <c r="BL359" s="28">
        <v>92</v>
      </c>
      <c r="BM359" s="28">
        <v>64</v>
      </c>
      <c r="BN359" s="28">
        <v>37</v>
      </c>
      <c r="BO359" s="28">
        <v>83</v>
      </c>
      <c r="BP359" s="28">
        <v>75</v>
      </c>
      <c r="BQ359" s="28">
        <v>8</v>
      </c>
      <c r="BR359" s="28">
        <v>74</v>
      </c>
      <c r="BS359" s="28">
        <v>16</v>
      </c>
      <c r="BT359" s="28">
        <v>41</v>
      </c>
      <c r="BU359" s="28"/>
      <c r="BV359" s="28"/>
      <c r="BW359" s="28"/>
      <c r="BY359" s="91"/>
      <c r="BZ359" s="98"/>
    </row>
    <row r="360" spans="1:78" ht="20.100000000000001" customHeight="1" x14ac:dyDescent="0.3">
      <c r="A360" s="13">
        <v>354</v>
      </c>
      <c r="B360" s="91" t="s">
        <v>361</v>
      </c>
      <c r="C360" s="93" t="s">
        <v>161</v>
      </c>
      <c r="D360" s="94"/>
      <c r="E360" s="94"/>
      <c r="F360" s="96">
        <v>93227164587</v>
      </c>
      <c r="G360" s="97"/>
      <c r="H360" s="96"/>
      <c r="I360" s="97" t="s">
        <v>263</v>
      </c>
      <c r="J360" s="94" t="s">
        <v>262</v>
      </c>
      <c r="K360" s="62">
        <v>2595</v>
      </c>
      <c r="L360" s="98" t="s">
        <v>225</v>
      </c>
      <c r="M360" s="98">
        <v>356</v>
      </c>
      <c r="N360" s="98"/>
      <c r="O360" s="98"/>
      <c r="P360" s="98"/>
      <c r="Q360" s="87" t="s">
        <v>279</v>
      </c>
      <c r="R360" s="7"/>
      <c r="S360" s="7"/>
      <c r="T360" s="7"/>
      <c r="U360" s="7"/>
      <c r="V360" s="7"/>
      <c r="W360" s="7"/>
      <c r="X360" s="7"/>
      <c r="Y360" s="7">
        <v>45</v>
      </c>
      <c r="Z360" s="7">
        <v>30</v>
      </c>
      <c r="AA360" s="7">
        <v>33</v>
      </c>
      <c r="AB360" s="7">
        <v>10</v>
      </c>
      <c r="AC360" s="7"/>
      <c r="AD360" s="7">
        <v>14</v>
      </c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Y360" s="91"/>
      <c r="BZ360" s="98"/>
    </row>
    <row r="361" spans="1:78" ht="20.100000000000001" customHeight="1" x14ac:dyDescent="0.3">
      <c r="A361" s="13">
        <v>355</v>
      </c>
      <c r="B361" s="91" t="s">
        <v>361</v>
      </c>
      <c r="C361" s="93" t="s">
        <v>161</v>
      </c>
      <c r="D361" s="94"/>
      <c r="E361" s="94"/>
      <c r="F361" s="96">
        <v>93227164587</v>
      </c>
      <c r="G361" s="97"/>
      <c r="H361" s="99">
        <v>1574</v>
      </c>
      <c r="I361" s="97"/>
      <c r="J361" s="91"/>
      <c r="L361" s="98" t="s">
        <v>225</v>
      </c>
      <c r="M361" s="98">
        <v>357</v>
      </c>
      <c r="N361" s="98"/>
      <c r="O361" s="98"/>
      <c r="P361" s="98"/>
      <c r="Q361" s="43" t="s">
        <v>244</v>
      </c>
      <c r="R361" s="28"/>
      <c r="S361" s="28"/>
      <c r="T361" s="28"/>
      <c r="U361" s="28"/>
      <c r="V361" s="28"/>
      <c r="W361" s="28"/>
      <c r="X361" s="28"/>
      <c r="Y361" s="28"/>
      <c r="Z361" s="28">
        <v>113</v>
      </c>
      <c r="AA361" s="28">
        <v>150</v>
      </c>
      <c r="AB361" s="28">
        <v>64</v>
      </c>
      <c r="AC361" s="28">
        <v>17</v>
      </c>
      <c r="AD361" s="28">
        <v>200</v>
      </c>
      <c r="AE361" s="28">
        <v>134</v>
      </c>
      <c r="AF361" s="28">
        <v>329</v>
      </c>
      <c r="AG361" s="28">
        <v>89</v>
      </c>
      <c r="AH361" s="28">
        <v>380</v>
      </c>
      <c r="AI361" s="28"/>
      <c r="AJ361" s="28"/>
      <c r="AK361" s="28">
        <v>306</v>
      </c>
      <c r="AL361" s="28"/>
      <c r="AM361" s="28"/>
      <c r="AN361" s="28"/>
      <c r="AO361" s="28"/>
      <c r="AP361" s="28"/>
      <c r="AQ361" s="28"/>
      <c r="AR361" s="28"/>
      <c r="AS361" s="28"/>
      <c r="AT361" s="28">
        <v>304</v>
      </c>
      <c r="AU361" s="28">
        <v>83</v>
      </c>
      <c r="AV361" s="28">
        <v>91</v>
      </c>
      <c r="AW361" s="28">
        <v>157</v>
      </c>
      <c r="AX361" s="28">
        <v>119</v>
      </c>
      <c r="AY361" s="28">
        <v>148</v>
      </c>
      <c r="AZ361" s="28">
        <v>127</v>
      </c>
      <c r="BA361" s="28">
        <v>115</v>
      </c>
      <c r="BB361" s="28">
        <v>108</v>
      </c>
      <c r="BC361" s="28">
        <v>3</v>
      </c>
      <c r="BD361" s="28" t="s">
        <v>368</v>
      </c>
      <c r="BE361" s="28">
        <v>126</v>
      </c>
      <c r="BF361" s="28">
        <v>80</v>
      </c>
      <c r="BG361" s="28">
        <v>55</v>
      </c>
      <c r="BH361" s="28">
        <v>65</v>
      </c>
      <c r="BI361" s="28">
        <v>82</v>
      </c>
      <c r="BJ361" s="28" t="s">
        <v>368</v>
      </c>
      <c r="BK361" s="28" t="s">
        <v>368</v>
      </c>
      <c r="BL361" s="28">
        <v>108</v>
      </c>
      <c r="BM361" s="28">
        <v>72</v>
      </c>
      <c r="BN361" s="28">
        <v>41</v>
      </c>
      <c r="BO361" s="28">
        <v>78</v>
      </c>
      <c r="BP361" s="28">
        <v>47</v>
      </c>
      <c r="BQ361" s="28">
        <v>2</v>
      </c>
      <c r="BR361" s="28">
        <v>93</v>
      </c>
      <c r="BS361" s="28">
        <v>32</v>
      </c>
      <c r="BT361" s="28">
        <v>27</v>
      </c>
      <c r="BU361" s="28"/>
      <c r="BV361" s="28"/>
      <c r="BW361" s="28"/>
      <c r="BY361" s="91"/>
      <c r="BZ361" s="98"/>
    </row>
    <row r="362" spans="1:78" ht="20.100000000000001" customHeight="1" thickBot="1" x14ac:dyDescent="0.35">
      <c r="A362" s="13">
        <v>356</v>
      </c>
      <c r="B362" s="4" t="s">
        <v>361</v>
      </c>
      <c r="C362" s="69" t="s">
        <v>161</v>
      </c>
      <c r="D362" s="20"/>
      <c r="E362" s="20"/>
      <c r="F362" s="2">
        <v>93227164587</v>
      </c>
      <c r="I362" s="3" t="s">
        <v>266</v>
      </c>
      <c r="J362" s="20" t="s">
        <v>265</v>
      </c>
      <c r="K362" s="5">
        <v>940</v>
      </c>
      <c r="L362" s="1" t="s">
        <v>225</v>
      </c>
      <c r="M362" s="1">
        <v>358</v>
      </c>
      <c r="Q362" s="87" t="s">
        <v>279</v>
      </c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>
        <v>49</v>
      </c>
      <c r="AC362" s="7">
        <v>10</v>
      </c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</row>
    <row r="363" spans="1:78" s="8" customFormat="1" ht="20.100000000000001" customHeight="1" x14ac:dyDescent="0.3">
      <c r="A363" s="13">
        <v>357</v>
      </c>
      <c r="B363" s="9" t="s">
        <v>362</v>
      </c>
      <c r="C363" s="70" t="s">
        <v>161</v>
      </c>
      <c r="D363" s="46">
        <f>VLOOKUP(F365,[1]SKU리스트!$H:$L,5,FALSE)</f>
        <v>15880</v>
      </c>
      <c r="E363" s="47">
        <f>VLOOKUP(F365,[1]SKU리스트!$H:$AK,30,FALSE)</f>
        <v>5939.0909090909081</v>
      </c>
      <c r="F363" s="10" t="s">
        <v>270</v>
      </c>
      <c r="G363" s="11"/>
      <c r="H363" s="10"/>
      <c r="I363" s="11"/>
      <c r="J363" s="9"/>
      <c r="K363" s="12"/>
      <c r="L363" s="8" t="s">
        <v>225</v>
      </c>
      <c r="M363" s="8">
        <v>359</v>
      </c>
      <c r="Q363" s="44" t="s">
        <v>125</v>
      </c>
      <c r="R363" s="54">
        <v>1</v>
      </c>
      <c r="S363" s="54">
        <v>1</v>
      </c>
      <c r="T363" s="54">
        <v>3</v>
      </c>
      <c r="U363" s="54">
        <v>4</v>
      </c>
      <c r="V363" s="54">
        <v>3</v>
      </c>
      <c r="W363" s="54">
        <v>3</v>
      </c>
      <c r="X363" s="54">
        <v>3</v>
      </c>
      <c r="Y363" s="54">
        <v>0</v>
      </c>
      <c r="Z363" s="54">
        <v>3</v>
      </c>
      <c r="AA363" s="54">
        <v>1</v>
      </c>
      <c r="AB363" s="54">
        <v>3</v>
      </c>
      <c r="AC363" s="54">
        <v>2</v>
      </c>
      <c r="AD363" s="54">
        <v>1</v>
      </c>
      <c r="AE363" s="54">
        <v>2</v>
      </c>
      <c r="AF363" s="54" t="s">
        <v>221</v>
      </c>
      <c r="AG363" s="54">
        <v>2</v>
      </c>
      <c r="AH363" s="54">
        <v>1</v>
      </c>
      <c r="AI363" s="54">
        <v>1</v>
      </c>
      <c r="AJ363" s="54" t="s">
        <v>221</v>
      </c>
      <c r="AK363" s="54" t="s">
        <v>221</v>
      </c>
      <c r="AL363" s="54">
        <v>2</v>
      </c>
      <c r="AM363" s="54" t="s">
        <v>221</v>
      </c>
      <c r="AN363" s="54" t="s">
        <v>221</v>
      </c>
      <c r="AO363" s="54" t="s">
        <v>221</v>
      </c>
      <c r="AP363" s="54" t="s">
        <v>221</v>
      </c>
      <c r="AQ363" s="54" t="s">
        <v>221</v>
      </c>
      <c r="AR363" s="54" t="s">
        <v>221</v>
      </c>
      <c r="AS363" s="54" t="s">
        <v>221</v>
      </c>
      <c r="AT363" s="54">
        <v>1</v>
      </c>
      <c r="AU363" s="54" t="s">
        <v>221</v>
      </c>
      <c r="AV363" s="54" t="s">
        <v>221</v>
      </c>
      <c r="AW363" s="54">
        <v>1</v>
      </c>
      <c r="AX363" s="54">
        <v>1</v>
      </c>
      <c r="AY363" s="54" t="s">
        <v>221</v>
      </c>
      <c r="AZ363" s="54">
        <v>1</v>
      </c>
      <c r="BA363" s="54" t="s">
        <v>221</v>
      </c>
      <c r="BB363" s="54">
        <v>0</v>
      </c>
      <c r="BC363" s="54">
        <v>1</v>
      </c>
      <c r="BD363" s="54" t="s">
        <v>221</v>
      </c>
      <c r="BE363" s="54" t="s">
        <v>221</v>
      </c>
      <c r="BF363" s="54" t="s">
        <v>221</v>
      </c>
      <c r="BG363" s="54" t="s">
        <v>221</v>
      </c>
      <c r="BH363" s="54">
        <v>1</v>
      </c>
      <c r="BI363" s="54" t="s">
        <v>221</v>
      </c>
      <c r="BJ363" s="54" t="s">
        <v>221</v>
      </c>
      <c r="BK363" s="54" t="s">
        <v>221</v>
      </c>
      <c r="BL363" s="54" t="s">
        <v>221</v>
      </c>
      <c r="BM363" s="54" t="s">
        <v>221</v>
      </c>
      <c r="BN363" s="54" t="s">
        <v>221</v>
      </c>
      <c r="BO363" s="54" t="s">
        <v>221</v>
      </c>
      <c r="BP363" s="54" t="s">
        <v>221</v>
      </c>
      <c r="BQ363" s="54" t="s">
        <v>221</v>
      </c>
      <c r="BR363" s="54" t="s">
        <v>221</v>
      </c>
      <c r="BS363" s="54" t="s">
        <v>221</v>
      </c>
      <c r="BT363" s="54" t="s">
        <v>221</v>
      </c>
      <c r="BU363" s="54"/>
      <c r="BV363" s="54"/>
      <c r="BW363" s="54"/>
      <c r="BX363" s="85" t="str">
        <f>VLOOKUP(F363,[1]SKU리스트!$H:$AH,27,FALSE)</f>
        <v>광고X</v>
      </c>
      <c r="BY363" s="9"/>
    </row>
    <row r="364" spans="1:78" ht="20.100000000000001" customHeight="1" x14ac:dyDescent="0.3">
      <c r="A364" s="13">
        <v>358</v>
      </c>
      <c r="B364" s="4" t="s">
        <v>362</v>
      </c>
      <c r="C364" s="69" t="s">
        <v>161</v>
      </c>
      <c r="D364" s="1"/>
      <c r="E364" s="1"/>
      <c r="F364" s="2" t="s">
        <v>324</v>
      </c>
      <c r="L364" s="1" t="s">
        <v>225</v>
      </c>
      <c r="M364" s="1">
        <v>360</v>
      </c>
      <c r="Q364" s="39" t="s">
        <v>282</v>
      </c>
      <c r="R364" s="5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50"/>
      <c r="AL364" s="50"/>
      <c r="AM364" s="50"/>
      <c r="AN364" s="50"/>
      <c r="AO364" s="53">
        <f>SUM(AI363:AO363)</f>
        <v>3</v>
      </c>
      <c r="AP364" s="51" t="s">
        <v>221</v>
      </c>
      <c r="AQ364" s="50"/>
      <c r="AR364" s="50"/>
      <c r="AS364" s="50"/>
      <c r="AT364" s="50"/>
      <c r="AU364" s="50"/>
      <c r="AV364" s="53">
        <f>SUM(AP363:AV363)</f>
        <v>1</v>
      </c>
      <c r="AW364" s="50" t="s">
        <v>221</v>
      </c>
      <c r="AX364" s="50"/>
      <c r="AY364" s="50"/>
      <c r="AZ364" s="50"/>
      <c r="BA364" s="50"/>
      <c r="BB364" s="50"/>
      <c r="BC364" s="53">
        <f>SUM(AW363:BC363)</f>
        <v>4</v>
      </c>
      <c r="BD364" s="50" t="s">
        <v>221</v>
      </c>
      <c r="BE364" s="50"/>
      <c r="BF364" s="50"/>
      <c r="BG364" s="50"/>
      <c r="BH364" s="50"/>
      <c r="BI364" s="50"/>
      <c r="BJ364" s="53">
        <f>SUM(BD363:BJ363)</f>
        <v>1</v>
      </c>
      <c r="BK364" s="50" t="s">
        <v>221</v>
      </c>
      <c r="BL364" s="50"/>
      <c r="BM364" s="50"/>
      <c r="BN364" s="50"/>
      <c r="BO364" s="50"/>
      <c r="BP364" s="50"/>
      <c r="BQ364" s="53">
        <f>SUM(BK363:BQ363)</f>
        <v>0</v>
      </c>
      <c r="BR364" s="50" t="s">
        <v>221</v>
      </c>
      <c r="BS364" s="50"/>
      <c r="BT364" s="50"/>
      <c r="BU364" s="50"/>
      <c r="BV364" s="50"/>
      <c r="BW364" s="50"/>
    </row>
    <row r="365" spans="1:78" ht="20.100000000000001" customHeight="1" x14ac:dyDescent="0.3">
      <c r="A365" s="13">
        <v>359</v>
      </c>
      <c r="B365" s="91" t="s">
        <v>362</v>
      </c>
      <c r="C365" s="93" t="s">
        <v>161</v>
      </c>
      <c r="D365" s="95" t="s">
        <v>269</v>
      </c>
      <c r="E365" s="94"/>
      <c r="F365" s="96">
        <v>92899729512</v>
      </c>
      <c r="G365" s="97" t="s">
        <v>271</v>
      </c>
      <c r="H365" s="99">
        <v>1559</v>
      </c>
      <c r="I365" s="97"/>
      <c r="J365" s="91"/>
      <c r="L365" s="98" t="s">
        <v>225</v>
      </c>
      <c r="M365" s="98">
        <v>361</v>
      </c>
      <c r="N365" s="98"/>
      <c r="O365" s="98"/>
      <c r="P365" s="98"/>
      <c r="Q365" s="43" t="s">
        <v>244</v>
      </c>
      <c r="R365" s="28">
        <v>100</v>
      </c>
      <c r="S365" s="28">
        <v>100</v>
      </c>
      <c r="T365" s="28">
        <v>100</v>
      </c>
      <c r="U365" s="28">
        <v>100</v>
      </c>
      <c r="V365" s="28">
        <v>79</v>
      </c>
      <c r="W365" s="28" t="s">
        <v>234</v>
      </c>
      <c r="X365" s="28" t="s">
        <v>234</v>
      </c>
      <c r="Y365" s="28">
        <v>100</v>
      </c>
      <c r="Z365" s="28">
        <v>150</v>
      </c>
      <c r="AA365" s="28">
        <v>150</v>
      </c>
      <c r="AB365" s="28">
        <v>114</v>
      </c>
      <c r="AC365" s="28">
        <v>14</v>
      </c>
      <c r="AD365" s="28">
        <v>200</v>
      </c>
      <c r="AE365" s="28">
        <v>134</v>
      </c>
      <c r="AF365" s="28">
        <v>297</v>
      </c>
      <c r="AG365" s="28">
        <v>74</v>
      </c>
      <c r="AH365" s="28">
        <v>331</v>
      </c>
      <c r="AI365" s="28"/>
      <c r="AJ365" s="28"/>
      <c r="AK365" s="28">
        <v>259</v>
      </c>
      <c r="AL365" s="28"/>
      <c r="AM365" s="28"/>
      <c r="AN365" s="28"/>
      <c r="AO365" s="28"/>
      <c r="AP365" s="28"/>
      <c r="AQ365" s="28"/>
      <c r="AR365" s="28"/>
      <c r="AS365" s="28"/>
      <c r="AT365" s="28">
        <v>303</v>
      </c>
      <c r="AU365" s="28">
        <v>103</v>
      </c>
      <c r="AV365" s="28">
        <v>94</v>
      </c>
      <c r="AW365" s="28">
        <v>164</v>
      </c>
      <c r="AX365" s="28">
        <v>97</v>
      </c>
      <c r="AY365" s="28">
        <v>139</v>
      </c>
      <c r="AZ365" s="28">
        <v>104</v>
      </c>
      <c r="BA365" s="28">
        <v>112</v>
      </c>
      <c r="BB365" s="28">
        <v>108</v>
      </c>
      <c r="BC365" s="28" t="s">
        <v>368</v>
      </c>
      <c r="BD365" s="28" t="s">
        <v>368</v>
      </c>
      <c r="BE365" s="28">
        <v>126</v>
      </c>
      <c r="BF365" s="28">
        <v>108</v>
      </c>
      <c r="BG365" s="28">
        <v>54</v>
      </c>
      <c r="BH365" s="28">
        <v>56</v>
      </c>
      <c r="BI365" s="28">
        <v>81</v>
      </c>
      <c r="BJ365" s="28" t="s">
        <v>368</v>
      </c>
      <c r="BK365" s="28" t="s">
        <v>368</v>
      </c>
      <c r="BL365" s="28">
        <v>108</v>
      </c>
      <c r="BM365" s="28">
        <v>78</v>
      </c>
      <c r="BN365" s="28">
        <v>52</v>
      </c>
      <c r="BO365" s="28">
        <v>102</v>
      </c>
      <c r="BP365" s="28">
        <v>60</v>
      </c>
      <c r="BQ365" s="28">
        <v>7</v>
      </c>
      <c r="BR365" s="28">
        <v>84</v>
      </c>
      <c r="BS365" s="28">
        <v>20</v>
      </c>
      <c r="BT365" s="28">
        <v>29</v>
      </c>
      <c r="BU365" s="28"/>
      <c r="BV365" s="28"/>
      <c r="BW365" s="28"/>
      <c r="BY365" s="91"/>
      <c r="BZ365" s="98"/>
    </row>
    <row r="366" spans="1:78" ht="20.100000000000001" customHeight="1" x14ac:dyDescent="0.3">
      <c r="A366" s="13">
        <v>360</v>
      </c>
      <c r="B366" s="4" t="s">
        <v>362</v>
      </c>
      <c r="C366" s="69" t="s">
        <v>161</v>
      </c>
      <c r="D366" s="20"/>
      <c r="E366" s="20"/>
      <c r="F366" s="2">
        <v>92899729512</v>
      </c>
      <c r="I366" s="3" t="s">
        <v>273</v>
      </c>
      <c r="J366" s="20" t="s">
        <v>66</v>
      </c>
      <c r="K366" s="62">
        <v>690900</v>
      </c>
      <c r="L366" s="1" t="s">
        <v>225</v>
      </c>
      <c r="M366" s="1">
        <v>362</v>
      </c>
      <c r="Q366" s="87" t="s">
        <v>279</v>
      </c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>
        <v>170</v>
      </c>
      <c r="AG366" s="7">
        <v>170</v>
      </c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/>
      <c r="BW366" s="7"/>
    </row>
    <row r="367" spans="1:78" ht="20.100000000000001" customHeight="1" x14ac:dyDescent="0.3">
      <c r="A367" s="13">
        <v>361</v>
      </c>
      <c r="B367" s="91" t="s">
        <v>362</v>
      </c>
      <c r="C367" s="93" t="s">
        <v>161</v>
      </c>
      <c r="D367" s="94"/>
      <c r="E367" s="94"/>
      <c r="F367" s="96">
        <v>92899729512</v>
      </c>
      <c r="G367" s="97"/>
      <c r="H367" s="99">
        <v>1563</v>
      </c>
      <c r="I367" s="97"/>
      <c r="J367" s="91"/>
      <c r="L367" s="98" t="s">
        <v>225</v>
      </c>
      <c r="M367" s="98">
        <v>363</v>
      </c>
      <c r="N367" s="98"/>
      <c r="O367" s="98"/>
      <c r="P367" s="98"/>
      <c r="Q367" s="43" t="s">
        <v>244</v>
      </c>
      <c r="R367" s="28">
        <v>100</v>
      </c>
      <c r="S367" s="28">
        <v>100</v>
      </c>
      <c r="T367" s="28">
        <v>100</v>
      </c>
      <c r="U367" s="28">
        <v>100</v>
      </c>
      <c r="V367" s="28">
        <v>79</v>
      </c>
      <c r="W367" s="28" t="s">
        <v>234</v>
      </c>
      <c r="X367" s="28" t="s">
        <v>234</v>
      </c>
      <c r="Y367" s="28">
        <v>100</v>
      </c>
      <c r="Z367" s="28">
        <v>150</v>
      </c>
      <c r="AA367" s="28">
        <v>150</v>
      </c>
      <c r="AB367" s="28">
        <v>114</v>
      </c>
      <c r="AC367" s="28">
        <v>20</v>
      </c>
      <c r="AD367" s="28">
        <v>200</v>
      </c>
      <c r="AE367" s="28">
        <v>131</v>
      </c>
      <c r="AF367" s="28">
        <v>319</v>
      </c>
      <c r="AG367" s="28">
        <v>86</v>
      </c>
      <c r="AH367" s="28">
        <v>331</v>
      </c>
      <c r="AI367" s="28"/>
      <c r="AJ367" s="28"/>
      <c r="AK367" s="28">
        <v>275</v>
      </c>
      <c r="AL367" s="28"/>
      <c r="AM367" s="28"/>
      <c r="AN367" s="28"/>
      <c r="AO367" s="28"/>
      <c r="AP367" s="28"/>
      <c r="AQ367" s="28"/>
      <c r="AR367" s="28"/>
      <c r="AS367" s="28"/>
      <c r="AT367" s="28">
        <v>279</v>
      </c>
      <c r="AU367" s="28">
        <v>92</v>
      </c>
      <c r="AV367" s="28">
        <v>93</v>
      </c>
      <c r="AW367" s="28">
        <v>147</v>
      </c>
      <c r="AX367" s="28">
        <v>126</v>
      </c>
      <c r="AY367" s="28">
        <v>135</v>
      </c>
      <c r="AZ367" s="28">
        <v>108</v>
      </c>
      <c r="BA367" s="28">
        <v>99</v>
      </c>
      <c r="BB367" s="28">
        <v>104</v>
      </c>
      <c r="BC367" s="28">
        <v>2</v>
      </c>
      <c r="BD367" s="28">
        <v>1</v>
      </c>
      <c r="BE367" s="28">
        <v>128</v>
      </c>
      <c r="BF367" s="28">
        <v>106</v>
      </c>
      <c r="BG367" s="28">
        <v>50</v>
      </c>
      <c r="BH367" s="28">
        <v>77</v>
      </c>
      <c r="BI367" s="28">
        <v>82</v>
      </c>
      <c r="BJ367" s="28" t="s">
        <v>368</v>
      </c>
      <c r="BK367" s="28" t="s">
        <v>368</v>
      </c>
      <c r="BL367" s="28">
        <v>104</v>
      </c>
      <c r="BM367" s="28">
        <v>88</v>
      </c>
      <c r="BN367" s="28">
        <v>45</v>
      </c>
      <c r="BO367" s="28">
        <v>82</v>
      </c>
      <c r="BP367" s="28">
        <v>58</v>
      </c>
      <c r="BQ367" s="28">
        <v>4</v>
      </c>
      <c r="BR367" s="28">
        <v>92</v>
      </c>
      <c r="BS367" s="28">
        <v>31</v>
      </c>
      <c r="BT367" s="28">
        <v>30</v>
      </c>
      <c r="BU367" s="28"/>
      <c r="BV367" s="28"/>
      <c r="BW367" s="28"/>
      <c r="BY367" s="91"/>
      <c r="BZ367" s="98"/>
    </row>
    <row r="368" spans="1:78" ht="20.100000000000001" customHeight="1" x14ac:dyDescent="0.3">
      <c r="A368" s="13">
        <v>362</v>
      </c>
      <c r="B368" s="4" t="s">
        <v>362</v>
      </c>
      <c r="C368" s="69" t="s">
        <v>161</v>
      </c>
      <c r="D368" s="20"/>
      <c r="E368" s="20"/>
      <c r="F368" s="2">
        <v>92899729512</v>
      </c>
      <c r="I368" s="3" t="s">
        <v>276</v>
      </c>
      <c r="J368" s="20" t="s">
        <v>272</v>
      </c>
      <c r="K368" s="62">
        <v>46200</v>
      </c>
      <c r="L368" s="1" t="s">
        <v>225</v>
      </c>
      <c r="M368" s="1">
        <v>364</v>
      </c>
      <c r="Q368" s="87" t="s">
        <v>279</v>
      </c>
      <c r="R368" s="7"/>
      <c r="S368" s="7"/>
      <c r="T368" s="7">
        <v>41</v>
      </c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>
        <v>46</v>
      </c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</row>
    <row r="369" spans="1:78" ht="20.100000000000001" customHeight="1" x14ac:dyDescent="0.3">
      <c r="A369" s="13">
        <v>363</v>
      </c>
      <c r="B369" s="91" t="s">
        <v>362</v>
      </c>
      <c r="C369" s="93" t="s">
        <v>161</v>
      </c>
      <c r="D369" s="94"/>
      <c r="E369" s="94"/>
      <c r="F369" s="96">
        <v>92899729512</v>
      </c>
      <c r="G369" s="97"/>
      <c r="H369" s="99">
        <v>1560</v>
      </c>
      <c r="I369" s="97"/>
      <c r="J369" s="91"/>
      <c r="L369" s="98" t="s">
        <v>225</v>
      </c>
      <c r="M369" s="98">
        <v>365</v>
      </c>
      <c r="N369" s="98"/>
      <c r="O369" s="98"/>
      <c r="P369" s="98"/>
      <c r="Q369" s="43" t="s">
        <v>244</v>
      </c>
      <c r="R369" s="28">
        <v>100</v>
      </c>
      <c r="S369" s="28">
        <v>100</v>
      </c>
      <c r="T369" s="28">
        <v>100</v>
      </c>
      <c r="U369" s="28">
        <v>100</v>
      </c>
      <c r="V369" s="28">
        <v>78</v>
      </c>
      <c r="W369" s="28" t="s">
        <v>234</v>
      </c>
      <c r="X369" s="28" t="s">
        <v>234</v>
      </c>
      <c r="Y369" s="28">
        <v>100</v>
      </c>
      <c r="Z369" s="28">
        <v>150</v>
      </c>
      <c r="AA369" s="28">
        <v>150</v>
      </c>
      <c r="AB369" s="28">
        <v>111</v>
      </c>
      <c r="AC369" s="28">
        <v>32</v>
      </c>
      <c r="AD369" s="28">
        <v>200</v>
      </c>
      <c r="AE369" s="28">
        <v>140</v>
      </c>
      <c r="AF369" s="28">
        <v>302</v>
      </c>
      <c r="AG369" s="28">
        <v>70</v>
      </c>
      <c r="AH369" s="28">
        <v>316</v>
      </c>
      <c r="AI369" s="28"/>
      <c r="AJ369" s="28"/>
      <c r="AK369" s="28">
        <v>278</v>
      </c>
      <c r="AL369" s="28"/>
      <c r="AM369" s="28"/>
      <c r="AN369" s="28"/>
      <c r="AO369" s="28"/>
      <c r="AP369" s="28"/>
      <c r="AQ369" s="28"/>
      <c r="AR369" s="28"/>
      <c r="AS369" s="28"/>
      <c r="AT369" s="28">
        <v>285</v>
      </c>
      <c r="AU369" s="28">
        <v>93</v>
      </c>
      <c r="AV369" s="28">
        <v>87</v>
      </c>
      <c r="AW369" s="28">
        <v>148</v>
      </c>
      <c r="AX369" s="28">
        <v>128</v>
      </c>
      <c r="AY369" s="28">
        <v>155</v>
      </c>
      <c r="AZ369" s="28">
        <v>97</v>
      </c>
      <c r="BA369" s="28">
        <v>102</v>
      </c>
      <c r="BB369" s="28">
        <v>98</v>
      </c>
      <c r="BC369" s="28" t="s">
        <v>368</v>
      </c>
      <c r="BD369" s="28" t="s">
        <v>368</v>
      </c>
      <c r="BE369" s="28">
        <v>138</v>
      </c>
      <c r="BF369" s="28">
        <v>106</v>
      </c>
      <c r="BG369" s="28">
        <v>50</v>
      </c>
      <c r="BH369" s="28">
        <v>58</v>
      </c>
      <c r="BI369" s="28">
        <v>69</v>
      </c>
      <c r="BJ369" s="28" t="s">
        <v>368</v>
      </c>
      <c r="BK369" s="28" t="s">
        <v>368</v>
      </c>
      <c r="BL369" s="28">
        <v>98</v>
      </c>
      <c r="BM369" s="28">
        <v>72</v>
      </c>
      <c r="BN369" s="28">
        <v>50</v>
      </c>
      <c r="BO369" s="28">
        <v>90</v>
      </c>
      <c r="BP369" s="28">
        <v>56</v>
      </c>
      <c r="BQ369" s="28">
        <v>8</v>
      </c>
      <c r="BR369" s="28">
        <v>80</v>
      </c>
      <c r="BS369" s="28">
        <v>24</v>
      </c>
      <c r="BT369" s="28">
        <v>32</v>
      </c>
      <c r="BU369" s="28"/>
      <c r="BV369" s="28"/>
      <c r="BW369" s="28"/>
      <c r="BY369" s="91"/>
      <c r="BZ369" s="98"/>
    </row>
    <row r="370" spans="1:78" ht="20.100000000000001" customHeight="1" x14ac:dyDescent="0.3">
      <c r="A370" s="13">
        <v>364</v>
      </c>
      <c r="B370" s="4" t="s">
        <v>362</v>
      </c>
      <c r="C370" s="69" t="s">
        <v>161</v>
      </c>
      <c r="D370" s="20"/>
      <c r="E370" s="20"/>
      <c r="F370" s="2">
        <v>92899729512</v>
      </c>
      <c r="I370" s="3" t="s">
        <v>274</v>
      </c>
      <c r="J370" s="20" t="s">
        <v>260</v>
      </c>
      <c r="K370" s="5">
        <v>5590</v>
      </c>
      <c r="L370" s="1" t="s">
        <v>225</v>
      </c>
      <c r="M370" s="1">
        <v>366</v>
      </c>
      <c r="Q370" s="87" t="s">
        <v>279</v>
      </c>
      <c r="R370" s="7"/>
      <c r="S370" s="7"/>
      <c r="T370" s="7"/>
      <c r="U370" s="7">
        <v>71</v>
      </c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</row>
    <row r="371" spans="1:78" ht="20.100000000000001" customHeight="1" x14ac:dyDescent="0.3">
      <c r="A371" s="13">
        <v>365</v>
      </c>
      <c r="B371" s="91" t="s">
        <v>362</v>
      </c>
      <c r="C371" s="93" t="s">
        <v>161</v>
      </c>
      <c r="D371" s="94"/>
      <c r="E371" s="94"/>
      <c r="F371" s="96">
        <v>92899729512</v>
      </c>
      <c r="G371" s="97"/>
      <c r="H371" s="99">
        <v>1561</v>
      </c>
      <c r="I371" s="97"/>
      <c r="J371" s="91"/>
      <c r="L371" s="98" t="s">
        <v>225</v>
      </c>
      <c r="M371" s="98">
        <v>367</v>
      </c>
      <c r="N371" s="98"/>
      <c r="O371" s="98"/>
      <c r="P371" s="98"/>
      <c r="Q371" s="43" t="s">
        <v>244</v>
      </c>
      <c r="R371" s="28">
        <v>100</v>
      </c>
      <c r="S371" s="28">
        <v>100</v>
      </c>
      <c r="T371" s="28">
        <v>100</v>
      </c>
      <c r="U371" s="28">
        <v>100</v>
      </c>
      <c r="V371" s="28">
        <v>81</v>
      </c>
      <c r="W371" s="28" t="s">
        <v>234</v>
      </c>
      <c r="X371" s="28" t="s">
        <v>234</v>
      </c>
      <c r="Y371" s="28">
        <v>100</v>
      </c>
      <c r="Z371" s="28">
        <v>150</v>
      </c>
      <c r="AA371" s="28">
        <v>150</v>
      </c>
      <c r="AB371" s="28">
        <v>104</v>
      </c>
      <c r="AC371" s="28">
        <v>28</v>
      </c>
      <c r="AD371" s="28">
        <v>200</v>
      </c>
      <c r="AE371" s="28">
        <v>145</v>
      </c>
      <c r="AF371" s="28">
        <v>323</v>
      </c>
      <c r="AG371" s="28">
        <v>107</v>
      </c>
      <c r="AH371" s="28">
        <v>326</v>
      </c>
      <c r="AI371" s="28"/>
      <c r="AJ371" s="28"/>
      <c r="AK371" s="28">
        <v>262</v>
      </c>
      <c r="AL371" s="28"/>
      <c r="AM371" s="28"/>
      <c r="AN371" s="28"/>
      <c r="AO371" s="28"/>
      <c r="AP371" s="28"/>
      <c r="AQ371" s="28"/>
      <c r="AR371" s="28"/>
      <c r="AS371" s="28"/>
      <c r="AT371" s="28">
        <v>294</v>
      </c>
      <c r="AU371" s="28">
        <v>100</v>
      </c>
      <c r="AV371" s="28">
        <v>83</v>
      </c>
      <c r="AW371" s="28">
        <v>143</v>
      </c>
      <c r="AX371" s="28">
        <v>138</v>
      </c>
      <c r="AY371" s="28">
        <v>129</v>
      </c>
      <c r="AZ371" s="28">
        <v>102</v>
      </c>
      <c r="BA371" s="28">
        <v>96</v>
      </c>
      <c r="BB371" s="28">
        <v>104</v>
      </c>
      <c r="BC371" s="28">
        <v>2</v>
      </c>
      <c r="BD371" s="28" t="s">
        <v>368</v>
      </c>
      <c r="BE371" s="28">
        <v>138</v>
      </c>
      <c r="BF371" s="28">
        <v>89</v>
      </c>
      <c r="BG371" s="28">
        <v>51</v>
      </c>
      <c r="BH371" s="28">
        <v>59</v>
      </c>
      <c r="BI371" s="28">
        <v>82</v>
      </c>
      <c r="BJ371" s="28" t="s">
        <v>368</v>
      </c>
      <c r="BK371" s="28" t="s">
        <v>368</v>
      </c>
      <c r="BL371" s="28">
        <v>104</v>
      </c>
      <c r="BM371" s="28">
        <v>87</v>
      </c>
      <c r="BN371" s="28">
        <v>43</v>
      </c>
      <c r="BO371" s="28">
        <v>82</v>
      </c>
      <c r="BP371" s="28">
        <v>63</v>
      </c>
      <c r="BQ371" s="28">
        <v>5</v>
      </c>
      <c r="BR371" s="28">
        <v>69</v>
      </c>
      <c r="BS371" s="28">
        <v>21</v>
      </c>
      <c r="BT371" s="28">
        <v>38</v>
      </c>
      <c r="BU371" s="28"/>
      <c r="BV371" s="28"/>
      <c r="BW371" s="28"/>
      <c r="BY371" s="91"/>
      <c r="BZ371" s="98"/>
    </row>
    <row r="372" spans="1:78" ht="20.100000000000001" customHeight="1" x14ac:dyDescent="0.3">
      <c r="A372" s="13">
        <v>366</v>
      </c>
      <c r="B372" s="4" t="s">
        <v>362</v>
      </c>
      <c r="C372" s="69" t="s">
        <v>161</v>
      </c>
      <c r="D372" s="20"/>
      <c r="E372" s="20"/>
      <c r="F372" s="2">
        <v>92899729512</v>
      </c>
      <c r="I372" s="3" t="s">
        <v>275</v>
      </c>
      <c r="J372" s="20" t="s">
        <v>262</v>
      </c>
      <c r="K372" s="5">
        <v>1520</v>
      </c>
      <c r="L372" s="1" t="s">
        <v>225</v>
      </c>
      <c r="M372" s="1">
        <v>368</v>
      </c>
      <c r="Q372" s="87" t="s">
        <v>279</v>
      </c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</row>
    <row r="373" spans="1:78" ht="20.100000000000001" customHeight="1" x14ac:dyDescent="0.3">
      <c r="A373" s="13">
        <v>367</v>
      </c>
      <c r="B373" s="91" t="s">
        <v>362</v>
      </c>
      <c r="C373" s="93" t="s">
        <v>161</v>
      </c>
      <c r="D373" s="94"/>
      <c r="E373" s="94"/>
      <c r="F373" s="96">
        <v>92899729512</v>
      </c>
      <c r="G373" s="97"/>
      <c r="H373" s="99">
        <v>1562</v>
      </c>
      <c r="I373" s="97"/>
      <c r="J373" s="91"/>
      <c r="L373" s="98" t="s">
        <v>224</v>
      </c>
      <c r="M373" s="98">
        <v>369</v>
      </c>
      <c r="N373" s="98"/>
      <c r="O373" s="98"/>
      <c r="P373" s="98"/>
      <c r="Q373" s="43" t="s">
        <v>244</v>
      </c>
      <c r="R373" s="28">
        <v>100</v>
      </c>
      <c r="S373" s="28">
        <v>100</v>
      </c>
      <c r="T373" s="28">
        <v>100</v>
      </c>
      <c r="U373" s="28">
        <v>100</v>
      </c>
      <c r="V373" s="28">
        <v>92</v>
      </c>
      <c r="W373" s="28" t="s">
        <v>234</v>
      </c>
      <c r="X373" s="28" t="s">
        <v>234</v>
      </c>
      <c r="Y373" s="28">
        <v>100</v>
      </c>
      <c r="Z373" s="28">
        <v>150</v>
      </c>
      <c r="AA373" s="28">
        <v>150</v>
      </c>
      <c r="AB373" s="28">
        <v>107</v>
      </c>
      <c r="AC373" s="28">
        <v>32</v>
      </c>
      <c r="AD373" s="28">
        <v>200</v>
      </c>
      <c r="AE373" s="28">
        <v>150</v>
      </c>
      <c r="AF373" s="28">
        <v>297</v>
      </c>
      <c r="AG373" s="28">
        <v>70</v>
      </c>
      <c r="AH373" s="28">
        <v>325</v>
      </c>
      <c r="AI373" s="28"/>
      <c r="AJ373" s="28"/>
      <c r="AK373" s="28">
        <v>259</v>
      </c>
      <c r="AL373" s="28"/>
      <c r="AM373" s="28"/>
      <c r="AN373" s="28"/>
      <c r="AO373" s="28"/>
      <c r="AP373" s="28"/>
      <c r="AQ373" s="28"/>
      <c r="AR373" s="28"/>
      <c r="AS373" s="28"/>
      <c r="AT373" s="28">
        <v>265</v>
      </c>
      <c r="AU373" s="28">
        <v>88</v>
      </c>
      <c r="AV373" s="28">
        <v>77</v>
      </c>
      <c r="AW373" s="28">
        <v>153</v>
      </c>
      <c r="AX373" s="28">
        <v>109</v>
      </c>
      <c r="AY373" s="28">
        <v>147</v>
      </c>
      <c r="AZ373" s="28">
        <v>112</v>
      </c>
      <c r="BA373" s="28">
        <v>98</v>
      </c>
      <c r="BB373" s="28">
        <v>90</v>
      </c>
      <c r="BC373" s="28">
        <v>4</v>
      </c>
      <c r="BD373" s="28">
        <v>1</v>
      </c>
      <c r="BE373" s="28">
        <v>142</v>
      </c>
      <c r="BF373" s="28">
        <v>104</v>
      </c>
      <c r="BG373" s="28">
        <v>40</v>
      </c>
      <c r="BH373" s="28">
        <v>67</v>
      </c>
      <c r="BI373" s="28">
        <v>80</v>
      </c>
      <c r="BJ373" s="28" t="s">
        <v>368</v>
      </c>
      <c r="BK373" s="28" t="s">
        <v>368</v>
      </c>
      <c r="BL373" s="28">
        <v>90</v>
      </c>
      <c r="BM373" s="28">
        <v>81</v>
      </c>
      <c r="BN373" s="28">
        <v>47</v>
      </c>
      <c r="BO373" s="28">
        <v>94</v>
      </c>
      <c r="BP373" s="28">
        <v>62</v>
      </c>
      <c r="BQ373" s="28">
        <v>8</v>
      </c>
      <c r="BR373" s="28">
        <v>71</v>
      </c>
      <c r="BS373" s="28">
        <v>16</v>
      </c>
      <c r="BT373" s="28">
        <v>33</v>
      </c>
      <c r="BU373" s="28"/>
      <c r="BV373" s="28"/>
      <c r="BW373" s="28"/>
      <c r="BY373" s="91"/>
      <c r="BZ373" s="98"/>
    </row>
    <row r="374" spans="1:78" s="14" customFormat="1" ht="20.100000000000001" customHeight="1" thickBot="1" x14ac:dyDescent="0.35">
      <c r="A374" s="13">
        <v>368</v>
      </c>
      <c r="B374" s="15" t="s">
        <v>362</v>
      </c>
      <c r="C374" s="71" t="s">
        <v>161</v>
      </c>
      <c r="D374" s="21"/>
      <c r="E374" s="21"/>
      <c r="F374" s="16">
        <v>92899729512</v>
      </c>
      <c r="G374" s="17"/>
      <c r="H374" s="16"/>
      <c r="I374" s="17" t="s">
        <v>277</v>
      </c>
      <c r="J374" s="21" t="s">
        <v>265</v>
      </c>
      <c r="K374" s="18">
        <v>940</v>
      </c>
      <c r="L374" s="14" t="s">
        <v>224</v>
      </c>
      <c r="M374" s="14">
        <v>370</v>
      </c>
      <c r="Q374" s="88" t="s">
        <v>279</v>
      </c>
      <c r="R374" s="19">
        <v>36</v>
      </c>
      <c r="S374" s="19">
        <v>37</v>
      </c>
      <c r="T374" s="19"/>
      <c r="U374" s="19">
        <v>29</v>
      </c>
      <c r="V374" s="19">
        <v>34</v>
      </c>
      <c r="W374" s="19"/>
      <c r="X374" s="19"/>
      <c r="Y374" s="19">
        <v>42</v>
      </c>
      <c r="Z374" s="19">
        <v>39</v>
      </c>
      <c r="AA374" s="19">
        <v>41</v>
      </c>
      <c r="AB374" s="19">
        <v>51</v>
      </c>
      <c r="AC374" s="19">
        <v>13</v>
      </c>
      <c r="AD374" s="19">
        <v>18</v>
      </c>
      <c r="AE374" s="19">
        <v>10</v>
      </c>
      <c r="AF374" s="19">
        <v>7</v>
      </c>
      <c r="AG374" s="19">
        <v>8</v>
      </c>
      <c r="AH374" s="19">
        <v>23</v>
      </c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/>
      <c r="AY374" s="19"/>
      <c r="AZ374" s="19"/>
      <c r="BA374" s="19"/>
      <c r="BB374" s="19"/>
      <c r="BC374" s="19"/>
      <c r="BD374" s="19"/>
      <c r="BE374" s="19"/>
      <c r="BF374" s="19"/>
      <c r="BG374" s="19"/>
      <c r="BH374" s="19"/>
      <c r="BI374" s="19"/>
      <c r="BJ374" s="19"/>
      <c r="BK374" s="19"/>
      <c r="BL374" s="19"/>
      <c r="BM374" s="19"/>
      <c r="BN374" s="19"/>
      <c r="BO374" s="19"/>
      <c r="BP374" s="19"/>
      <c r="BQ374" s="19"/>
      <c r="BR374" s="19"/>
      <c r="BS374" s="19"/>
      <c r="BT374" s="19"/>
      <c r="BU374" s="19"/>
      <c r="BV374" s="19"/>
      <c r="BW374" s="19"/>
      <c r="BX374" s="18"/>
      <c r="BY374" s="15"/>
    </row>
    <row r="375" spans="1:78" ht="20.100000000000001" customHeight="1" x14ac:dyDescent="0.3">
      <c r="Q375" s="1"/>
    </row>
    <row r="376" spans="1:78" ht="20.100000000000001" customHeight="1" x14ac:dyDescent="0.3">
      <c r="A376" s="1" t="s">
        <v>280</v>
      </c>
      <c r="B376" s="4" t="s">
        <v>280</v>
      </c>
      <c r="C376" s="1" t="s">
        <v>280</v>
      </c>
      <c r="D376" s="4" t="s">
        <v>280</v>
      </c>
      <c r="E376" s="1" t="s">
        <v>280</v>
      </c>
      <c r="F376" s="2" t="s">
        <v>280</v>
      </c>
      <c r="G376" s="3" t="s">
        <v>280</v>
      </c>
      <c r="H376" s="2" t="s">
        <v>280</v>
      </c>
      <c r="I376" s="3" t="s">
        <v>280</v>
      </c>
      <c r="J376" s="4" t="s">
        <v>280</v>
      </c>
      <c r="K376" s="5" t="s">
        <v>280</v>
      </c>
      <c r="L376" s="1" t="s">
        <v>280</v>
      </c>
      <c r="M376" s="1" t="s">
        <v>364</v>
      </c>
      <c r="Q376" s="1" t="s">
        <v>280</v>
      </c>
      <c r="R376" s="1" t="s">
        <v>280</v>
      </c>
      <c r="S376" s="1" t="s">
        <v>280</v>
      </c>
      <c r="T376" s="1" t="s">
        <v>280</v>
      </c>
      <c r="U376" s="1" t="s">
        <v>280</v>
      </c>
      <c r="V376" s="1" t="s">
        <v>280</v>
      </c>
      <c r="W376" s="1" t="s">
        <v>280</v>
      </c>
      <c r="X376" s="1" t="s">
        <v>280</v>
      </c>
      <c r="Y376" s="1" t="s">
        <v>280</v>
      </c>
      <c r="Z376" s="1" t="s">
        <v>280</v>
      </c>
      <c r="AA376" s="1" t="s">
        <v>280</v>
      </c>
      <c r="AB376" s="1" t="s">
        <v>280</v>
      </c>
      <c r="AC376" s="1" t="s">
        <v>280</v>
      </c>
      <c r="AD376" s="1" t="s">
        <v>280</v>
      </c>
      <c r="AE376" s="1" t="s">
        <v>280</v>
      </c>
      <c r="AF376" s="1" t="s">
        <v>280</v>
      </c>
      <c r="AG376" s="1" t="s">
        <v>280</v>
      </c>
      <c r="AH376" s="1" t="s">
        <v>280</v>
      </c>
      <c r="AI376" s="1" t="s">
        <v>280</v>
      </c>
      <c r="AJ376" s="1" t="s">
        <v>280</v>
      </c>
      <c r="AK376" s="1" t="s">
        <v>280</v>
      </c>
      <c r="AL376" s="1" t="s">
        <v>280</v>
      </c>
      <c r="AM376" s="1" t="s">
        <v>280</v>
      </c>
      <c r="AN376" s="1" t="s">
        <v>280</v>
      </c>
      <c r="AO376" s="1" t="s">
        <v>280</v>
      </c>
      <c r="AP376" s="1" t="s">
        <v>280</v>
      </c>
      <c r="AQ376" s="1" t="s">
        <v>280</v>
      </c>
      <c r="AR376" s="1" t="s">
        <v>280</v>
      </c>
      <c r="AS376" s="1" t="s">
        <v>280</v>
      </c>
      <c r="AT376" s="1" t="s">
        <v>280</v>
      </c>
      <c r="AU376" s="1" t="s">
        <v>280</v>
      </c>
      <c r="AV376" s="1" t="s">
        <v>280</v>
      </c>
      <c r="AW376" s="1" t="s">
        <v>280</v>
      </c>
      <c r="AX376" s="1" t="s">
        <v>280</v>
      </c>
      <c r="AY376" s="1" t="s">
        <v>280</v>
      </c>
      <c r="AZ376" s="1" t="s">
        <v>280</v>
      </c>
      <c r="BA376" s="1" t="s">
        <v>280</v>
      </c>
      <c r="BB376" s="1" t="s">
        <v>280</v>
      </c>
      <c r="BC376" s="1" t="s">
        <v>280</v>
      </c>
      <c r="BD376" s="1" t="s">
        <v>280</v>
      </c>
      <c r="BE376" s="1" t="s">
        <v>280</v>
      </c>
      <c r="BF376" s="1" t="s">
        <v>280</v>
      </c>
      <c r="BG376" s="1" t="s">
        <v>280</v>
      </c>
      <c r="BH376" s="1" t="s">
        <v>280</v>
      </c>
      <c r="BI376" s="1" t="s">
        <v>280</v>
      </c>
      <c r="BJ376" s="1" t="s">
        <v>280</v>
      </c>
      <c r="BK376" s="1" t="s">
        <v>280</v>
      </c>
      <c r="BL376" s="1" t="s">
        <v>280</v>
      </c>
      <c r="BM376" s="1" t="s">
        <v>280</v>
      </c>
      <c r="BN376" s="1" t="s">
        <v>280</v>
      </c>
      <c r="BO376" s="1" t="s">
        <v>280</v>
      </c>
      <c r="BP376" s="1" t="s">
        <v>280</v>
      </c>
      <c r="BQ376" s="1" t="s">
        <v>280</v>
      </c>
      <c r="BR376" s="1" t="s">
        <v>280</v>
      </c>
      <c r="BS376" s="1" t="s">
        <v>280</v>
      </c>
      <c r="BT376" s="1" t="s">
        <v>280</v>
      </c>
      <c r="BU376" s="1" t="s">
        <v>280</v>
      </c>
      <c r="BV376" s="1" t="s">
        <v>280</v>
      </c>
      <c r="BW376" s="1" t="s">
        <v>280</v>
      </c>
      <c r="BX376" s="5" t="s">
        <v>280</v>
      </c>
    </row>
  </sheetData>
  <autoFilter ref="A6:BZ374" xr:uid="{082E2F03-5083-4586-91BA-0B03AC6A23CA}">
    <sortState xmlns:xlrd2="http://schemas.microsoft.com/office/spreadsheetml/2017/richdata2" ref="A7:BZ374">
      <sortCondition ref="A4:A339"/>
    </sortState>
  </autoFilter>
  <phoneticPr fontId="4" type="noConversion"/>
  <conditionalFormatting sqref="L2:L34 L40:L233 L236:L1048576">
    <cfRule type="notContainsBlanks" dxfId="2" priority="9">
      <formula>LEN(TRIM(L2))&gt;0</formula>
    </cfRule>
  </conditionalFormatting>
  <conditionalFormatting sqref="L35:L39">
    <cfRule type="notContainsBlanks" dxfId="1" priority="6">
      <formula>LEN(TRIM(L35))&gt;0</formula>
    </cfRule>
  </conditionalFormatting>
  <conditionalFormatting sqref="L234:L235">
    <cfRule type="notContainsBlanks" dxfId="0" priority="3">
      <formula>LEN(TRIM(L234))&gt;0</formula>
    </cfRule>
  </conditionalFormatting>
  <pageMargins left="0.7" right="0.7" top="0.75" bottom="0.75" header="0.3" footer="0.3"/>
  <pageSetup paperSize="9" orientation="portrait" r:id="rId1"/>
  <ignoredErrors>
    <ignoredError sqref="CA48:CF48 CA145:CF145 CA369:XFD372 AT375 CA156:XFD156 CA316:XFD321 CA323:XFD325 CA89:CF91 CA100:CF100 CA159:XFD164 CA167:XFD170 CA181:XFD188 CA191:XFD195 CA217:XFD217 CA221:XFD221 CA231:XFD231 CA237:XFD237 CA245:XFD245 CA250:XFD252 CA255:XFD258 CA272:XFD272 CA275:XFD278 CA299:XFD299 CA302:XFD306 CA309:XFD313 AK375:AK376 R375:AH376 CA51:CF52 CA55:CF56 CA60:CF62 CA65:CF65 CA67:CF69 CA73:CF73 CA75:CF77 CA83:CF83 CA85:CF86 CA103:CF104 CA113:CF115 CA117:CF117 CA120:CF120 CA130:CF131 CA127:CF128 CA135:CF136 CA138:CF139 CA142:CF143 CA174:XFD178 CA198:XFD198 CA200:XFD204 CA207:XFD207 CA209:XFD211 CA214:XFD215 CA224:XFD224 CA229:XFD229 CA239:XFD239 CA247:XFD247 CA265:XFD265 CA261:XFD263 CA268:XFD270 CA282:XFD286 CA290:XFD292 CA296:XFD296 CA329:XFD329 CA332:XFD335 CA341:XFD343 CA347:XFD351 CA357:XFD363 CA365:XFD366 CA373:XFD374" numberStoredAsText="1"/>
    <ignoredError sqref="BG4:BI4 BX2 BL4:BP4 BS4:BX4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순위만">
                <anchor moveWithCells="1" sizeWithCells="1">
                  <from>
                    <xdr:col>0</xdr:col>
                    <xdr:colOff>38100</xdr:colOff>
                    <xdr:row>3</xdr:row>
                    <xdr:rowOff>47625</xdr:rowOff>
                  </from>
                  <to>
                    <xdr:col>2</xdr:col>
                    <xdr:colOff>114300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순위판매량">
                <anchor moveWithCells="1" sizeWithCells="1">
                  <from>
                    <xdr:col>2</xdr:col>
                    <xdr:colOff>180975</xdr:colOff>
                    <xdr:row>3</xdr:row>
                    <xdr:rowOff>47625</xdr:rowOff>
                  </from>
                  <to>
                    <xdr:col>3</xdr:col>
                    <xdr:colOff>609600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순위판매광고">
                <anchor moveWithCells="1" sizeWithCells="1">
                  <from>
                    <xdr:col>3</xdr:col>
                    <xdr:colOff>676275</xdr:colOff>
                    <xdr:row>3</xdr:row>
                    <xdr:rowOff>47625</xdr:rowOff>
                  </from>
                  <to>
                    <xdr:col>3</xdr:col>
                    <xdr:colOff>1457325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순위외전체보기">
                <anchor moveWithCells="1" sizeWithCells="1">
                  <from>
                    <xdr:col>3</xdr:col>
                    <xdr:colOff>1533525</xdr:colOff>
                    <xdr:row>3</xdr:row>
                    <xdr:rowOff>47625</xdr:rowOff>
                  </from>
                  <to>
                    <xdr:col>4</xdr:col>
                    <xdr:colOff>742950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순위입력">
                <anchor moveWithCells="1" sizeWithCells="1">
                  <from>
                    <xdr:col>4</xdr:col>
                    <xdr:colOff>838200</xdr:colOff>
                    <xdr:row>3</xdr:row>
                    <xdr:rowOff>47625</xdr:rowOff>
                  </from>
                  <to>
                    <xdr:col>5</xdr:col>
                    <xdr:colOff>657225</xdr:colOff>
                    <xdr:row>3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6908C-C4E0-40A4-B37E-274F491225D4}">
  <sheetPr codeName="Sheet2"/>
  <dimension ref="B12:Y18"/>
  <sheetViews>
    <sheetView workbookViewId="0">
      <selection activeCell="Y13" sqref="Y13"/>
    </sheetView>
  </sheetViews>
  <sheetFormatPr defaultRowHeight="20.100000000000001" customHeight="1" x14ac:dyDescent="0.3"/>
  <cols>
    <col min="14" max="14" width="11.625" bestFit="1" customWidth="1"/>
  </cols>
  <sheetData>
    <row r="12" spans="3:25" ht="20.100000000000001" customHeight="1" x14ac:dyDescent="0.3">
      <c r="C12" t="s">
        <v>369</v>
      </c>
      <c r="H12" t="s">
        <v>370</v>
      </c>
      <c r="L12" t="s">
        <v>373</v>
      </c>
      <c r="Q12" t="s">
        <v>375</v>
      </c>
      <c r="T12" t="s">
        <v>374</v>
      </c>
      <c r="W12" t="s">
        <v>376</v>
      </c>
      <c r="Y12" t="s">
        <v>380</v>
      </c>
    </row>
    <row r="13" spans="3:25" ht="20.100000000000001" customHeight="1" thickBot="1" x14ac:dyDescent="0.35">
      <c r="C13" t="s">
        <v>371</v>
      </c>
      <c r="H13" t="s">
        <v>372</v>
      </c>
    </row>
    <row r="14" spans="3:25" ht="20.100000000000001" customHeight="1" x14ac:dyDescent="0.3">
      <c r="M14" s="74"/>
      <c r="N14" s="75"/>
      <c r="O14" s="75"/>
      <c r="P14" s="76"/>
    </row>
    <row r="15" spans="3:25" ht="20.100000000000001" customHeight="1" x14ac:dyDescent="0.3">
      <c r="M15" s="81"/>
      <c r="N15" t="s">
        <v>377</v>
      </c>
      <c r="P15" s="77"/>
    </row>
    <row r="16" spans="3:25" ht="20.100000000000001" customHeight="1" x14ac:dyDescent="0.3">
      <c r="M16" s="81"/>
      <c r="N16" s="72"/>
      <c r="O16" t="s">
        <v>378</v>
      </c>
      <c r="P16" s="77"/>
    </row>
    <row r="17" spans="2:16" ht="20.100000000000001" customHeight="1" x14ac:dyDescent="0.3">
      <c r="B17" s="7" t="s">
        <v>185</v>
      </c>
      <c r="C17" t="s">
        <v>379</v>
      </c>
      <c r="M17" s="81"/>
      <c r="N17" s="73"/>
      <c r="O17" t="s">
        <v>379</v>
      </c>
      <c r="P17" s="77"/>
    </row>
    <row r="18" spans="2:16" ht="20.100000000000001" customHeight="1" thickBot="1" x14ac:dyDescent="0.35">
      <c r="M18" s="78"/>
      <c r="N18" s="79"/>
      <c r="O18" s="79"/>
      <c r="P18" s="80"/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데이터</vt:lpstr>
      <vt:lpstr>비고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민원 김</dc:creator>
  <cp:lastModifiedBy>민원 김</cp:lastModifiedBy>
  <dcterms:created xsi:type="dcterms:W3CDTF">2025-12-04T10:07:34Z</dcterms:created>
  <dcterms:modified xsi:type="dcterms:W3CDTF">2025-12-31T07:18:05Z</dcterms:modified>
</cp:coreProperties>
</file>